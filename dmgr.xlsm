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1C117405-3C5B-401F-A197-DD5D98980606}" xr6:coauthVersionLast="45" xr6:coauthVersionMax="45" xr10:uidLastSave="{00000000-0000-0000-0000-000000000000}"/>
  <bookViews>
    <workbookView minimized="1" xWindow="2543" yWindow="2543" windowWidth="7799" windowHeight="5999" activeTab="1" xr2:uid="{2CE4B1C9-8906-421A-B932-A2C3F5D0AC6B}"/>
  </bookViews>
  <sheets>
    <sheet name="DataSummary" sheetId="2" r:id="rId1"/>
    <sheet name="Script" sheetId="1" r:id="rId2"/>
    <sheet name="ScriptHelp" sheetId="3" r:id="rId3"/>
  </sheets>
  <functionGroups builtInGroupCount="19"/>
  <definedNames>
    <definedName name="_xlnm._FilterDatabase" localSheetId="1" hidden="1">Script!$A$5:$G$6</definedName>
    <definedName name="ARB_IPTR">Script!$G$30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DestSheet">Script!$C$1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Script!$G$35</definedName>
    <definedName name="SC_RNUM">Script!$E$35</definedName>
    <definedName name="SC_RSIZE">Script!$F$35</definedName>
    <definedName name="SM_CACHE">Script!$H$20</definedName>
    <definedName name="SM_QNUM">Script!$G$20</definedName>
    <definedName name="SM_SIZE">Script!$E$20</definedName>
    <definedName name="SM_WIDTH">Script!$F$20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" i="2" l="1"/>
  <c r="H7" i="2"/>
  <c r="E7" i="2"/>
  <c r="A7" i="2"/>
  <c r="I6" i="2"/>
  <c r="H6" i="2"/>
  <c r="E6" i="2"/>
  <c r="A6" i="2"/>
  <c r="I5" i="2"/>
  <c r="H5" i="2"/>
  <c r="E5" i="2"/>
  <c r="A5" i="2"/>
  <c r="I4" i="2"/>
  <c r="H4" i="2"/>
  <c r="E4" i="2"/>
  <c r="A4" i="2"/>
  <c r="I3" i="2"/>
  <c r="H3" i="2"/>
  <c r="E3" i="2"/>
  <c r="A3" i="2"/>
  <c r="F15" i="2" l="1"/>
  <c r="G15" i="2" s="1"/>
  <c r="J15" i="2"/>
  <c r="F16" i="2"/>
  <c r="G16" i="2" s="1"/>
  <c r="J16" i="2"/>
  <c r="F17" i="2"/>
  <c r="G17" i="2"/>
  <c r="J17" i="2"/>
  <c r="F18" i="2"/>
  <c r="J18" i="2"/>
  <c r="F19" i="2"/>
  <c r="G19" i="2" s="1"/>
  <c r="J19" i="2"/>
  <c r="F20" i="2"/>
  <c r="G20" i="2" s="1"/>
  <c r="J20" i="2"/>
  <c r="F21" i="2"/>
  <c r="G21" i="2"/>
  <c r="J21" i="2"/>
  <c r="F22" i="2"/>
  <c r="J22" i="2"/>
  <c r="F23" i="2"/>
  <c r="G23" i="2" s="1"/>
  <c r="J23" i="2"/>
  <c r="F24" i="2"/>
  <c r="G24" i="2" s="1"/>
  <c r="J24" i="2"/>
  <c r="F25" i="2"/>
  <c r="G25" i="2"/>
  <c r="J25" i="2"/>
  <c r="F26" i="2"/>
  <c r="J26" i="2"/>
  <c r="F27" i="2"/>
  <c r="G27" i="2" s="1"/>
  <c r="J27" i="2"/>
  <c r="F28" i="2"/>
  <c r="G28" i="2" s="1"/>
  <c r="J28" i="2"/>
  <c r="F29" i="2"/>
  <c r="G29" i="2"/>
  <c r="J29" i="2"/>
  <c r="G26" i="2" l="1"/>
  <c r="G22" i="2"/>
  <c r="G18" i="2"/>
  <c r="F14" i="2" l="1"/>
  <c r="G14" i="2" s="1"/>
  <c r="F11" i="2"/>
  <c r="G11" i="2" s="1"/>
  <c r="M31" i="1"/>
  <c r="F7" i="2"/>
  <c r="G7" i="2" s="1"/>
  <c r="F6" i="2"/>
  <c r="G6" i="2" s="1"/>
  <c r="F5" i="2"/>
  <c r="G5" i="2" s="1"/>
  <c r="F4" i="2"/>
  <c r="G4" i="2" s="1"/>
  <c r="F8" i="2"/>
  <c r="G8" i="2" s="1"/>
  <c r="F9" i="2"/>
  <c r="F10" i="2"/>
  <c r="G10" i="2" s="1"/>
  <c r="F12" i="2"/>
  <c r="G12" i="2" s="1"/>
  <c r="F13" i="2"/>
  <c r="G13" i="2" s="1"/>
  <c r="F3" i="2"/>
  <c r="G3" i="2" s="1"/>
  <c r="G9" i="2" l="1"/>
  <c r="J13" i="2"/>
  <c r="J12" i="2"/>
  <c r="J14" i="2"/>
  <c r="J4" i="2"/>
  <c r="J3" i="2"/>
  <c r="L31" i="1"/>
  <c r="K31" i="1"/>
  <c r="J10" i="2" l="1"/>
  <c r="J11" i="2"/>
  <c r="J8" i="2"/>
  <c r="J6" i="2"/>
  <c r="J31" i="2" s="1"/>
  <c r="H31" i="2" s="1"/>
  <c r="J9" i="2"/>
  <c r="J7" i="2"/>
  <c r="J5" i="2"/>
  <c r="O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E35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35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35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<sst xmlns="http://schemas.openxmlformats.org/spreadsheetml/2006/main" count="100" uniqueCount="64">
  <si>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</si>
  <si>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</si>
  <si>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</si>
  <si>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</si>
  <si>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</si>
  <si>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</si>
  <si>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RRDPA</t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</si>
  <si>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</si>
  <si>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</si>
  <si>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</si>
  <si>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</si>
  <si>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</si>
  <si>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</si>
  <si>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</si>
  <si>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</si>
  <si>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</si>
  <si>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</si>
  <si>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</si>
  <si>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</si>
  <si>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</si>
  <si>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</si>
  <si>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</si>
  <si>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</si>
  <si>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</si>
  <si>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</si>
  <si>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</si>
  <si>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</si>
  <si>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</si>
  <si>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</si>
  <si>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</si>
  <si>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</si>
  <si>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</si>
  <si>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</si>
  <si>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</si>
  <si>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</si>
  <si>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</si>
  <si>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</si>
  <si>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</si>
  <si>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</si>
  <si>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</si>
  <si>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</si>
  <si>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</si>
  <si>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</si>
  <si>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</si>
  <si>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</si>
  <si>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1R1W</t>
    <phoneticPr fontId="1" type="noConversion"/>
  </si>
  <si>
    <t>2R2W</t>
  </si>
  <si>
    <t>REG</t>
    <phoneticPr fontId="1" type="noConversion"/>
  </si>
  <si>
    <t>CacheDepth</t>
    <phoneticPr fontId="1" type="noConversion"/>
  </si>
  <si>
    <t>TP</t>
    <phoneticPr fontId="1" type="noConversion"/>
  </si>
  <si>
    <t>1R2W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</si>
  <si>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</si>
  <si>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</si>
  <si>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</si>
  <si>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</si>
  <si>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</si>
  <si>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</si>
  <si>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MEM:</t>
    <phoneticPr fontId="1" type="noConversion"/>
  </si>
  <si>
    <t>REG: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</si>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</sst>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0" fillId="6" borderId="1" xfId="0" applyFill="1" applyBorder="1">
      <alignment vertical="center"/>
    </xf>
    <xf numFmtId="0" fontId="0" fillId="3" borderId="0" xfId="0" applyFill="1">
      <alignment vertical="center"/>
    </xf>
    <xf numFmtId="0" fontId="5" fillId="3" borderId="0" xfId="0" applyFont="1" applyFill="1" applyBorder="1">
      <alignment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30</xdr:row>
          <xdr:rowOff>19050</xdr:rowOff>
        </xdr:from>
        <xdr:to>
          <xdr:col>0</xdr:col>
          <xdr:colOff>447675</xdr:colOff>
          <xdr:row>30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35</xdr:row>
          <xdr:rowOff>4763</xdr:rowOff>
        </xdr:from>
        <xdr:to>
          <xdr:col>0</xdr:col>
          <xdr:colOff>495300</xdr:colOff>
          <xdr:row>35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/>
  <dimension ref="A1:J31"/>
  <sheetViews>
    <sheetView workbookViewId="0">
      <selection activeCell="L21" sqref="L21"/>
    </sheetView>
  </sheetViews>
  <sheetFormatPr defaultRowHeight="13.9" x14ac:dyDescent="0.4"/>
  <cols>
    <col min="1" max="1" width="17.46484375" customWidth="1"/>
    <col min="2" max="2" width="23" customWidth="1"/>
  </cols>
  <sheetData>
    <row r="1" spans="1:10" x14ac:dyDescent="0.4">
      <c r="A1" s="14" t="s">
        <v>4</v>
      </c>
      <c r="B1" s="14" t="s">
        <v>15</v>
      </c>
      <c r="C1" s="14" t="s">
        <v>5</v>
      </c>
      <c r="D1" s="14" t="s">
        <v>16</v>
      </c>
      <c r="E1" s="16" t="s">
        <v>17</v>
      </c>
      <c r="F1" s="17"/>
      <c r="G1" s="18"/>
      <c r="H1" s="14" t="s">
        <v>20</v>
      </c>
      <c r="I1" s="14" t="s">
        <v>21</v>
      </c>
      <c r="J1" s="14" t="s">
        <v>22</v>
      </c>
    </row>
    <row r="2" spans="1:10" x14ac:dyDescent="0.4">
      <c r="A2" s="15"/>
      <c r="B2" s="15"/>
      <c r="C2" s="15"/>
      <c r="D2" s="15"/>
      <c r="E2" s="1" t="s">
        <v>18</v>
      </c>
      <c r="F2" s="1" t="s">
        <v>19</v>
      </c>
      <c r="G2" s="1" t="s">
        <v>10</v>
      </c>
      <c r="H2" s="15"/>
      <c r="I2" s="15"/>
      <c r="J2" s="15"/>
    </row>
    <row r="3" spans="1:10" x14ac:dyDescent="0.4">
      <c r="A3" s="6" t="str">
        <f>CONCATENATE(Script!B26, "_tail")</f>
        <v>_tail</v>
      </c>
      <c r="B3" s="6"/>
      <c r="C3" s="6" t="s">
        <v>49</v>
      </c>
      <c r="D3" s="6" t="s">
        <v>45</v>
      </c>
      <c r="E3" s="6">
        <f>LOG(Script!E26, 2)</f>
        <v>11</v>
      </c>
      <c r="F3" s="5">
        <f>IF(C3="REG",0,IF(E3&lt;=0,0,IF(E3=1,3,IF(E3&lt;5,4,IF(E3&lt;12,5,IF(E3&lt;27,6,IF(E3&lt;58,7,IF(E3&lt;121,8,IF(E3&lt;248,9,IF(E3&lt;503,10,IF(E3&lt;1014,11,IF(E3&lt;2037,12,IF(E3&lt;4084,13,"OF")))))))))))))</f>
        <v>5</v>
      </c>
      <c r="G3" s="5">
        <f>E3+F3</f>
        <v>16</v>
      </c>
      <c r="H3" s="6">
        <f>Script!F26</f>
        <v>16</v>
      </c>
      <c r="I3" s="6">
        <f>Script!D26</f>
        <v>2</v>
      </c>
      <c r="J3" s="5">
        <f>E3*H3*I3</f>
        <v>352</v>
      </c>
    </row>
    <row r="4" spans="1:10" x14ac:dyDescent="0.4">
      <c r="A4" s="6" t="str">
        <f>CONCATENATE(Script!B26, "_next")</f>
        <v>_next</v>
      </c>
      <c r="B4" s="6"/>
      <c r="C4" s="6" t="s">
        <v>49</v>
      </c>
      <c r="D4" s="6" t="s">
        <v>45</v>
      </c>
      <c r="E4" s="6">
        <f>LOG(Script!E26, 2)+Script!J26</f>
        <v>12</v>
      </c>
      <c r="F4" s="5">
        <f t="shared" ref="F4:F14" si="0">IF(C4="REG",0,IF(E4&lt;=0,0,IF(E4=1,3,IF(E4&lt;5,4,IF(E4&lt;12,5,IF(E4&lt;27,6,IF(E4&lt;58,7,IF(E4&lt;121,8,IF(E4&lt;248,9,IF(E4&lt;503,10,IF(E4&lt;1014,11,IF(E4&lt;2037,12,IF(E4&lt;4084,13,"OF")))))))))))))</f>
        <v>6</v>
      </c>
      <c r="G4" s="5">
        <f t="shared" ref="G4:G14" si="1">E4+F4</f>
        <v>18</v>
      </c>
      <c r="H4" s="6">
        <f>Script!E26</f>
        <v>2048</v>
      </c>
      <c r="I4" s="6">
        <f>Script!D26</f>
        <v>2</v>
      </c>
      <c r="J4" s="5">
        <f t="shared" ref="J4:J6" si="2">E4*H4*I4</f>
        <v>49152</v>
      </c>
    </row>
    <row r="5" spans="1:10" x14ac:dyDescent="0.4">
      <c r="A5" s="6" t="str">
        <f>CONCATENATE(Script!B26, "_last")</f>
        <v>_last</v>
      </c>
      <c r="B5" s="6"/>
      <c r="C5" s="6" t="s">
        <v>49</v>
      </c>
      <c r="D5" s="6" t="s">
        <v>45</v>
      </c>
      <c r="E5" s="6">
        <f>LOG(Script!E26, 2)</f>
        <v>11</v>
      </c>
      <c r="F5" s="5">
        <f t="shared" si="0"/>
        <v>5</v>
      </c>
      <c r="G5" s="5">
        <f t="shared" si="1"/>
        <v>16</v>
      </c>
      <c r="H5" s="6">
        <f>Script!E26</f>
        <v>2048</v>
      </c>
      <c r="I5" s="6">
        <f>Script!D26</f>
        <v>2</v>
      </c>
      <c r="J5" s="5">
        <f t="shared" si="2"/>
        <v>45056</v>
      </c>
    </row>
    <row r="6" spans="1:10" x14ac:dyDescent="0.4">
      <c r="A6" s="6" t="str">
        <f>CONCATENATE(Script!B26, "_head")</f>
        <v>_head</v>
      </c>
      <c r="B6" s="6"/>
      <c r="C6" s="6" t="s">
        <v>47</v>
      </c>
      <c r="D6" s="6" t="s">
        <v>50</v>
      </c>
      <c r="E6" s="6">
        <f>LOG(Script!E26, 2)+Script!J26</f>
        <v>12</v>
      </c>
      <c r="F6" s="5">
        <f t="shared" si="0"/>
        <v>0</v>
      </c>
      <c r="G6" s="5">
        <f t="shared" si="1"/>
        <v>12</v>
      </c>
      <c r="H6" s="6">
        <f>Script!H26</f>
        <v>32</v>
      </c>
      <c r="I6" s="6">
        <f>Script!D26</f>
        <v>2</v>
      </c>
      <c r="J6" s="5">
        <f t="shared" si="2"/>
        <v>768</v>
      </c>
    </row>
    <row r="7" spans="1:10" x14ac:dyDescent="0.4">
      <c r="A7" s="6" t="str">
        <f>CONCATENATE(Script!B26, "_len")</f>
        <v>_len</v>
      </c>
      <c r="B7" s="6"/>
      <c r="C7" s="6" t="s">
        <v>47</v>
      </c>
      <c r="D7" s="6" t="s">
        <v>46</v>
      </c>
      <c r="E7" s="6">
        <f>LOG(Script!E26, 2)</f>
        <v>11</v>
      </c>
      <c r="F7" s="5">
        <f t="shared" si="0"/>
        <v>0</v>
      </c>
      <c r="G7" s="5">
        <f t="shared" si="1"/>
        <v>11</v>
      </c>
      <c r="H7" s="6">
        <f>Script!F26</f>
        <v>16</v>
      </c>
      <c r="I7" s="6">
        <f>Script!D26</f>
        <v>2</v>
      </c>
      <c r="J7" s="5">
        <f t="shared" ref="J7:J14" si="3">E7*H7*I7</f>
        <v>352</v>
      </c>
    </row>
    <row r="8" spans="1:10" x14ac:dyDescent="0.4">
      <c r="A8" s="6"/>
      <c r="B8" s="6"/>
      <c r="C8" s="6"/>
      <c r="D8" s="6"/>
      <c r="E8" s="6"/>
      <c r="F8" s="5">
        <f t="shared" si="0"/>
        <v>0</v>
      </c>
      <c r="G8" s="5">
        <f t="shared" si="1"/>
        <v>0</v>
      </c>
      <c r="H8" s="6"/>
      <c r="I8" s="6">
        <v>1</v>
      </c>
      <c r="J8" s="5">
        <f t="shared" si="3"/>
        <v>0</v>
      </c>
    </row>
    <row r="9" spans="1:10" x14ac:dyDescent="0.4">
      <c r="A9" s="6"/>
      <c r="B9" s="6"/>
      <c r="C9" s="6"/>
      <c r="D9" s="6"/>
      <c r="E9" s="6"/>
      <c r="F9" s="5">
        <f t="shared" si="0"/>
        <v>0</v>
      </c>
      <c r="G9" s="5">
        <f t="shared" si="1"/>
        <v>0</v>
      </c>
      <c r="H9" s="6"/>
      <c r="I9" s="6">
        <v>1</v>
      </c>
      <c r="J9" s="5">
        <f t="shared" si="3"/>
        <v>0</v>
      </c>
    </row>
    <row r="10" spans="1:10" x14ac:dyDescent="0.4">
      <c r="A10" s="6"/>
      <c r="B10" s="6"/>
      <c r="C10" s="6"/>
      <c r="D10" s="6"/>
      <c r="E10" s="6"/>
      <c r="F10" s="5">
        <f t="shared" si="0"/>
        <v>0</v>
      </c>
      <c r="G10" s="5">
        <f t="shared" si="1"/>
        <v>0</v>
      </c>
      <c r="H10" s="6"/>
      <c r="I10" s="6">
        <v>1</v>
      </c>
      <c r="J10" s="5">
        <f t="shared" si="3"/>
        <v>0</v>
      </c>
    </row>
    <row r="11" spans="1:10" x14ac:dyDescent="0.4">
      <c r="A11" s="6"/>
      <c r="B11" s="6"/>
      <c r="C11" s="6"/>
      <c r="D11" s="6"/>
      <c r="E11" s="6"/>
      <c r="F11" s="5">
        <f t="shared" si="0"/>
        <v>0</v>
      </c>
      <c r="G11" s="5">
        <f t="shared" si="1"/>
        <v>0</v>
      </c>
      <c r="H11" s="6"/>
      <c r="I11" s="6">
        <v>1</v>
      </c>
      <c r="J11" s="5">
        <f t="shared" si="3"/>
        <v>0</v>
      </c>
    </row>
    <row r="12" spans="1:10" x14ac:dyDescent="0.4">
      <c r="A12" s="6"/>
      <c r="B12" s="6"/>
      <c r="C12" s="6"/>
      <c r="D12" s="6"/>
      <c r="E12" s="6"/>
      <c r="F12" s="5">
        <f t="shared" si="0"/>
        <v>0</v>
      </c>
      <c r="G12" s="5">
        <f t="shared" si="1"/>
        <v>0</v>
      </c>
      <c r="H12" s="6"/>
      <c r="I12" s="6">
        <v>1</v>
      </c>
      <c r="J12" s="5">
        <f t="shared" si="3"/>
        <v>0</v>
      </c>
    </row>
    <row r="13" spans="1:10" x14ac:dyDescent="0.4">
      <c r="A13" s="6"/>
      <c r="B13" s="6"/>
      <c r="C13" s="6"/>
      <c r="D13" s="6"/>
      <c r="E13" s="6"/>
      <c r="F13" s="5">
        <f t="shared" si="0"/>
        <v>0</v>
      </c>
      <c r="G13" s="5">
        <f t="shared" si="1"/>
        <v>0</v>
      </c>
      <c r="H13" s="6"/>
      <c r="I13" s="6">
        <v>1</v>
      </c>
      <c r="J13" s="5">
        <f t="shared" si="3"/>
        <v>0</v>
      </c>
    </row>
    <row r="14" spans="1:10" x14ac:dyDescent="0.4">
      <c r="A14" s="6"/>
      <c r="B14" s="6"/>
      <c r="C14" s="6"/>
      <c r="D14" s="6"/>
      <c r="E14" s="6"/>
      <c r="F14" s="5">
        <f t="shared" si="0"/>
        <v>0</v>
      </c>
      <c r="G14" s="5">
        <f t="shared" si="1"/>
        <v>0</v>
      </c>
      <c r="H14" s="6"/>
      <c r="I14" s="6">
        <v>1</v>
      </c>
      <c r="J14" s="5">
        <f t="shared" si="3"/>
        <v>0</v>
      </c>
    </row>
    <row r="15" spans="1:10" x14ac:dyDescent="0.4">
      <c r="A15" s="6"/>
      <c r="B15" s="6"/>
      <c r="C15" s="6"/>
      <c r="D15" s="6"/>
      <c r="E15" s="6"/>
      <c r="F15" s="5">
        <f t="shared" ref="F15:F29" si="4">IF(C15="REG",0,IF(E15&lt;=0,0,IF(E15=1,3,IF(E15&lt;5,4,IF(E15&lt;12,5,IF(E15&lt;27,6,IF(E15&lt;58,7,IF(E15&lt;121,8,IF(E15&lt;248,9,IF(E15&lt;503,10,IF(E15&lt;1014,11,IF(E15&lt;2037,12,IF(E15&lt;4084,13,"OF")))))))))))))</f>
        <v>0</v>
      </c>
      <c r="G15" s="5">
        <f t="shared" ref="G15:G29" si="5">E15+F15</f>
        <v>0</v>
      </c>
      <c r="H15" s="6"/>
      <c r="I15" s="6">
        <v>1</v>
      </c>
      <c r="J15" s="5">
        <f t="shared" ref="J15:J29" si="6">E15*H15*I15</f>
        <v>0</v>
      </c>
    </row>
    <row r="16" spans="1:10" x14ac:dyDescent="0.4">
      <c r="A16" s="6"/>
      <c r="B16" s="6"/>
      <c r="C16" s="6"/>
      <c r="D16" s="6"/>
      <c r="E16" s="6"/>
      <c r="F16" s="5">
        <f t="shared" si="4"/>
        <v>0</v>
      </c>
      <c r="G16" s="5">
        <f t="shared" si="5"/>
        <v>0</v>
      </c>
      <c r="H16" s="6"/>
      <c r="I16" s="6">
        <v>1</v>
      </c>
      <c r="J16" s="5">
        <f t="shared" si="6"/>
        <v>0</v>
      </c>
    </row>
    <row r="17" spans="1:10" x14ac:dyDescent="0.4">
      <c r="A17" s="6"/>
      <c r="B17" s="6"/>
      <c r="C17" s="6"/>
      <c r="D17" s="6"/>
      <c r="E17" s="6"/>
      <c r="F17" s="5">
        <f t="shared" si="4"/>
        <v>0</v>
      </c>
      <c r="G17" s="5">
        <f t="shared" si="5"/>
        <v>0</v>
      </c>
      <c r="H17" s="6"/>
      <c r="I17" s="6">
        <v>1</v>
      </c>
      <c r="J17" s="5">
        <f t="shared" si="6"/>
        <v>0</v>
      </c>
    </row>
    <row r="18" spans="1:10" x14ac:dyDescent="0.4">
      <c r="A18" s="6"/>
      <c r="B18" s="6"/>
      <c r="C18" s="6"/>
      <c r="D18" s="6"/>
      <c r="E18" s="6"/>
      <c r="F18" s="5">
        <f t="shared" si="4"/>
        <v>0</v>
      </c>
      <c r="G18" s="5">
        <f t="shared" si="5"/>
        <v>0</v>
      </c>
      <c r="H18" s="6"/>
      <c r="I18" s="6">
        <v>1</v>
      </c>
      <c r="J18" s="5">
        <f t="shared" si="6"/>
        <v>0</v>
      </c>
    </row>
    <row r="19" spans="1:10" x14ac:dyDescent="0.4">
      <c r="A19" s="6"/>
      <c r="B19" s="6"/>
      <c r="C19" s="6"/>
      <c r="D19" s="6"/>
      <c r="E19" s="6"/>
      <c r="F19" s="5">
        <f t="shared" si="4"/>
        <v>0</v>
      </c>
      <c r="G19" s="5">
        <f t="shared" si="5"/>
        <v>0</v>
      </c>
      <c r="H19" s="6"/>
      <c r="I19" s="6">
        <v>1</v>
      </c>
      <c r="J19" s="5">
        <f t="shared" si="6"/>
        <v>0</v>
      </c>
    </row>
    <row r="20" spans="1:10" x14ac:dyDescent="0.4">
      <c r="A20" s="6"/>
      <c r="B20" s="6"/>
      <c r="C20" s="6"/>
      <c r="D20" s="6"/>
      <c r="E20" s="6"/>
      <c r="F20" s="5">
        <f t="shared" si="4"/>
        <v>0</v>
      </c>
      <c r="G20" s="5">
        <f t="shared" si="5"/>
        <v>0</v>
      </c>
      <c r="H20" s="6"/>
      <c r="I20" s="6">
        <v>1</v>
      </c>
      <c r="J20" s="5">
        <f t="shared" si="6"/>
        <v>0</v>
      </c>
    </row>
    <row r="21" spans="1:10" x14ac:dyDescent="0.4">
      <c r="A21" s="6"/>
      <c r="B21" s="6"/>
      <c r="C21" s="6"/>
      <c r="D21" s="6"/>
      <c r="E21" s="6"/>
      <c r="F21" s="5">
        <f t="shared" si="4"/>
        <v>0</v>
      </c>
      <c r="G21" s="5">
        <f t="shared" si="5"/>
        <v>0</v>
      </c>
      <c r="H21" s="6"/>
      <c r="I21" s="6">
        <v>1</v>
      </c>
      <c r="J21" s="5">
        <f t="shared" si="6"/>
        <v>0</v>
      </c>
    </row>
    <row r="22" spans="1:10" x14ac:dyDescent="0.4">
      <c r="A22" s="6"/>
      <c r="B22" s="6"/>
      <c r="C22" s="6"/>
      <c r="D22" s="6"/>
      <c r="E22" s="6"/>
      <c r="F22" s="5">
        <f t="shared" si="4"/>
        <v>0</v>
      </c>
      <c r="G22" s="5">
        <f t="shared" si="5"/>
        <v>0</v>
      </c>
      <c r="H22" s="6"/>
      <c r="I22" s="6">
        <v>1</v>
      </c>
      <c r="J22" s="5">
        <f t="shared" si="6"/>
        <v>0</v>
      </c>
    </row>
    <row r="23" spans="1:10" x14ac:dyDescent="0.4">
      <c r="A23" s="6"/>
      <c r="B23" s="6"/>
      <c r="C23" s="6"/>
      <c r="D23" s="6"/>
      <c r="E23" s="6"/>
      <c r="F23" s="5">
        <f t="shared" si="4"/>
        <v>0</v>
      </c>
      <c r="G23" s="5">
        <f t="shared" si="5"/>
        <v>0</v>
      </c>
      <c r="H23" s="6"/>
      <c r="I23" s="6">
        <v>1</v>
      </c>
      <c r="J23" s="5">
        <f t="shared" si="6"/>
        <v>0</v>
      </c>
    </row>
    <row r="24" spans="1:10" x14ac:dyDescent="0.4">
      <c r="A24" s="6"/>
      <c r="B24" s="6"/>
      <c r="C24" s="6"/>
      <c r="D24" s="6"/>
      <c r="E24" s="6"/>
      <c r="F24" s="5">
        <f t="shared" si="4"/>
        <v>0</v>
      </c>
      <c r="G24" s="5">
        <f t="shared" si="5"/>
        <v>0</v>
      </c>
      <c r="H24" s="6"/>
      <c r="I24" s="6">
        <v>1</v>
      </c>
      <c r="J24" s="5">
        <f t="shared" si="6"/>
        <v>0</v>
      </c>
    </row>
    <row r="25" spans="1:10" x14ac:dyDescent="0.4">
      <c r="A25" s="6"/>
      <c r="B25" s="6"/>
      <c r="C25" s="6"/>
      <c r="D25" s="6"/>
      <c r="E25" s="6"/>
      <c r="F25" s="5">
        <f t="shared" si="4"/>
        <v>0</v>
      </c>
      <c r="G25" s="5">
        <f t="shared" si="5"/>
        <v>0</v>
      </c>
      <c r="H25" s="6"/>
      <c r="I25" s="6">
        <v>1</v>
      </c>
      <c r="J25" s="5">
        <f t="shared" si="6"/>
        <v>0</v>
      </c>
    </row>
    <row r="26" spans="1:10" x14ac:dyDescent="0.4">
      <c r="A26" s="6"/>
      <c r="B26" s="6"/>
      <c r="C26" s="6"/>
      <c r="D26" s="6"/>
      <c r="E26" s="6"/>
      <c r="F26" s="5">
        <f t="shared" si="4"/>
        <v>0</v>
      </c>
      <c r="G26" s="5">
        <f t="shared" si="5"/>
        <v>0</v>
      </c>
      <c r="H26" s="6"/>
      <c r="I26" s="6">
        <v>1</v>
      </c>
      <c r="J26" s="5">
        <f t="shared" si="6"/>
        <v>0</v>
      </c>
    </row>
    <row r="27" spans="1:10" x14ac:dyDescent="0.4">
      <c r="A27" s="6"/>
      <c r="B27" s="6"/>
      <c r="C27" s="6"/>
      <c r="D27" s="6"/>
      <c r="E27" s="6"/>
      <c r="F27" s="5">
        <f t="shared" si="4"/>
        <v>0</v>
      </c>
      <c r="G27" s="5">
        <f t="shared" si="5"/>
        <v>0</v>
      </c>
      <c r="H27" s="6"/>
      <c r="I27" s="6">
        <v>1</v>
      </c>
      <c r="J27" s="5">
        <f t="shared" si="6"/>
        <v>0</v>
      </c>
    </row>
    <row r="28" spans="1:10" x14ac:dyDescent="0.4">
      <c r="A28" s="6"/>
      <c r="B28" s="6"/>
      <c r="C28" s="6"/>
      <c r="D28" s="6"/>
      <c r="E28" s="6"/>
      <c r="F28" s="5">
        <f t="shared" si="4"/>
        <v>0</v>
      </c>
      <c r="G28" s="5">
        <f t="shared" si="5"/>
        <v>0</v>
      </c>
      <c r="H28" s="6"/>
      <c r="I28" s="6">
        <v>1</v>
      </c>
      <c r="J28" s="5">
        <f t="shared" si="6"/>
        <v>0</v>
      </c>
    </row>
    <row r="29" spans="1:10" x14ac:dyDescent="0.4">
      <c r="A29" s="6"/>
      <c r="B29" s="6"/>
      <c r="C29" s="6"/>
      <c r="D29" s="6"/>
      <c r="E29" s="6"/>
      <c r="F29" s="5">
        <f t="shared" si="4"/>
        <v>0</v>
      </c>
      <c r="G29" s="5">
        <f t="shared" si="5"/>
        <v>0</v>
      </c>
      <c r="H29" s="6"/>
      <c r="I29" s="6">
        <v>1</v>
      </c>
      <c r="J29" s="5">
        <f t="shared" si="6"/>
        <v>0</v>
      </c>
    </row>
    <row r="30" spans="1:10" ht="5.25" customHeight="1" x14ac:dyDescent="0.4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 x14ac:dyDescent="0.4">
      <c r="G31" s="11" t="s">
        <v>57</v>
      </c>
      <c r="H31" s="12">
        <f>SUM(J3:J29)-J31</f>
        <v>94560</v>
      </c>
      <c r="I31" s="11" t="s">
        <v>58</v>
      </c>
      <c r="J31" s="13">
        <f>SUMIF(C3:C29,"REG",J3:J29)</f>
        <v>1120</v>
      </c>
    </row>
  </sheetData>
  <mergeCells count="8">
    <mergeCell ref="I1:I2"/>
    <mergeCell ref="J1:J2"/>
    <mergeCell ref="A1:A2"/>
    <mergeCell ref="B1:B2"/>
    <mergeCell ref="C1:C2"/>
    <mergeCell ref="D1:D2"/>
    <mergeCell ref="E1:G1"/>
    <mergeCell ref="H1:H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/>
  <dimension ref="A1:O36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10" sqref="I10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39</v>
      </c>
      <c r="C1" s="2" t="s">
        <v>40</v>
      </c>
      <c r="D1" s="7"/>
      <c r="M1" s="9" t="s">
        <v>55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26</v>
      </c>
    </row>
    <row r="5" spans="1:13" x14ac:dyDescent="0.4">
      <c r="B5" s="1" t="s">
        <v>4</v>
      </c>
      <c r="C5" s="1" t="s">
        <v>23</v>
      </c>
      <c r="D5" s="1" t="s">
        <v>33</v>
      </c>
      <c r="E5" s="1" t="s">
        <v>12</v>
      </c>
      <c r="F5" s="1" t="s">
        <v>41</v>
      </c>
      <c r="G5" s="1"/>
      <c r="H5" s="1"/>
      <c r="I5" s="1"/>
      <c r="J5" s="1"/>
      <c r="K5" s="1"/>
      <c r="L5" s="1"/>
      <c r="M5" s="1"/>
    </row>
    <row r="6" spans="1:13" x14ac:dyDescent="0.4">
      <c r="B6" s="2"/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59</v>
      </c>
    </row>
    <row r="10" spans="1:13" x14ac:dyDescent="0.4">
      <c r="B10" s="1" t="s">
        <v>4</v>
      </c>
      <c r="C10" s="1" t="s">
        <v>23</v>
      </c>
      <c r="D10" s="1" t="s">
        <v>11</v>
      </c>
      <c r="E10" s="1" t="s">
        <v>12</v>
      </c>
      <c r="F10" s="1" t="s">
        <v>41</v>
      </c>
      <c r="G10" s="1" t="s">
        <v>60</v>
      </c>
      <c r="H10" s="1" t="s">
        <v>61</v>
      </c>
      <c r="I10" s="1" t="s">
        <v>62</v>
      </c>
      <c r="J10" s="20" t="s">
        <v>5</v>
      </c>
      <c r="K10" s="1"/>
      <c r="L10" s="1"/>
      <c r="M10" s="1"/>
    </row>
    <row r="11" spans="1:13" x14ac:dyDescent="0.4">
      <c r="B11" s="2"/>
      <c r="C11" s="2">
        <v>3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9" t="s">
        <v>63</v>
      </c>
      <c r="K11" s="2"/>
      <c r="L11" s="2"/>
      <c r="M11" s="2"/>
    </row>
    <row r="14" spans="1:13" ht="17.649999999999999" x14ac:dyDescent="0.4">
      <c r="A14" s="4" t="s">
        <v>36</v>
      </c>
    </row>
    <row r="15" spans="1:13" x14ac:dyDescent="0.4">
      <c r="B15" s="1" t="s">
        <v>4</v>
      </c>
      <c r="C15" s="1" t="s">
        <v>23</v>
      </c>
      <c r="D15" s="1" t="s">
        <v>33</v>
      </c>
      <c r="E15" s="1" t="s">
        <v>12</v>
      </c>
      <c r="F15" s="1" t="s">
        <v>17</v>
      </c>
      <c r="G15" s="1" t="s">
        <v>42</v>
      </c>
      <c r="H15" s="1" t="s">
        <v>44</v>
      </c>
      <c r="I15" s="1" t="s">
        <v>26</v>
      </c>
      <c r="J15" s="1" t="s">
        <v>27</v>
      </c>
      <c r="K15" s="1"/>
      <c r="L15" s="1"/>
      <c r="M15" s="1"/>
    </row>
    <row r="16" spans="1:13" x14ac:dyDescent="0.4">
      <c r="B16" s="2"/>
      <c r="C16" s="2">
        <v>3</v>
      </c>
      <c r="D16" s="2">
        <v>4</v>
      </c>
      <c r="E16" s="2">
        <v>1024</v>
      </c>
      <c r="F16" s="2">
        <v>25</v>
      </c>
      <c r="G16" s="2" t="s">
        <v>43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5" ht="17.649999999999999" x14ac:dyDescent="0.4">
      <c r="A19" s="4" t="s">
        <v>34</v>
      </c>
    </row>
    <row r="20" spans="1:15" x14ac:dyDescent="0.4">
      <c r="B20" s="1" t="s">
        <v>4</v>
      </c>
      <c r="C20" s="1" t="s">
        <v>23</v>
      </c>
      <c r="D20" s="1" t="s">
        <v>33</v>
      </c>
      <c r="E20" s="1" t="s">
        <v>12</v>
      </c>
      <c r="F20" s="1" t="s">
        <v>17</v>
      </c>
      <c r="G20" s="1" t="s">
        <v>13</v>
      </c>
      <c r="H20" s="1" t="s">
        <v>48</v>
      </c>
      <c r="I20" s="1"/>
      <c r="J20" s="1"/>
      <c r="K20" s="1"/>
      <c r="L20" s="1"/>
      <c r="M20" s="1"/>
    </row>
    <row r="21" spans="1:15" x14ac:dyDescent="0.4">
      <c r="B21" s="2"/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5" ht="17.649999999999999" x14ac:dyDescent="0.4">
      <c r="A24" s="4" t="s">
        <v>35</v>
      </c>
    </row>
    <row r="25" spans="1:15" x14ac:dyDescent="0.4">
      <c r="B25" s="1" t="s">
        <v>4</v>
      </c>
      <c r="C25" s="1" t="s">
        <v>23</v>
      </c>
      <c r="D25" s="1" t="s">
        <v>33</v>
      </c>
      <c r="E25" s="1" t="s">
        <v>12</v>
      </c>
      <c r="F25" s="1" t="s">
        <v>13</v>
      </c>
      <c r="G25" s="1" t="s">
        <v>56</v>
      </c>
      <c r="H25" s="1" t="s">
        <v>25</v>
      </c>
      <c r="I25" s="1" t="s">
        <v>14</v>
      </c>
      <c r="J25" s="1" t="s">
        <v>24</v>
      </c>
      <c r="K25" s="1"/>
      <c r="L25" s="1"/>
      <c r="M25" s="1"/>
    </row>
    <row r="26" spans="1:15" x14ac:dyDescent="0.4">
      <c r="B26" s="2"/>
      <c r="C26" s="2">
        <v>3</v>
      </c>
      <c r="D26" s="2">
        <v>2</v>
      </c>
      <c r="E26" s="2">
        <v>2048</v>
      </c>
      <c r="F26" s="2">
        <v>16</v>
      </c>
      <c r="G26" s="2" t="s">
        <v>43</v>
      </c>
      <c r="H26" s="2">
        <v>32</v>
      </c>
      <c r="I26" s="2" t="b">
        <v>1</v>
      </c>
      <c r="J26" s="2">
        <v>1</v>
      </c>
      <c r="K26" s="2"/>
      <c r="L26" s="2"/>
      <c r="M26" s="2"/>
    </row>
    <row r="29" spans="1:15" ht="17.649999999999999" x14ac:dyDescent="0.4">
      <c r="A29" s="4" t="s">
        <v>37</v>
      </c>
    </row>
    <row r="30" spans="1:15" x14ac:dyDescent="0.4">
      <c r="B30" s="1" t="s">
        <v>4</v>
      </c>
      <c r="C30" s="1" t="s">
        <v>29</v>
      </c>
      <c r="D30" s="1" t="s">
        <v>33</v>
      </c>
      <c r="E30" s="1" t="s">
        <v>5</v>
      </c>
      <c r="F30" s="1" t="s">
        <v>1</v>
      </c>
      <c r="G30" s="1" t="s">
        <v>28</v>
      </c>
      <c r="H30" s="1" t="s">
        <v>2</v>
      </c>
      <c r="I30" s="1" t="s">
        <v>0</v>
      </c>
      <c r="J30" s="1" t="s">
        <v>3</v>
      </c>
      <c r="K30" s="1" t="s">
        <v>7</v>
      </c>
      <c r="L30" s="1" t="s">
        <v>8</v>
      </c>
      <c r="M30" s="1" t="s">
        <v>9</v>
      </c>
      <c r="N30" s="1" t="s">
        <v>11</v>
      </c>
      <c r="O30" s="1" t="s">
        <v>10</v>
      </c>
    </row>
    <row r="31" spans="1:15" x14ac:dyDescent="0.4">
      <c r="B31" s="2"/>
      <c r="C31" s="2">
        <v>6</v>
      </c>
      <c r="D31" s="2">
        <v>6</v>
      </c>
      <c r="E31" s="2" t="s">
        <v>6</v>
      </c>
      <c r="F31" s="2">
        <v>8</v>
      </c>
      <c r="G31" s="2">
        <v>1024</v>
      </c>
      <c r="H31" s="2">
        <v>6</v>
      </c>
      <c r="I31" s="2">
        <v>2</v>
      </c>
      <c r="J31" s="2">
        <v>2</v>
      </c>
      <c r="K31" s="3">
        <f>F31*H31*I31*(J31+1)</f>
        <v>288</v>
      </c>
      <c r="L31" s="3">
        <f>H31*(J31+1)</f>
        <v>18</v>
      </c>
      <c r="M31" s="3">
        <f>IF(E31="RRDPA",CEILING(LOG(MAX(F31,H31),2),1)*I31*J31,IF(E31="BDPA",(CEILING(LOG(F31,2),1)+F31*CEILING(LOG(H31,2),1))*I31*J31,IF(E31="EIAA",(H31*CEILING(LOG(F31,2),1)+F31*CEILING(LOG(H31,2),1))*I31*J31,0)))</f>
        <v>12</v>
      </c>
      <c r="N31" s="2">
        <v>1</v>
      </c>
      <c r="O31" s="3">
        <f>(K31+L31+M31)*N31</f>
        <v>318</v>
      </c>
    </row>
    <row r="34" spans="1:13" ht="17.649999999999999" x14ac:dyDescent="0.4">
      <c r="A34" s="4" t="s">
        <v>38</v>
      </c>
    </row>
    <row r="35" spans="1:13" x14ac:dyDescent="0.4">
      <c r="B35" s="1" t="s">
        <v>4</v>
      </c>
      <c r="C35" s="1" t="s">
        <v>23</v>
      </c>
      <c r="D35" s="1" t="s">
        <v>33</v>
      </c>
      <c r="E35" s="1" t="s">
        <v>30</v>
      </c>
      <c r="F35" s="1" t="s">
        <v>31</v>
      </c>
      <c r="G35" s="1" t="s">
        <v>32</v>
      </c>
      <c r="H35" s="1"/>
      <c r="I35" s="1"/>
      <c r="J35" s="1"/>
      <c r="K35" s="1"/>
      <c r="L35" s="1"/>
      <c r="M35" s="1"/>
    </row>
    <row r="36" spans="1:13" x14ac:dyDescent="0.4">
      <c r="B36" s="2"/>
      <c r="C36" s="2">
        <v>6</v>
      </c>
      <c r="D36" s="2"/>
      <c r="E36" s="2">
        <v>12</v>
      </c>
      <c r="F36" s="2">
        <v>5</v>
      </c>
      <c r="G36" s="2">
        <v>6</v>
      </c>
      <c r="H36" s="2"/>
      <c r="I36" s="2"/>
      <c r="J36" s="2"/>
      <c r="K36" s="2"/>
      <c r="L36" s="2"/>
      <c r="M36" s="2"/>
    </row>
  </sheetData>
  <phoneticPr fontId="1" type="noConversion"/>
  <dataValidations count="8">
    <dataValidation type="list" showInputMessage="1" showErrorMessage="1" sqref="E31" xr:uid="{9F40F0B9-21A3-400A-8238-8B96C7F869A1}">
      <formula1>"SPDPA,RRDPA,BDPA,EIAA"</formula1>
    </dataValidation>
    <dataValidation type="whole" showInputMessage="1" showErrorMessage="1" sqref="F31:J31 N31" xr:uid="{4E2318B6-493B-45F0-989C-60D9F76C3EA4}">
      <formula1>1</formula1>
      <formula2>1024</formula2>
    </dataValidation>
    <dataValidation type="whole" operator="greaterThanOrEqual" allowBlank="1" showInputMessage="1" showErrorMessage="1" sqref="C6:F6 C31:D31 C21:G21 C26:F26 C16:F16 H16 H26 C11:I11" xr:uid="{DFB266BC-50B3-4AD8-9736-2F6E173EB946}">
      <formula1>1</formula1>
    </dataValidation>
    <dataValidation type="whole" operator="greaterThanOrEqual" allowBlank="1" showInputMessage="1" showErrorMessage="1" sqref="I16 H21 J26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30</xdr:row>
                    <xdr:rowOff>19050</xdr:rowOff>
                  </from>
                  <to>
                    <xdr:col>0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35</xdr:row>
                    <xdr:rowOff>4763</xdr:rowOff>
                  </from>
                  <to>
                    <xdr:col>0</xdr:col>
                    <xdr:colOff>495300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54</v>
      </c>
    </row>
    <row r="3" spans="1:2" x14ac:dyDescent="0.4">
      <c r="B3" t="s">
        <v>51</v>
      </c>
    </row>
    <row r="4" spans="1:2" x14ac:dyDescent="0.4">
      <c r="B4" s="8" t="s">
        <v>52</v>
      </c>
    </row>
    <row r="5" spans="1:2" x14ac:dyDescent="0.4">
      <c r="B5" t="s">
        <v>53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32</vt:i4>
      </vt:variant>
    </vt:vector>
  </HeadingPairs>
  <TitlesOfParts>
    <vt:vector size="35" baseType="lpstr">
      <vt:lpstr>DataSummary</vt:lpstr>
      <vt:lpstr>Script</vt:lpstr>
      <vt:lpstr>ScriptHelp</vt:lpstr>
      <vt:lpstr>ARB_IPTR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DestSheet</vt:lpstr>
      <vt:lpstr>FLAG_BITS</vt:lpstr>
      <vt:lpstr>FLAG_SIZE</vt:lpstr>
      <vt:lpstr>INST</vt:lpstr>
      <vt:lpstr>NAME</vt:lpstr>
      <vt:lpstr>OFFSET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2019-10-04T12:08:22Z</dcterms:modified>
</cp:coreProperties>
</file>