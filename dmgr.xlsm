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5D335C7B-B76D-417E-88F1-DCBB183356E2}" xr6:coauthVersionLast="43" xr6:coauthVersionMax="43" xr10:uidLastSave="{00000000-0000-0000-0000-000000000000}"/>
  <bookViews>
    <workbookView xWindow="-98" yWindow="-98" windowWidth="20715" windowHeight="13276" xr2:uid="{2CE4B1C9-8906-421A-B932-A2C3F5D0AC6B}"/>
  </bookViews>
  <sheets>
    <sheet name="DataSummary" sheetId="2" r:id="rId1"/>
    <sheet name="Parameter" sheetId="1" r:id="rId2"/>
  </sheets>
  <functionGroups builtInGroupCount="19"/>
  <definedNames>
    <definedName name="ARB_IPTR">Parameter!$F$4</definedName>
    <definedName name="BM_BMP">Parameter!$H$16</definedName>
    <definedName name="QM_DUADIR">Parameter!$I$10</definedName>
    <definedName name="QM_EXTBIT">Parameter!$J$10</definedName>
    <definedName name="QM_NAME">Parameter!$B$10</definedName>
    <definedName name="QM_OFST">Parameter!$C$10</definedName>
    <definedName name="QM_SIZE">Parameter!$D$10</definedName>
    <definedName name="SC_G2C">Parameter!$F$21</definedName>
    <definedName name="SC_RNUM">Parameter!$D$21</definedName>
    <definedName name="SC_RSIZE">Parameter!$E$21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2" l="1"/>
  <c r="H7" i="2"/>
  <c r="A7" i="2"/>
  <c r="E6" i="2"/>
  <c r="H6" i="2"/>
  <c r="A6" i="2"/>
  <c r="H11" i="2"/>
  <c r="E11" i="2"/>
  <c r="A11" i="2"/>
  <c r="F15" i="2" l="1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G26" i="2" l="1"/>
  <c r="G22" i="2"/>
  <c r="G18" i="2"/>
  <c r="F14" i="2" l="1"/>
  <c r="G14" i="2" s="1"/>
  <c r="F11" i="2"/>
  <c r="G11" i="2" s="1"/>
  <c r="L6" i="1"/>
  <c r="L5" i="1"/>
  <c r="F7" i="2"/>
  <c r="G7" i="2" s="1"/>
  <c r="F6" i="2"/>
  <c r="G6" i="2" s="1"/>
  <c r="F5" i="2"/>
  <c r="G5" i="2" s="1"/>
  <c r="J6" i="1"/>
  <c r="K6" i="1"/>
  <c r="G3" i="2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9" i="2" l="1"/>
  <c r="J13" i="2"/>
  <c r="J12" i="2"/>
  <c r="J14" i="2"/>
  <c r="J4" i="2"/>
  <c r="J3" i="2"/>
  <c r="K5" i="1"/>
  <c r="J5" i="1"/>
  <c r="J10" i="2" l="1"/>
  <c r="J11" i="2"/>
  <c r="J8" i="2"/>
  <c r="J6" i="2"/>
  <c r="J9" i="2"/>
  <c r="J7" i="2"/>
  <c r="J5" i="2"/>
  <c r="N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D21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E21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F21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<sst xmlns="http://schemas.openxmlformats.org/spreadsheetml/2006/main" count="56" uniqueCount="43">
  <si>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</si>
  <si>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</si>
  <si>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</si>
  <si>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</si>
  <si>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</si>
  <si>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</si>
  <si>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RRDPA</t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</si>
  <si>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</si>
  <si>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</si>
  <si>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</si>
  <si>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</si>
  <si>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</si>
  <si>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1. Arbiter Register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</si>
  <si>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</si>
  <si>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</si>
  <si>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</si>
  <si>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</si>
  <si>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</si>
  <si>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</si>
  <si>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</si>
  <si>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</si>
  <si>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</si>
  <si>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</si>
  <si>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</si>
  <si>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</si>
  <si>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rrq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</si>
  <si>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</si>
  <si>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</si>
  <si>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</si>
  <si>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</si>
  <si>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2. QM</t>
    <phoneticPr fontId="1" type="noConversion"/>
  </si>
  <si>
    <t>3. Buffer</t>
    <phoneticPr fontId="1" type="noConversion"/>
  </si>
  <si>
    <t>InputPtr</t>
    <phoneticPr fontId="1" type="noConversion"/>
  </si>
  <si>
    <t>Offset</t>
    <phoneticPr fontId="1" type="noConversion"/>
  </si>
  <si>
    <t>wbt</t>
    <phoneticPr fontId="1" type="noConversion"/>
  </si>
  <si>
    <t xml:space="preserve">4.Schedule System 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</si>
  <si>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</si>
  <si>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</si>
  <si>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</si>
  <si>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TP</t>
  </si>
  <si>
    <t>1R1W</t>
  </si>
  <si>
    <t>数据结构汇总表名</t>
    <phoneticPr fontId="1" type="noConversion"/>
  </si>
  <si>
    <t>REG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</si>
</sst>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4763</xdr:rowOff>
        </xdr:from>
        <xdr:to>
          <xdr:col>0</xdr:col>
          <xdr:colOff>495300</xdr:colOff>
          <xdr:row>16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4</xdr:row>
          <xdr:rowOff>19050</xdr:rowOff>
        </xdr:from>
        <xdr:to>
          <xdr:col>0</xdr:col>
          <xdr:colOff>447675</xdr:colOff>
          <xdr:row>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21</xdr:row>
          <xdr:rowOff>4763</xdr:rowOff>
        </xdr:from>
        <xdr:to>
          <xdr:col>0</xdr:col>
          <xdr:colOff>495300</xdr:colOff>
          <xdr:row>21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29"/>
  <sheetViews>
    <sheetView tabSelected="1" workbookViewId="0">
      <selection activeCell="B16" sqref="B16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7" t="s">
        <v>4</v>
      </c>
      <c r="B1" s="7" t="s">
        <v>16</v>
      </c>
      <c r="C1" s="7" t="s">
        <v>5</v>
      </c>
      <c r="D1" s="7" t="s">
        <v>17</v>
      </c>
      <c r="E1" s="9" t="s">
        <v>18</v>
      </c>
      <c r="F1" s="10"/>
      <c r="G1" s="11"/>
      <c r="H1" s="7" t="s">
        <v>21</v>
      </c>
      <c r="I1" s="7" t="s">
        <v>22</v>
      </c>
      <c r="J1" s="7" t="s">
        <v>23</v>
      </c>
    </row>
    <row r="2" spans="1:10" x14ac:dyDescent="0.4">
      <c r="A2" s="8"/>
      <c r="B2" s="8"/>
      <c r="C2" s="8"/>
      <c r="D2" s="8"/>
      <c r="E2" s="1" t="s">
        <v>19</v>
      </c>
      <c r="F2" s="1" t="s">
        <v>20</v>
      </c>
      <c r="G2" s="1" t="s">
        <v>10</v>
      </c>
      <c r="H2" s="8"/>
      <c r="I2" s="8"/>
      <c r="J2" s="8"/>
    </row>
    <row r="3" spans="1:10" x14ac:dyDescent="0.4">
      <c r="A3" s="6"/>
      <c r="B3" s="6"/>
      <c r="C3" s="6"/>
      <c r="D3" s="6"/>
      <c r="E3" s="6"/>
      <c r="F3" s="5">
        <f>IF(C3="REG",0,IF(E3&lt;=0,0,IF(E3=1,3,IF(E3&lt;5,4,IF(E3&lt;12,5,IF(E3&lt;27,6,IF(E3&lt;58,7,IF(E3&lt;121,8,IF(E3&lt;248,9,IF(E3&lt;503,10,IF(E3&lt;1014,11,IF(E3&lt;2037,12,IF(E3&lt;4084,13,"OF")))))))))))))</f>
        <v>0</v>
      </c>
      <c r="G3" s="5">
        <f>E3+F3</f>
        <v>0</v>
      </c>
      <c r="H3" s="6"/>
      <c r="I3" s="6">
        <v>1</v>
      </c>
      <c r="J3" s="5">
        <f>E3*H3*I3</f>
        <v>0</v>
      </c>
    </row>
    <row r="4" spans="1:10" x14ac:dyDescent="0.4">
      <c r="A4" s="6"/>
      <c r="B4" s="6"/>
      <c r="C4" s="6"/>
      <c r="D4" s="6"/>
      <c r="E4" s="6"/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0</v>
      </c>
      <c r="G4" s="5">
        <f t="shared" ref="G4:G14" si="1">E4+F4</f>
        <v>0</v>
      </c>
      <c r="H4" s="6"/>
      <c r="I4" s="6">
        <v>1</v>
      </c>
      <c r="J4" s="5">
        <f t="shared" ref="J4:J6" si="2">E4*H4*I4</f>
        <v>0</v>
      </c>
    </row>
    <row r="5" spans="1:10" x14ac:dyDescent="0.4">
      <c r="A5" s="6"/>
      <c r="B5" s="6"/>
      <c r="C5" s="6"/>
      <c r="D5" s="6"/>
      <c r="E5" s="6"/>
      <c r="F5" s="5">
        <f t="shared" si="0"/>
        <v>0</v>
      </c>
      <c r="G5" s="5">
        <f t="shared" si="1"/>
        <v>0</v>
      </c>
      <c r="H5" s="6"/>
      <c r="I5" s="6">
        <v>1</v>
      </c>
      <c r="J5" s="5">
        <f t="shared" si="2"/>
        <v>0</v>
      </c>
    </row>
    <row r="6" spans="1:10" x14ac:dyDescent="0.4">
      <c r="A6" s="6" t="str">
        <f>CONCATENATE(Parameter!B22,"_rcnt")</f>
        <v>rrq_rcnt</v>
      </c>
      <c r="B6" s="6"/>
      <c r="C6" s="6" t="s">
        <v>42</v>
      </c>
      <c r="D6" s="6"/>
      <c r="E6" s="6">
        <f>Parameter!E22+1</f>
        <v>6</v>
      </c>
      <c r="F6" s="5">
        <f t="shared" si="0"/>
        <v>0</v>
      </c>
      <c r="G6" s="5">
        <f t="shared" si="1"/>
        <v>6</v>
      </c>
      <c r="H6" s="6">
        <f>Parameter!D22</f>
        <v>12</v>
      </c>
      <c r="I6" s="6">
        <v>1</v>
      </c>
      <c r="J6" s="5">
        <f t="shared" si="2"/>
        <v>72</v>
      </c>
    </row>
    <row r="7" spans="1:10" x14ac:dyDescent="0.4">
      <c r="A7" s="6" t="str">
        <f>CONCATENATE(Parameter!B22,"_rct_fifo")</f>
        <v>rrq_rct_fifo</v>
      </c>
      <c r="B7" s="6"/>
      <c r="C7" s="6" t="s">
        <v>42</v>
      </c>
      <c r="D7" s="6"/>
      <c r="E7" s="6">
        <f>CEILING(LOG(Parameter!D22,2)+1,1)</f>
        <v>5</v>
      </c>
      <c r="F7" s="5">
        <f t="shared" si="0"/>
        <v>0</v>
      </c>
      <c r="G7" s="5">
        <f t="shared" si="1"/>
        <v>5</v>
      </c>
      <c r="H7" s="6">
        <f>Parameter!F22</f>
        <v>6</v>
      </c>
      <c r="I7" s="6">
        <v>1</v>
      </c>
      <c r="J7" s="5">
        <f t="shared" ref="J7:J14" si="3">E7*H7*I7</f>
        <v>30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 t="str">
        <f>CONCATENATE(Parameter!B17, "_buf")</f>
        <v>rrq_buf</v>
      </c>
      <c r="B11" s="6"/>
      <c r="C11" s="6" t="s">
        <v>39</v>
      </c>
      <c r="D11" s="6" t="s">
        <v>40</v>
      </c>
      <c r="E11" s="6">
        <f>Parameter!E17</f>
        <v>40</v>
      </c>
      <c r="F11" s="5">
        <f t="shared" si="0"/>
        <v>7</v>
      </c>
      <c r="G11" s="5">
        <f t="shared" si="1"/>
        <v>47</v>
      </c>
      <c r="H11" s="6">
        <f>Parameter!D17</f>
        <v>2048</v>
      </c>
      <c r="I11" s="6">
        <v>1</v>
      </c>
      <c r="J11" s="5">
        <f t="shared" si="3"/>
        <v>81920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N22"/>
  <sheetViews>
    <sheetView workbookViewId="0">
      <selection activeCell="D1" sqref="D1"/>
    </sheetView>
  </sheetViews>
  <sheetFormatPr defaultRowHeight="13.9" x14ac:dyDescent="0.4"/>
  <cols>
    <col min="1" max="1" width="23.06640625" customWidth="1"/>
    <col min="2" max="2" width="18.73046875" customWidth="1"/>
    <col min="3" max="3" width="12.6640625" customWidth="1"/>
    <col min="4" max="4" width="11.1328125" customWidth="1"/>
    <col min="5" max="5" width="10.53125" customWidth="1"/>
    <col min="6" max="6" width="12.19921875" customWidth="1"/>
    <col min="7" max="7" width="7.265625" customWidth="1"/>
  </cols>
  <sheetData>
    <row r="1" spans="1:14" ht="27.75" x14ac:dyDescent="0.4">
      <c r="C1" s="12" t="s">
        <v>41</v>
      </c>
    </row>
    <row r="3" spans="1:14" ht="17.649999999999999" x14ac:dyDescent="0.4">
      <c r="A3" s="4" t="s">
        <v>12</v>
      </c>
    </row>
    <row r="4" spans="1:14" x14ac:dyDescent="0.4">
      <c r="B4" s="1" t="s">
        <v>4</v>
      </c>
      <c r="C4" s="1" t="s">
        <v>33</v>
      </c>
      <c r="D4" s="1" t="s">
        <v>5</v>
      </c>
      <c r="E4" s="1" t="s">
        <v>1</v>
      </c>
      <c r="F4" s="1" t="s">
        <v>32</v>
      </c>
      <c r="G4" s="1" t="s">
        <v>2</v>
      </c>
      <c r="H4" s="1" t="s">
        <v>0</v>
      </c>
      <c r="I4" s="1" t="s">
        <v>3</v>
      </c>
      <c r="J4" s="1" t="s">
        <v>7</v>
      </c>
      <c r="K4" s="1" t="s">
        <v>8</v>
      </c>
      <c r="L4" s="1" t="s">
        <v>9</v>
      </c>
      <c r="M4" s="1" t="s">
        <v>11</v>
      </c>
      <c r="N4" s="1" t="s">
        <v>10</v>
      </c>
    </row>
    <row r="5" spans="1:14" x14ac:dyDescent="0.4">
      <c r="B5" s="2" t="s">
        <v>34</v>
      </c>
      <c r="C5" s="2">
        <v>14</v>
      </c>
      <c r="D5" s="2" t="s">
        <v>6</v>
      </c>
      <c r="E5" s="2">
        <v>8</v>
      </c>
      <c r="F5" s="2">
        <v>1024</v>
      </c>
      <c r="G5" s="2">
        <v>6</v>
      </c>
      <c r="H5" s="2">
        <v>2</v>
      </c>
      <c r="I5" s="2">
        <v>2</v>
      </c>
      <c r="J5" s="3">
        <f>E5*G5*H5*(I5+1)</f>
        <v>288</v>
      </c>
      <c r="K5" s="3">
        <f>G5*(I5+1)</f>
        <v>18</v>
      </c>
      <c r="L5" s="3">
        <f>IF(D5="RRDPA",CEILING(LOG(MAX(E5,G5),2),1)*H5*I5,IF(D5="BDPA",(CEILING(LOG(E5,2),1)+E5*CEILING(LOG(G5,2),1))*H5*I5,IF(D5="EIAA",(G5*CEILING(LOG(E5,2),1)+E5*CEILING(LOG(G5,2),1))*H5*I5,0)))</f>
        <v>12</v>
      </c>
      <c r="M5" s="2">
        <v>1</v>
      </c>
      <c r="N5" s="3">
        <f>(J5+K5+L5)*M5</f>
        <v>318</v>
      </c>
    </row>
    <row r="6" spans="1:14" x14ac:dyDescent="0.4">
      <c r="B6" s="2"/>
      <c r="C6" s="2"/>
      <c r="D6" s="2"/>
      <c r="E6" s="2"/>
      <c r="F6" s="2"/>
      <c r="G6" s="2"/>
      <c r="H6" s="2"/>
      <c r="I6" s="2"/>
      <c r="J6" s="3">
        <f>E6*G6*H6*(I6+1)</f>
        <v>0</v>
      </c>
      <c r="K6" s="3">
        <f>G6*(I6+1)</f>
        <v>0</v>
      </c>
      <c r="L6" s="3">
        <f>IF(D6="RRDPA",CEILING(LOG(MAX(E6,G6),2),1)*H6*I6,IF(D6="BDPA",(CEILING(LOG(E6,2),1)+E6*CEILING(LOG(G6,2),1))*H6*I6,IF(D6="EIAA",(G6*CEILING(LOG(E6,2),1)+E6*CEILING(LOG(G6,2),1))*H6*I6,0)))</f>
        <v>0</v>
      </c>
      <c r="M6" s="2"/>
      <c r="N6" s="3"/>
    </row>
    <row r="9" spans="1:14" ht="17.649999999999999" x14ac:dyDescent="0.4">
      <c r="A9" s="4" t="s">
        <v>30</v>
      </c>
    </row>
    <row r="10" spans="1:14" x14ac:dyDescent="0.4">
      <c r="B10" s="1" t="s">
        <v>4</v>
      </c>
      <c r="C10" s="1" t="s">
        <v>24</v>
      </c>
      <c r="D10" s="1" t="s">
        <v>13</v>
      </c>
      <c r="E10" s="1" t="s">
        <v>14</v>
      </c>
      <c r="F10" s="1"/>
      <c r="G10" s="1" t="s">
        <v>27</v>
      </c>
      <c r="H10" s="1" t="s">
        <v>15</v>
      </c>
      <c r="I10" s="1" t="s">
        <v>26</v>
      </c>
      <c r="J10" s="1"/>
      <c r="K10" s="1"/>
      <c r="L10" s="1"/>
    </row>
    <row r="11" spans="1:14" x14ac:dyDescent="0.4">
      <c r="B11" s="2" t="s">
        <v>25</v>
      </c>
      <c r="C11" s="2">
        <v>5</v>
      </c>
      <c r="D11" s="2">
        <v>2048</v>
      </c>
      <c r="E11" s="2">
        <v>32</v>
      </c>
      <c r="F11" s="2"/>
      <c r="G11" s="2">
        <v>40</v>
      </c>
      <c r="H11" s="2" t="b">
        <v>1</v>
      </c>
      <c r="I11" s="2">
        <v>0</v>
      </c>
      <c r="J11" s="2"/>
      <c r="K11" s="2"/>
      <c r="L11" s="2"/>
    </row>
    <row r="15" spans="1:14" ht="17.649999999999999" x14ac:dyDescent="0.4">
      <c r="A15" s="4" t="s">
        <v>31</v>
      </c>
    </row>
    <row r="16" spans="1:14" x14ac:dyDescent="0.4">
      <c r="B16" s="1" t="s">
        <v>4</v>
      </c>
      <c r="C16" s="1" t="s">
        <v>24</v>
      </c>
      <c r="D16" s="1" t="s">
        <v>13</v>
      </c>
      <c r="E16" s="1" t="s">
        <v>18</v>
      </c>
      <c r="F16" s="1" t="s">
        <v>28</v>
      </c>
      <c r="G16" s="1" t="s">
        <v>29</v>
      </c>
      <c r="H16" s="1"/>
      <c r="I16" s="1"/>
      <c r="J16" s="1"/>
      <c r="K16" s="1"/>
      <c r="L16" s="1"/>
    </row>
    <row r="17" spans="1:12" x14ac:dyDescent="0.4">
      <c r="B17" s="2" t="s">
        <v>25</v>
      </c>
      <c r="C17" s="2">
        <v>11</v>
      </c>
      <c r="D17" s="2">
        <v>2048</v>
      </c>
      <c r="E17" s="2">
        <v>40</v>
      </c>
      <c r="F17" s="2">
        <v>1</v>
      </c>
      <c r="G17" s="2" t="b">
        <v>1</v>
      </c>
      <c r="H17" s="2"/>
      <c r="I17" s="2"/>
      <c r="J17" s="2"/>
      <c r="K17" s="2"/>
      <c r="L17" s="2"/>
    </row>
    <row r="20" spans="1:12" ht="17.649999999999999" x14ac:dyDescent="0.4">
      <c r="A20" s="4" t="s">
        <v>35</v>
      </c>
    </row>
    <row r="21" spans="1:12" x14ac:dyDescent="0.4">
      <c r="B21" s="1" t="s">
        <v>4</v>
      </c>
      <c r="C21" s="1" t="s">
        <v>24</v>
      </c>
      <c r="D21" s="1" t="s">
        <v>36</v>
      </c>
      <c r="E21" s="1" t="s">
        <v>37</v>
      </c>
      <c r="F21" s="1" t="s">
        <v>38</v>
      </c>
      <c r="G21" s="1"/>
      <c r="H21" s="1"/>
      <c r="I21" s="1"/>
      <c r="J21" s="1"/>
      <c r="K21" s="1"/>
      <c r="L21" s="1"/>
    </row>
    <row r="22" spans="1:12" x14ac:dyDescent="0.4">
      <c r="B22" s="2" t="s">
        <v>25</v>
      </c>
      <c r="C22" s="2">
        <v>6</v>
      </c>
      <c r="D22" s="2">
        <v>12</v>
      </c>
      <c r="E22" s="2">
        <v>5</v>
      </c>
      <c r="F22" s="2">
        <v>6</v>
      </c>
      <c r="G22" s="2"/>
      <c r="H22" s="2"/>
      <c r="I22" s="2"/>
      <c r="J22" s="2"/>
      <c r="K22" s="2"/>
      <c r="L22" s="2"/>
    </row>
  </sheetData>
  <phoneticPr fontId="1" type="noConversion"/>
  <dataValidations disablePrompts="1" count="2">
    <dataValidation type="list" showInputMessage="1" showErrorMessage="1" sqref="D5:D6" xr:uid="{9F40F0B9-21A3-400A-8238-8B96C7F869A1}">
      <formula1>"SPDPA,RRDPA,BDPA,EIAA"</formula1>
    </dataValidation>
    <dataValidation type="whole" showInputMessage="1" showErrorMessage="1" sqref="E5:I6 M5:M6" xr:uid="{4E2318B6-493B-45F0-989C-60D9F76C3EA4}">
      <formula1>1</formula1>
      <formula2>1024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16</xdr:row>
                    <xdr:rowOff>4763</xdr:rowOff>
                  </from>
                  <to>
                    <xdr:col>0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4</xdr:row>
                    <xdr:rowOff>19050</xdr:rowOff>
                  </from>
                  <to>
                    <xdr:col>0</xdr:col>
                    <xdr:colOff>447675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21</xdr:row>
                    <xdr:rowOff>4763</xdr:rowOff>
                  </from>
                  <to>
                    <xdr:col>0</xdr:col>
                    <xdr:colOff>495300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10</vt:i4>
      </vt:variant>
    </vt:vector>
  </HeadingPairs>
  <TitlesOfParts>
    <vt:vector size="12" baseType="lpstr">
      <vt:lpstr>DataSummary</vt:lpstr>
      <vt:lpstr>Parameter</vt:lpstr>
      <vt:lpstr>ARB_IPTR</vt:lpstr>
      <vt:lpstr>BM_BMP</vt:lpstr>
      <vt:lpstr>QM_DUADIR</vt:lpstr>
      <vt:lpstr>QM_EXTBIT</vt:lpstr>
      <vt:lpstr>QM_NAME</vt:lpstr>
      <vt:lpstr>QM_OFST</vt:lpstr>
      <vt:lpstr>QM_SIZE</vt:lpstr>
      <vt:lpstr>SC_G2C</vt:lpstr>
      <vt:lpstr>SC_RNUM</vt:lpstr>
      <vt:lpstr>SC_RSIZE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2019-08-14T16:09:21Z</dcterms:modified>
</cp:coreProperties>
</file>