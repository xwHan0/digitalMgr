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10FFFE7A-B23B-4709-86A9-648147902FF6}" xr6:coauthVersionLast="45" xr6:coauthVersionMax="45" xr10:uidLastSave="{00000000-0000-0000-0000-000000000000}"/>
  <bookViews>
    <workbookView xWindow="-98" yWindow="-98" windowWidth="20715" windowHeight="13276" xr2:uid="{2CE4B1C9-8906-421A-B932-A2C3F5D0AC6B}"/>
  </bookViews>
  <sheets>
    <sheet name="DataSummary" sheetId="2" r:id="rId1"/>
    <sheet name="Script" sheetId="1" r:id="rId2"/>
    <sheet name="Multicast" sheetId="5" r:id="rId3"/>
    <sheet name="Process" sheetId="6" r:id="rId4"/>
    <sheet name="Backpress" sheetId="9" r:id="rId5"/>
    <sheet name="Latency" sheetId="7" r:id="rId6"/>
    <sheet name="Performance" sheetId="8" r:id="rId7"/>
    <sheet name="Rules" sheetId="4" r:id="rId8"/>
    <sheet name="ScriptHelp" sheetId="3" r:id="rId9"/>
  </sheets>
  <functionGroups builtInGroupCount="19"/>
  <definedNames>
    <definedName name="_xlnm._FilterDatabase" localSheetId="5" hidden="1">Latency!#REF!</definedName>
    <definedName name="_xlnm._FilterDatabase" localSheetId="1" hidden="1">Script!$A$5:$G$6</definedName>
    <definedName name="ARB_IN">Script!$F$30</definedName>
    <definedName name="ARB_IPTR">Script!$G$30</definedName>
    <definedName name="ARB_ONUM">Script!$H$30</definedName>
    <definedName name="ARB_REG">Script!$O$30</definedName>
    <definedName name="BUF_BITMAP">Script!$J$15</definedName>
    <definedName name="BUF_CACHE">Script!$I$15</definedName>
    <definedName name="BUF_PACK_NUM">Script!$H$15</definedName>
    <definedName name="BUF_SIZE">Script!$E$15</definedName>
    <definedName name="BUF_TYPE">Script!$G$15</definedName>
    <definedName name="BUF_WIDTH">Script!$F$15</definedName>
    <definedName name="CNT_BITS">Script!$F$10</definedName>
    <definedName name="CNT_DEC_NUM">Script!$H$10</definedName>
    <definedName name="CNT_INC_NUM">Script!$G$10</definedName>
    <definedName name="CNT_SIZE">Script!$E$10</definedName>
    <definedName name="CNT_TYPE">Script!$J$10</definedName>
    <definedName name="CNT_USE_NUM">Script!$I$10</definedName>
    <definedName name="CPY_NUM_RNG">Multicast!$E$3:$E$25</definedName>
    <definedName name="DestSheet">Script!$C$1</definedName>
    <definedName name="END_TREE">Latency!$A$32</definedName>
    <definedName name="FLAG_BITS">Script!$F$5</definedName>
    <definedName name="FLAG_SIZE">Script!$E$5</definedName>
    <definedName name="INST">Script!$D$5</definedName>
    <definedName name="NAME">Script!$B$5</definedName>
    <definedName name="OFFSET">Script!$C$5</definedName>
    <definedName name="PID_RNG">Multicast!$B$3:$B$25</definedName>
    <definedName name="QM_DUADIR">Script!$I$25</definedName>
    <definedName name="QM_EXTBIT">Script!$J$25</definedName>
    <definedName name="QM_HNUM">Script!$H$25</definedName>
    <definedName name="QM_QNUM">Script!$F$25</definedName>
    <definedName name="QM_SIZE">Script!$E$25</definedName>
    <definedName name="QM_TAIL_TYPE">Script!$G$25</definedName>
    <definedName name="SC_G2C">Script!$G$35</definedName>
    <definedName name="SC_RNUM">Script!$E$35</definedName>
    <definedName name="SC_RSIZE">Script!$F$35</definedName>
    <definedName name="SM_CACHE">Script!$H$20</definedName>
    <definedName name="SM_QNUM">Script!$G$20</definedName>
    <definedName name="SM_SIZE">Script!$E$20</definedName>
    <definedName name="SM_WIDTH">Script!$F$20</definedName>
    <definedName name="STAGE_RNG">Multicast!$D$3:$D$25</definedName>
    <definedName name="START_TREE">Latency!$A$17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5" i="2" l="1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F5" i="2"/>
  <c r="F6" i="2"/>
  <c r="F7" i="2"/>
  <c r="F8" i="2"/>
  <c r="F9" i="2"/>
  <c r="F10" i="2"/>
  <c r="F11" i="2"/>
  <c r="F12" i="2"/>
  <c r="F13" i="2"/>
  <c r="F14" i="2"/>
  <c r="H14" i="2" s="1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H23" i="2"/>
  <c r="H7" i="2" l="1"/>
  <c r="H30" i="2"/>
  <c r="AE28" i="2"/>
  <c r="AE24" i="2"/>
  <c r="AE20" i="2"/>
  <c r="AE16" i="2"/>
  <c r="AE12" i="2"/>
  <c r="AE8" i="2"/>
  <c r="H27" i="2"/>
  <c r="H19" i="2"/>
  <c r="H15" i="2"/>
  <c r="H11" i="2"/>
  <c r="H29" i="2"/>
  <c r="H25" i="2"/>
  <c r="H21" i="2"/>
  <c r="H17" i="2"/>
  <c r="H13" i="2"/>
  <c r="H9" i="2"/>
  <c r="H5" i="2"/>
  <c r="AE27" i="2"/>
  <c r="AE23" i="2"/>
  <c r="AE19" i="2"/>
  <c r="AE15" i="2"/>
  <c r="AE11" i="2"/>
  <c r="AE7" i="2"/>
  <c r="AE30" i="2"/>
  <c r="AE26" i="2"/>
  <c r="AE22" i="2"/>
  <c r="AE18" i="2"/>
  <c r="AE14" i="2"/>
  <c r="AE10" i="2"/>
  <c r="AE29" i="2"/>
  <c r="AE25" i="2"/>
  <c r="AE21" i="2"/>
  <c r="AE17" i="2"/>
  <c r="AE13" i="2"/>
  <c r="AE9" i="2"/>
  <c r="AE5" i="2"/>
  <c r="H26" i="2"/>
  <c r="H22" i="2"/>
  <c r="H18" i="2"/>
  <c r="H10" i="2"/>
  <c r="H6" i="2"/>
  <c r="H28" i="2"/>
  <c r="H24" i="2"/>
  <c r="H20" i="2"/>
  <c r="H16" i="2"/>
  <c r="H12" i="2"/>
  <c r="H8" i="2"/>
  <c r="J6" i="9"/>
  <c r="Z5" i="2" l="1"/>
  <c r="AA5" i="2" s="1"/>
  <c r="AC5" i="2"/>
  <c r="Z6" i="2"/>
  <c r="AA6" i="2" s="1"/>
  <c r="AC6" i="2"/>
  <c r="Z7" i="2"/>
  <c r="AA7" i="2" s="1"/>
  <c r="AC7" i="2"/>
  <c r="Z8" i="2"/>
  <c r="AA8" i="2" s="1"/>
  <c r="AC8" i="2"/>
  <c r="Z9" i="2"/>
  <c r="AA9" i="2" s="1"/>
  <c r="AC9" i="2"/>
  <c r="Z10" i="2"/>
  <c r="AA10" i="2" s="1"/>
  <c r="AC10" i="2"/>
  <c r="Z11" i="2"/>
  <c r="AA11" i="2" s="1"/>
  <c r="AC11" i="2"/>
  <c r="Z12" i="2"/>
  <c r="AA12" i="2" s="1"/>
  <c r="AC12" i="2"/>
  <c r="Z13" i="2"/>
  <c r="AA13" i="2" s="1"/>
  <c r="AC13" i="2"/>
  <c r="Z14" i="2"/>
  <c r="AA14" i="2" s="1"/>
  <c r="AC14" i="2"/>
  <c r="Z15" i="2"/>
  <c r="AA15" i="2" s="1"/>
  <c r="AC15" i="2"/>
  <c r="Z16" i="2"/>
  <c r="AA16" i="2" s="1"/>
  <c r="AC16" i="2"/>
  <c r="Z17" i="2"/>
  <c r="AA17" i="2" s="1"/>
  <c r="AC17" i="2"/>
  <c r="Z18" i="2"/>
  <c r="AA18" i="2" s="1"/>
  <c r="AC18" i="2"/>
  <c r="Z19" i="2"/>
  <c r="AA19" i="2" s="1"/>
  <c r="AC19" i="2"/>
  <c r="Z20" i="2"/>
  <c r="AA20" i="2" s="1"/>
  <c r="AC20" i="2"/>
  <c r="Z21" i="2"/>
  <c r="AA21" i="2" s="1"/>
  <c r="AC21" i="2"/>
  <c r="Z22" i="2"/>
  <c r="AA22" i="2" s="1"/>
  <c r="AC22" i="2"/>
  <c r="Z23" i="2"/>
  <c r="AA23" i="2" s="1"/>
  <c r="AC23" i="2"/>
  <c r="Z24" i="2"/>
  <c r="AA24" i="2" s="1"/>
  <c r="AC24" i="2"/>
  <c r="Z25" i="2"/>
  <c r="AA25" i="2" s="1"/>
  <c r="AC25" i="2"/>
  <c r="Z26" i="2"/>
  <c r="AA26" i="2" s="1"/>
  <c r="AC26" i="2"/>
  <c r="Z27" i="2"/>
  <c r="AA27" i="2" s="1"/>
  <c r="AC27" i="2"/>
  <c r="Z28" i="2"/>
  <c r="AA28" i="2" s="1"/>
  <c r="AC28" i="2"/>
  <c r="Z29" i="2"/>
  <c r="AA29" i="2" s="1"/>
  <c r="AC29" i="2"/>
  <c r="Z30" i="2"/>
  <c r="AA30" i="2" s="1"/>
  <c r="AC30" i="2"/>
  <c r="AB7" i="2" l="1"/>
  <c r="AB5" i="2"/>
  <c r="AB8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B9" i="2"/>
  <c r="AB6" i="2"/>
  <c r="AE6" i="2" s="1"/>
  <c r="C11" i="8"/>
  <c r="E6" i="8"/>
  <c r="A12" i="8"/>
  <c r="B11" i="8"/>
  <c r="A13" i="8" l="1"/>
  <c r="C12" i="8"/>
  <c r="D11" i="8"/>
  <c r="B12" i="8"/>
  <c r="D12" i="8" s="1"/>
  <c r="AD4" i="2"/>
  <c r="X4" i="2"/>
  <c r="I4" i="2"/>
  <c r="Z4" i="2" s="1"/>
  <c r="C4" i="2"/>
  <c r="AC4" i="2" l="1"/>
  <c r="Q4" i="2" s="1"/>
  <c r="F4" i="2"/>
  <c r="G4" i="2"/>
  <c r="AA4" i="2"/>
  <c r="AB4" i="2" s="1"/>
  <c r="A14" i="8"/>
  <c r="C13" i="8"/>
  <c r="B13" i="8"/>
  <c r="E31" i="7"/>
  <c r="E30" i="7"/>
  <c r="E29" i="7"/>
  <c r="E27" i="7"/>
  <c r="E26" i="7"/>
  <c r="E25" i="7"/>
  <c r="E22" i="7"/>
  <c r="E23" i="7"/>
  <c r="E21" i="7"/>
  <c r="D8" i="7"/>
  <c r="D9" i="7"/>
  <c r="D10" i="7"/>
  <c r="D11" i="7"/>
  <c r="D12" i="7"/>
  <c r="D7" i="7"/>
  <c r="V12" i="7"/>
  <c r="U12" i="7"/>
  <c r="T12" i="7"/>
  <c r="S12" i="7"/>
  <c r="R12" i="7"/>
  <c r="Q12" i="7"/>
  <c r="V11" i="7"/>
  <c r="U11" i="7"/>
  <c r="T11" i="7"/>
  <c r="S11" i="7"/>
  <c r="R11" i="7"/>
  <c r="Q11" i="7"/>
  <c r="V10" i="7"/>
  <c r="U10" i="7"/>
  <c r="T10" i="7"/>
  <c r="S10" i="7"/>
  <c r="R10" i="7"/>
  <c r="Q10" i="7"/>
  <c r="V9" i="7"/>
  <c r="U9" i="7"/>
  <c r="T9" i="7"/>
  <c r="S9" i="7"/>
  <c r="R9" i="7"/>
  <c r="Q9" i="7"/>
  <c r="V8" i="7"/>
  <c r="U8" i="7"/>
  <c r="T8" i="7"/>
  <c r="S8" i="7"/>
  <c r="R8" i="7"/>
  <c r="Q8" i="7"/>
  <c r="V7" i="7"/>
  <c r="U7" i="7"/>
  <c r="T7" i="7"/>
  <c r="S7" i="7"/>
  <c r="R7" i="7"/>
  <c r="Q7" i="7"/>
  <c r="M4" i="2" l="1"/>
  <c r="AF4" i="2"/>
  <c r="AF3" i="2" s="1"/>
  <c r="O4" i="2"/>
  <c r="H4" i="2"/>
  <c r="D13" i="8"/>
  <c r="A15" i="8"/>
  <c r="C14" i="8"/>
  <c r="B14" i="8"/>
  <c r="G21" i="7"/>
  <c r="G22" i="7"/>
  <c r="G31" i="7"/>
  <c r="G29" i="7"/>
  <c r="G30" i="7"/>
  <c r="G26" i="7"/>
  <c r="G25" i="7"/>
  <c r="G27" i="7"/>
  <c r="G23" i="7"/>
  <c r="J32" i="5"/>
  <c r="J33" i="5"/>
  <c r="J34" i="5"/>
  <c r="J35" i="5"/>
  <c r="J36" i="5"/>
  <c r="J31" i="5"/>
  <c r="F4" i="5"/>
  <c r="F5" i="5"/>
  <c r="F6" i="5"/>
  <c r="F7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3" i="5"/>
  <c r="E10" i="5"/>
  <c r="D20" i="7" a="1"/>
  <c r="D24" i="7" a="1"/>
  <c r="D28" i="7" a="1"/>
  <c r="AE4" i="2" l="1"/>
  <c r="AE3" i="2" s="1"/>
  <c r="D14" i="8"/>
  <c r="A16" i="8"/>
  <c r="C15" i="8"/>
  <c r="B15" i="8"/>
  <c r="D28" i="7"/>
  <c r="D24" i="7"/>
  <c r="D20" i="7"/>
  <c r="C19" i="7" a="1"/>
  <c r="A17" i="8" l="1"/>
  <c r="C16" i="8"/>
  <c r="D15" i="8"/>
  <c r="B16" i="8"/>
  <c r="C19" i="7"/>
  <c r="C32" i="7" s="1"/>
  <c r="J16" i="2"/>
  <c r="K16" i="2" s="1"/>
  <c r="J17" i="2"/>
  <c r="K17" i="2" s="1"/>
  <c r="J18" i="2"/>
  <c r="K18" i="2" s="1"/>
  <c r="J19" i="2"/>
  <c r="J20" i="2"/>
  <c r="K20" i="2" s="1"/>
  <c r="J21" i="2"/>
  <c r="K21" i="2" s="1"/>
  <c r="J22" i="2"/>
  <c r="K22" i="2" s="1"/>
  <c r="J23" i="2"/>
  <c r="J24" i="2"/>
  <c r="K24" i="2" s="1"/>
  <c r="J25" i="2"/>
  <c r="K25" i="2" s="1"/>
  <c r="J26" i="2"/>
  <c r="K26" i="2" s="1"/>
  <c r="J27" i="2"/>
  <c r="J28" i="2"/>
  <c r="K28" i="2" s="1"/>
  <c r="J29" i="2"/>
  <c r="K29" i="2" s="1"/>
  <c r="J30" i="2"/>
  <c r="K30" i="2" s="1"/>
  <c r="D16" i="8" l="1"/>
  <c r="A18" i="8"/>
  <c r="C17" i="8"/>
  <c r="B17" i="8"/>
  <c r="D17" i="8" s="1"/>
  <c r="F28" i="7"/>
  <c r="F20" i="7"/>
  <c r="F24" i="7"/>
  <c r="K27" i="2"/>
  <c r="K23" i="2"/>
  <c r="K19" i="2"/>
  <c r="A19" i="8" l="1"/>
  <c r="C18" i="8"/>
  <c r="B18" i="8"/>
  <c r="D18" i="8" s="1"/>
  <c r="J15" i="2"/>
  <c r="K15" i="2" s="1"/>
  <c r="J12" i="2"/>
  <c r="K12" i="2" s="1"/>
  <c r="M31" i="1"/>
  <c r="J8" i="2"/>
  <c r="K8" i="2" s="1"/>
  <c r="J7" i="2"/>
  <c r="K7" i="2" s="1"/>
  <c r="J6" i="2"/>
  <c r="K6" i="2" s="1"/>
  <c r="J5" i="2"/>
  <c r="K5" i="2" s="1"/>
  <c r="J9" i="2"/>
  <c r="K9" i="2" s="1"/>
  <c r="J10" i="2"/>
  <c r="J11" i="2"/>
  <c r="K11" i="2" s="1"/>
  <c r="J13" i="2"/>
  <c r="K13" i="2" s="1"/>
  <c r="J14" i="2"/>
  <c r="K14" i="2" s="1"/>
  <c r="J4" i="2"/>
  <c r="K4" i="2" l="1"/>
  <c r="A20" i="8"/>
  <c r="C19" i="8"/>
  <c r="B19" i="8"/>
  <c r="D19" i="8" s="1"/>
  <c r="K10" i="2"/>
  <c r="L31" i="1"/>
  <c r="K31" i="1"/>
  <c r="O31" i="1" s="1"/>
  <c r="A21" i="8" l="1"/>
  <c r="C20" i="8"/>
  <c r="B20" i="8"/>
  <c r="D20" i="8" s="1"/>
  <c r="A22" i="8" l="1"/>
  <c r="C21" i="8"/>
  <c r="B21" i="8"/>
  <c r="D21" i="8" s="1"/>
  <c r="A23" i="8" l="1"/>
  <c r="C22" i="8"/>
  <c r="B22" i="8"/>
  <c r="D22" i="8" s="1"/>
  <c r="A24" i="8" l="1"/>
  <c r="C23" i="8"/>
  <c r="B23" i="8"/>
  <c r="D23" i="8" s="1"/>
  <c r="A25" i="8" l="1"/>
  <c r="C24" i="8"/>
  <c r="B24" i="8"/>
  <c r="D24" i="8" s="1"/>
  <c r="A26" i="8" l="1"/>
  <c r="C25" i="8"/>
  <c r="B25" i="8"/>
  <c r="D25" i="8" l="1"/>
  <c r="A27" i="8"/>
  <c r="C26" i="8"/>
  <c r="B26" i="8"/>
  <c r="D26" i="8" s="1"/>
  <c r="A28" i="8" l="1"/>
  <c r="C27" i="8"/>
  <c r="B27" i="8"/>
  <c r="D27" i="8" s="1"/>
  <c r="A29" i="8" l="1"/>
  <c r="C28" i="8"/>
  <c r="B28" i="8"/>
  <c r="D28" i="8" s="1"/>
  <c r="A30" i="8" l="1"/>
  <c r="C29" i="8"/>
  <c r="B29" i="8"/>
  <c r="D29" i="8" s="1"/>
  <c r="A31" i="8" l="1"/>
  <c r="C30" i="8"/>
  <c r="B30" i="8"/>
  <c r="D30" i="8" l="1"/>
  <c r="A32" i="8"/>
  <c r="C31" i="8"/>
  <c r="B31" i="8"/>
  <c r="D31" i="8" l="1"/>
  <c r="A33" i="8"/>
  <c r="C32" i="8"/>
  <c r="B32" i="8"/>
  <c r="D32" i="8" s="1"/>
  <c r="A34" i="8" l="1"/>
  <c r="C33" i="8"/>
  <c r="B33" i="8"/>
  <c r="D33" i="8" s="1"/>
  <c r="A35" i="8" l="1"/>
  <c r="C34" i="8"/>
  <c r="B34" i="8"/>
  <c r="D34" i="8" s="1"/>
  <c r="A36" i="8" l="1"/>
  <c r="C35" i="8"/>
  <c r="B35" i="8"/>
  <c r="D35" i="8" s="1"/>
  <c r="A37" i="8" l="1"/>
  <c r="C36" i="8"/>
  <c r="B36" i="8"/>
  <c r="D36" i="8" s="1"/>
  <c r="A38" i="8" l="1"/>
  <c r="C37" i="8"/>
  <c r="B37" i="8"/>
  <c r="D37" i="8" s="1"/>
  <c r="A39" i="8" l="1"/>
  <c r="C38" i="8"/>
  <c r="B38" i="8"/>
  <c r="D38" i="8" s="1"/>
  <c r="A40" i="8" l="1"/>
  <c r="C39" i="8"/>
  <c r="B39" i="8"/>
  <c r="D39" i="8" s="1"/>
  <c r="A41" i="8" l="1"/>
  <c r="C40" i="8"/>
  <c r="B40" i="8"/>
  <c r="D40" i="8" s="1"/>
  <c r="A42" i="8" l="1"/>
  <c r="C41" i="8"/>
  <c r="B41" i="8"/>
  <c r="D41" i="8" s="1"/>
  <c r="A43" i="8" l="1"/>
  <c r="C42" i="8"/>
  <c r="B42" i="8"/>
  <c r="D42" i="8" s="1"/>
  <c r="A44" i="8" l="1"/>
  <c r="C43" i="8"/>
  <c r="B43" i="8"/>
  <c r="D43" i="8" s="1"/>
  <c r="A45" i="8" l="1"/>
  <c r="C44" i="8"/>
  <c r="B44" i="8"/>
  <c r="D44" i="8" s="1"/>
  <c r="A46" i="8" l="1"/>
  <c r="C45" i="8"/>
  <c r="B45" i="8"/>
  <c r="D45" i="8" s="1"/>
  <c r="A47" i="8" l="1"/>
  <c r="C46" i="8"/>
  <c r="B46" i="8"/>
  <c r="D46" i="8" s="1"/>
  <c r="A48" i="8" l="1"/>
  <c r="C47" i="8"/>
  <c r="B47" i="8"/>
  <c r="D47" i="8" s="1"/>
  <c r="A49" i="8" l="1"/>
  <c r="C48" i="8"/>
  <c r="B48" i="8"/>
  <c r="D48" i="8" s="1"/>
  <c r="A50" i="8" l="1"/>
  <c r="C49" i="8"/>
  <c r="B49" i="8"/>
  <c r="D49" i="8" s="1"/>
  <c r="A51" i="8" l="1"/>
  <c r="C50" i="8"/>
  <c r="B50" i="8"/>
  <c r="D50" i="8" s="1"/>
  <c r="A52" i="8" l="1"/>
  <c r="C51" i="8"/>
  <c r="B51" i="8"/>
  <c r="D51" i="8" s="1"/>
  <c r="A53" i="8" l="1"/>
  <c r="C52" i="8"/>
  <c r="B52" i="8"/>
  <c r="D52" i="8" s="1"/>
  <c r="A54" i="8" l="1"/>
  <c r="C53" i="8"/>
  <c r="B53" i="8"/>
  <c r="D53" i="8" l="1"/>
  <c r="A55" i="8"/>
  <c r="C54" i="8"/>
  <c r="B54" i="8"/>
  <c r="D54" i="8" s="1"/>
  <c r="A56" i="8" l="1"/>
  <c r="C55" i="8"/>
  <c r="B55" i="8"/>
  <c r="D55" i="8" s="1"/>
  <c r="A57" i="8" l="1"/>
  <c r="C56" i="8"/>
  <c r="B56" i="8"/>
  <c r="D56" i="8" s="1"/>
  <c r="A58" i="8" l="1"/>
  <c r="C57" i="8"/>
  <c r="B57" i="8"/>
  <c r="D57" i="8" s="1"/>
  <c r="A59" i="8" l="1"/>
  <c r="C58" i="8"/>
  <c r="B58" i="8"/>
  <c r="D58" i="8" l="1"/>
  <c r="A60" i="8"/>
  <c r="C59" i="8"/>
  <c r="B59" i="8"/>
  <c r="D59" i="8" l="1"/>
  <c r="A61" i="8"/>
  <c r="C60" i="8"/>
  <c r="B60" i="8"/>
  <c r="D60" i="8" s="1"/>
  <c r="A62" i="8" l="1"/>
  <c r="C61" i="8"/>
  <c r="B61" i="8"/>
  <c r="D61" i="8" s="1"/>
  <c r="A63" i="8" l="1"/>
  <c r="C62" i="8"/>
  <c r="B62" i="8"/>
  <c r="D62" i="8" s="1"/>
  <c r="A64" i="8" l="1"/>
  <c r="C63" i="8"/>
  <c r="B63" i="8"/>
  <c r="D63" i="8" s="1"/>
  <c r="A65" i="8" l="1"/>
  <c r="C64" i="8"/>
  <c r="B64" i="8"/>
  <c r="D64" i="8" s="1"/>
  <c r="A66" i="8" l="1"/>
  <c r="C65" i="8"/>
  <c r="B65" i="8"/>
  <c r="D65" i="8" s="1"/>
  <c r="A67" i="8" l="1"/>
  <c r="C66" i="8"/>
  <c r="B66" i="8"/>
  <c r="D66" i="8" s="1"/>
  <c r="A68" i="8" l="1"/>
  <c r="C67" i="8"/>
  <c r="B67" i="8"/>
  <c r="D67" i="8" s="1"/>
  <c r="A69" i="8" l="1"/>
  <c r="C68" i="8"/>
  <c r="B68" i="8"/>
  <c r="D68" i="8" s="1"/>
  <c r="A70" i="8" l="1"/>
  <c r="C69" i="8"/>
  <c r="B69" i="8"/>
  <c r="D69" i="8" s="1"/>
  <c r="A71" i="8" l="1"/>
  <c r="C70" i="8"/>
  <c r="B70" i="8"/>
  <c r="D70" i="8" s="1"/>
  <c r="A72" i="8" l="1"/>
  <c r="C71" i="8"/>
  <c r="B71" i="8"/>
  <c r="D71" i="8" s="1"/>
  <c r="A73" i="8" l="1"/>
  <c r="C72" i="8"/>
  <c r="B72" i="8"/>
  <c r="D72" i="8" s="1"/>
  <c r="A74" i="8" l="1"/>
  <c r="C73" i="8"/>
  <c r="B73" i="8"/>
  <c r="D73" i="8" s="1"/>
  <c r="A75" i="8" l="1"/>
  <c r="C74" i="8"/>
  <c r="B74" i="8"/>
  <c r="D74" i="8" l="1"/>
  <c r="A76" i="8"/>
  <c r="C75" i="8"/>
  <c r="B75" i="8"/>
  <c r="D75" i="8" s="1"/>
  <c r="A77" i="8" l="1"/>
  <c r="C76" i="8"/>
  <c r="B76" i="8"/>
  <c r="D76" i="8" s="1"/>
  <c r="A78" i="8" l="1"/>
  <c r="C77" i="8"/>
  <c r="B77" i="8"/>
  <c r="D77" i="8" s="1"/>
  <c r="A79" i="8" l="1"/>
  <c r="C78" i="8"/>
  <c r="B78" i="8"/>
  <c r="D78" i="8" s="1"/>
  <c r="A80" i="8" l="1"/>
  <c r="C79" i="8"/>
  <c r="B79" i="8"/>
  <c r="D79" i="8" s="1"/>
  <c r="A81" i="8" l="1"/>
  <c r="C80" i="8"/>
  <c r="B80" i="8"/>
  <c r="D80" i="8" s="1"/>
  <c r="A82" i="8" l="1"/>
  <c r="C81" i="8"/>
  <c r="B81" i="8"/>
  <c r="D81" i="8" s="1"/>
  <c r="A83" i="8" l="1"/>
  <c r="C82" i="8"/>
  <c r="B82" i="8"/>
  <c r="D82" i="8" s="1"/>
  <c r="A84" i="8" l="1"/>
  <c r="C83" i="8"/>
  <c r="B83" i="8"/>
  <c r="D83" i="8" s="1"/>
  <c r="A85" i="8" l="1"/>
  <c r="C84" i="8"/>
  <c r="B84" i="8"/>
  <c r="D84" i="8" s="1"/>
  <c r="A86" i="8" l="1"/>
  <c r="C85" i="8"/>
  <c r="B85" i="8"/>
  <c r="D85" i="8" s="1"/>
  <c r="A87" i="8" l="1"/>
  <c r="C86" i="8"/>
  <c r="B86" i="8"/>
  <c r="D86" i="8" s="1"/>
  <c r="A88" i="8" l="1"/>
  <c r="C87" i="8"/>
  <c r="B87" i="8"/>
  <c r="D87" i="8" s="1"/>
  <c r="A89" i="8" l="1"/>
  <c r="C88" i="8"/>
  <c r="B88" i="8"/>
  <c r="D88" i="8" s="1"/>
  <c r="A90" i="8" l="1"/>
  <c r="C89" i="8"/>
  <c r="B89" i="8"/>
  <c r="D89" i="8" l="1"/>
  <c r="A91" i="8"/>
  <c r="C90" i="8"/>
  <c r="B90" i="8"/>
  <c r="D90" i="8" s="1"/>
  <c r="A92" i="8" l="1"/>
  <c r="C91" i="8"/>
  <c r="B91" i="8"/>
  <c r="D91" i="8" s="1"/>
  <c r="A93" i="8" l="1"/>
  <c r="C92" i="8"/>
  <c r="B92" i="8"/>
  <c r="D92" i="8" s="1"/>
  <c r="A94" i="8" l="1"/>
  <c r="C93" i="8"/>
  <c r="B93" i="8"/>
  <c r="D93" i="8" l="1"/>
  <c r="A95" i="8"/>
  <c r="C94" i="8"/>
  <c r="B94" i="8"/>
  <c r="D94" i="8" s="1"/>
  <c r="A96" i="8" l="1"/>
  <c r="C95" i="8"/>
  <c r="B95" i="8"/>
  <c r="D95" i="8" s="1"/>
  <c r="A97" i="8" l="1"/>
  <c r="C96" i="8"/>
  <c r="B96" i="8"/>
  <c r="D96" i="8" s="1"/>
  <c r="A98" i="8" l="1"/>
  <c r="C97" i="8"/>
  <c r="B97" i="8"/>
  <c r="D97" i="8" s="1"/>
  <c r="A99" i="8" l="1"/>
  <c r="C98" i="8"/>
  <c r="B98" i="8"/>
  <c r="D98" i="8" s="1"/>
  <c r="A100" i="8" l="1"/>
  <c r="C99" i="8"/>
  <c r="B99" i="8"/>
  <c r="D99" i="8" s="1"/>
  <c r="A101" i="8" l="1"/>
  <c r="C100" i="8"/>
  <c r="B100" i="8"/>
  <c r="D100" i="8" l="1"/>
  <c r="A102" i="8"/>
  <c r="C101" i="8"/>
  <c r="B101" i="8"/>
  <c r="D101" i="8" s="1"/>
  <c r="A103" i="8" l="1"/>
  <c r="C102" i="8"/>
  <c r="B102" i="8"/>
  <c r="D102" i="8" s="1"/>
  <c r="A104" i="8" l="1"/>
  <c r="C103" i="8"/>
  <c r="B103" i="8"/>
  <c r="D103" i="8" s="1"/>
  <c r="A105" i="8" l="1"/>
  <c r="C104" i="8"/>
  <c r="B104" i="8"/>
  <c r="D104" i="8" s="1"/>
  <c r="A106" i="8" l="1"/>
  <c r="C105" i="8"/>
  <c r="B105" i="8"/>
  <c r="D105" i="8" s="1"/>
  <c r="A107" i="8" l="1"/>
  <c r="C106" i="8"/>
  <c r="B106" i="8"/>
  <c r="D106" i="8" s="1"/>
  <c r="A108" i="8" l="1"/>
  <c r="C107" i="8"/>
  <c r="B107" i="8"/>
  <c r="D107" i="8" s="1"/>
  <c r="A109" i="8" l="1"/>
  <c r="C108" i="8"/>
  <c r="B108" i="8"/>
  <c r="D108" i="8" s="1"/>
  <c r="A110" i="8" l="1"/>
  <c r="C109" i="8"/>
  <c r="B109" i="8"/>
  <c r="D109" i="8" s="1"/>
  <c r="A111" i="8" l="1"/>
  <c r="C110" i="8"/>
  <c r="B110" i="8"/>
  <c r="D110" i="8" s="1"/>
  <c r="A112" i="8" l="1"/>
  <c r="C111" i="8"/>
  <c r="B111" i="8"/>
  <c r="D111" i="8" s="1"/>
  <c r="A113" i="8" l="1"/>
  <c r="C112" i="8"/>
  <c r="B112" i="8"/>
  <c r="D112" i="8" s="1"/>
  <c r="A114" i="8" l="1"/>
  <c r="C113" i="8"/>
  <c r="B113" i="8"/>
  <c r="D113" i="8" s="1"/>
  <c r="A115" i="8" l="1"/>
  <c r="C114" i="8"/>
  <c r="B114" i="8"/>
  <c r="D114" i="8" s="1"/>
  <c r="A116" i="8" l="1"/>
  <c r="C115" i="8"/>
  <c r="B115" i="8"/>
  <c r="D115" i="8" l="1"/>
  <c r="A117" i="8"/>
  <c r="C116" i="8"/>
  <c r="B116" i="8"/>
  <c r="D116" i="8" s="1"/>
  <c r="A118" i="8" l="1"/>
  <c r="C117" i="8"/>
  <c r="B117" i="8"/>
  <c r="D117" i="8" s="1"/>
  <c r="A119" i="8" l="1"/>
  <c r="C118" i="8"/>
  <c r="B118" i="8"/>
  <c r="D118" i="8" s="1"/>
  <c r="A120" i="8" l="1"/>
  <c r="C119" i="8"/>
  <c r="B119" i="8"/>
  <c r="D119" i="8" s="1"/>
  <c r="A121" i="8" l="1"/>
  <c r="C120" i="8"/>
  <c r="B120" i="8"/>
  <c r="D120" i="8" s="1"/>
  <c r="A122" i="8" l="1"/>
  <c r="C121" i="8"/>
  <c r="B121" i="8"/>
  <c r="D121" i="8" l="1"/>
  <c r="A123" i="8"/>
  <c r="C122" i="8"/>
  <c r="B122" i="8"/>
  <c r="D122" i="8" l="1"/>
  <c r="A124" i="8"/>
  <c r="C123" i="8"/>
  <c r="B123" i="8"/>
  <c r="D123" i="8" s="1"/>
  <c r="A125" i="8" l="1"/>
  <c r="C124" i="8"/>
  <c r="B124" i="8"/>
  <c r="D124" i="8" l="1"/>
  <c r="A126" i="8"/>
  <c r="C125" i="8"/>
  <c r="B125" i="8"/>
  <c r="D125" i="8" s="1"/>
  <c r="A127" i="8" l="1"/>
  <c r="C126" i="8"/>
  <c r="B126" i="8"/>
  <c r="D126" i="8" s="1"/>
  <c r="A128" i="8" l="1"/>
  <c r="C127" i="8"/>
  <c r="B127" i="8"/>
  <c r="D127" i="8" s="1"/>
  <c r="A129" i="8" l="1"/>
  <c r="C128" i="8"/>
  <c r="B128" i="8"/>
  <c r="D128" i="8" s="1"/>
  <c r="A130" i="8" l="1"/>
  <c r="C129" i="8"/>
  <c r="B129" i="8"/>
  <c r="D129" i="8" s="1"/>
  <c r="A131" i="8" l="1"/>
  <c r="C130" i="8"/>
  <c r="B130" i="8"/>
  <c r="D130" i="8" s="1"/>
  <c r="A132" i="8" l="1"/>
  <c r="C131" i="8"/>
  <c r="B131" i="8"/>
  <c r="D131" i="8" s="1"/>
  <c r="A133" i="8" l="1"/>
  <c r="C132" i="8"/>
  <c r="B132" i="8"/>
  <c r="D132" i="8" s="1"/>
  <c r="A134" i="8" l="1"/>
  <c r="C133" i="8"/>
  <c r="B133" i="8"/>
  <c r="D133" i="8" s="1"/>
  <c r="A135" i="8" l="1"/>
  <c r="C134" i="8"/>
  <c r="B134" i="8"/>
  <c r="D134" i="8" s="1"/>
  <c r="A136" i="8" l="1"/>
  <c r="C135" i="8"/>
  <c r="B135" i="8"/>
  <c r="D135" i="8" s="1"/>
  <c r="A137" i="8" l="1"/>
  <c r="C136" i="8"/>
  <c r="B136" i="8"/>
  <c r="D136" i="8" s="1"/>
  <c r="A138" i="8" l="1"/>
  <c r="C137" i="8"/>
  <c r="B137" i="8"/>
  <c r="D137" i="8" s="1"/>
  <c r="A139" i="8" l="1"/>
  <c r="C138" i="8"/>
  <c r="B138" i="8"/>
  <c r="D138" i="8" s="1"/>
  <c r="A140" i="8" l="1"/>
  <c r="C139" i="8"/>
  <c r="B139" i="8"/>
  <c r="D139" i="8" s="1"/>
  <c r="A141" i="8" l="1"/>
  <c r="C140" i="8"/>
  <c r="B140" i="8"/>
  <c r="D140" i="8" s="1"/>
  <c r="A142" i="8" l="1"/>
  <c r="C141" i="8"/>
  <c r="B141" i="8"/>
  <c r="D141" i="8" s="1"/>
  <c r="A143" i="8" l="1"/>
  <c r="C142" i="8"/>
  <c r="B142" i="8"/>
  <c r="D142" i="8" s="1"/>
  <c r="A144" i="8" l="1"/>
  <c r="C143" i="8"/>
  <c r="B143" i="8"/>
  <c r="D143" i="8" s="1"/>
  <c r="A145" i="8" l="1"/>
  <c r="C144" i="8"/>
  <c r="B144" i="8"/>
  <c r="D144" i="8" s="1"/>
  <c r="A146" i="8" l="1"/>
  <c r="C145" i="8"/>
  <c r="B145" i="8"/>
  <c r="D145" i="8" s="1"/>
  <c r="A147" i="8" l="1"/>
  <c r="C146" i="8"/>
  <c r="B146" i="8"/>
  <c r="D146" i="8" s="1"/>
  <c r="A148" i="8" l="1"/>
  <c r="C147" i="8"/>
  <c r="B147" i="8"/>
  <c r="D147" i="8" s="1"/>
  <c r="A149" i="8" l="1"/>
  <c r="C148" i="8"/>
  <c r="B148" i="8"/>
  <c r="D148" i="8" s="1"/>
  <c r="A150" i="8" l="1"/>
  <c r="C149" i="8"/>
  <c r="B149" i="8"/>
  <c r="D149" i="8" s="1"/>
  <c r="A151" i="8" l="1"/>
  <c r="C150" i="8"/>
  <c r="B150" i="8"/>
  <c r="D150" i="8" s="1"/>
  <c r="A152" i="8" l="1"/>
  <c r="C151" i="8"/>
  <c r="B151" i="8"/>
  <c r="D151" i="8" s="1"/>
  <c r="A153" i="8" l="1"/>
  <c r="C152" i="8"/>
  <c r="B152" i="8"/>
  <c r="D152" i="8" s="1"/>
  <c r="A154" i="8" l="1"/>
  <c r="C153" i="8"/>
  <c r="B153" i="8"/>
  <c r="D153" i="8" s="1"/>
  <c r="A155" i="8" l="1"/>
  <c r="C154" i="8"/>
  <c r="B154" i="8"/>
  <c r="D154" i="8" s="1"/>
  <c r="A156" i="8" l="1"/>
  <c r="C155" i="8"/>
  <c r="B155" i="8"/>
  <c r="D155" i="8" s="1"/>
  <c r="A157" i="8" l="1"/>
  <c r="C156" i="8"/>
  <c r="B156" i="8"/>
  <c r="D156" i="8" l="1"/>
  <c r="A158" i="8"/>
  <c r="C157" i="8"/>
  <c r="B157" i="8"/>
  <c r="D157" i="8" s="1"/>
  <c r="A159" i="8" l="1"/>
  <c r="C158" i="8"/>
  <c r="B158" i="8"/>
  <c r="D158" i="8" s="1"/>
  <c r="A160" i="8" l="1"/>
  <c r="C159" i="8"/>
  <c r="B159" i="8"/>
  <c r="D159" i="8" s="1"/>
  <c r="A161" i="8" l="1"/>
  <c r="C160" i="8"/>
  <c r="B160" i="8"/>
  <c r="D160" i="8" s="1"/>
  <c r="A162" i="8" l="1"/>
  <c r="C161" i="8"/>
  <c r="B161" i="8"/>
  <c r="D161" i="8" s="1"/>
  <c r="A163" i="8" l="1"/>
  <c r="C162" i="8"/>
  <c r="B162" i="8"/>
  <c r="D162" i="8" s="1"/>
  <c r="A164" i="8" l="1"/>
  <c r="C163" i="8"/>
  <c r="B163" i="8"/>
  <c r="D163" i="8" s="1"/>
  <c r="A165" i="8" l="1"/>
  <c r="C164" i="8"/>
  <c r="B164" i="8"/>
  <c r="D164" i="8" s="1"/>
  <c r="A166" i="8" l="1"/>
  <c r="C165" i="8"/>
  <c r="B165" i="8"/>
  <c r="D165" i="8" s="1"/>
  <c r="A167" i="8" l="1"/>
  <c r="C166" i="8"/>
  <c r="B166" i="8"/>
  <c r="D166" i="8" s="1"/>
  <c r="A168" i="8" l="1"/>
  <c r="C167" i="8"/>
  <c r="B167" i="8"/>
  <c r="D167" i="8" s="1"/>
  <c r="A169" i="8" l="1"/>
  <c r="C168" i="8"/>
  <c r="B168" i="8"/>
  <c r="D168" i="8" s="1"/>
  <c r="A170" i="8" l="1"/>
  <c r="C169" i="8"/>
  <c r="B169" i="8"/>
  <c r="D169" i="8" l="1"/>
  <c r="A171" i="8"/>
  <c r="C170" i="8"/>
  <c r="B170" i="8"/>
  <c r="D170" i="8" s="1"/>
  <c r="A172" i="8" l="1"/>
  <c r="C171" i="8"/>
  <c r="B171" i="8"/>
  <c r="D171" i="8" s="1"/>
  <c r="A173" i="8" l="1"/>
  <c r="C172" i="8"/>
  <c r="B172" i="8"/>
  <c r="D172" i="8" s="1"/>
  <c r="A174" i="8" l="1"/>
  <c r="C173" i="8"/>
  <c r="B173" i="8"/>
  <c r="D173" i="8" s="1"/>
  <c r="A175" i="8" l="1"/>
  <c r="C174" i="8"/>
  <c r="B174" i="8"/>
  <c r="D174" i="8" s="1"/>
  <c r="A176" i="8" l="1"/>
  <c r="C175" i="8"/>
  <c r="B175" i="8"/>
  <c r="D175" i="8" s="1"/>
  <c r="A177" i="8" l="1"/>
  <c r="C176" i="8"/>
  <c r="B176" i="8"/>
  <c r="D176" i="8" s="1"/>
  <c r="A178" i="8" l="1"/>
  <c r="C177" i="8"/>
  <c r="B177" i="8"/>
  <c r="D177" i="8" s="1"/>
  <c r="A179" i="8" l="1"/>
  <c r="C178" i="8"/>
  <c r="B178" i="8"/>
  <c r="D178" i="8" s="1"/>
  <c r="A180" i="8" l="1"/>
  <c r="C179" i="8"/>
  <c r="B179" i="8"/>
  <c r="D179" i="8" s="1"/>
  <c r="A181" i="8" l="1"/>
  <c r="C180" i="8"/>
  <c r="B180" i="8"/>
  <c r="D180" i="8" s="1"/>
  <c r="A182" i="8" l="1"/>
  <c r="C181" i="8"/>
  <c r="B181" i="8"/>
  <c r="D181" i="8" s="1"/>
  <c r="A183" i="8" l="1"/>
  <c r="C182" i="8"/>
  <c r="B182" i="8"/>
  <c r="D182" i="8" s="1"/>
  <c r="A184" i="8" l="1"/>
  <c r="C183" i="8"/>
  <c r="B183" i="8"/>
  <c r="D183" i="8" s="1"/>
  <c r="A185" i="8" l="1"/>
  <c r="C184" i="8"/>
  <c r="B184" i="8"/>
  <c r="D184" i="8" s="1"/>
  <c r="A186" i="8" l="1"/>
  <c r="C185" i="8"/>
  <c r="B185" i="8"/>
  <c r="D185" i="8" s="1"/>
  <c r="A187" i="8" l="1"/>
  <c r="C186" i="8"/>
  <c r="B186" i="8"/>
  <c r="D186" i="8" s="1"/>
  <c r="A188" i="8" l="1"/>
  <c r="C187" i="8"/>
  <c r="B187" i="8"/>
  <c r="D187" i="8" s="1"/>
  <c r="A189" i="8" l="1"/>
  <c r="C188" i="8"/>
  <c r="B188" i="8"/>
  <c r="D188" i="8" l="1"/>
  <c r="A190" i="8"/>
  <c r="C189" i="8"/>
  <c r="B189" i="8"/>
  <c r="D189" i="8" s="1"/>
  <c r="A191" i="8" l="1"/>
  <c r="C190" i="8"/>
  <c r="B190" i="8"/>
  <c r="D190" i="8" s="1"/>
  <c r="A192" i="8" l="1"/>
  <c r="C191" i="8"/>
  <c r="B191" i="8"/>
  <c r="D191" i="8" s="1"/>
  <c r="A193" i="8" l="1"/>
  <c r="C192" i="8"/>
  <c r="B192" i="8"/>
  <c r="D192" i="8" s="1"/>
  <c r="A194" i="8" l="1"/>
  <c r="C193" i="8"/>
  <c r="B193" i="8"/>
  <c r="D193" i="8" s="1"/>
  <c r="A195" i="8" l="1"/>
  <c r="C194" i="8"/>
  <c r="B194" i="8"/>
  <c r="D194" i="8" s="1"/>
  <c r="A196" i="8" l="1"/>
  <c r="C195" i="8"/>
  <c r="B195" i="8"/>
  <c r="D195" i="8" l="1"/>
  <c r="A197" i="8"/>
  <c r="C196" i="8"/>
  <c r="B196" i="8"/>
  <c r="D196" i="8" s="1"/>
  <c r="A198" i="8" l="1"/>
  <c r="C197" i="8"/>
  <c r="B197" i="8"/>
  <c r="D197" i="8" l="1"/>
  <c r="A199" i="8"/>
  <c r="C198" i="8"/>
  <c r="B198" i="8"/>
  <c r="D198" i="8" s="1"/>
  <c r="A200" i="8" l="1"/>
  <c r="C199" i="8"/>
  <c r="B199" i="8"/>
  <c r="D199" i="8" s="1"/>
  <c r="A201" i="8" l="1"/>
  <c r="C200" i="8"/>
  <c r="B200" i="8"/>
  <c r="D200" i="8" s="1"/>
  <c r="A202" i="8" l="1"/>
  <c r="C201" i="8"/>
  <c r="B201" i="8"/>
  <c r="D201" i="8" s="1"/>
  <c r="A203" i="8" l="1"/>
  <c r="C202" i="8"/>
  <c r="B202" i="8"/>
  <c r="D202" i="8" s="1"/>
  <c r="A204" i="8" l="1"/>
  <c r="C203" i="8"/>
  <c r="B203" i="8"/>
  <c r="D203" i="8" s="1"/>
  <c r="A205" i="8" l="1"/>
  <c r="C204" i="8"/>
  <c r="B204" i="8"/>
  <c r="D204" i="8" s="1"/>
  <c r="A206" i="8" l="1"/>
  <c r="C205" i="8"/>
  <c r="B205" i="8"/>
  <c r="D205" i="8" s="1"/>
  <c r="A207" i="8" l="1"/>
  <c r="C206" i="8"/>
  <c r="B206" i="8"/>
  <c r="D206" i="8" s="1"/>
  <c r="A208" i="8" l="1"/>
  <c r="C207" i="8"/>
  <c r="B207" i="8"/>
  <c r="D207" i="8" s="1"/>
  <c r="A209" i="8" l="1"/>
  <c r="C208" i="8"/>
  <c r="B208" i="8"/>
  <c r="D208" i="8" s="1"/>
  <c r="A210" i="8" l="1"/>
  <c r="C209" i="8"/>
  <c r="B209" i="8"/>
  <c r="D209" i="8" s="1"/>
  <c r="A211" i="8" l="1"/>
  <c r="C210" i="8"/>
  <c r="B210" i="8"/>
  <c r="D210" i="8" l="1"/>
  <c r="A212" i="8"/>
  <c r="C211" i="8"/>
  <c r="B211" i="8"/>
  <c r="D211" i="8" s="1"/>
  <c r="A213" i="8" l="1"/>
  <c r="C212" i="8"/>
  <c r="B212" i="8"/>
  <c r="D212" i="8" s="1"/>
  <c r="A214" i="8" l="1"/>
  <c r="C213" i="8"/>
  <c r="B213" i="8"/>
  <c r="D213" i="8" l="1"/>
  <c r="A215" i="8"/>
  <c r="C214" i="8"/>
  <c r="B214" i="8"/>
  <c r="D214" i="8" s="1"/>
  <c r="A216" i="8" l="1"/>
  <c r="C215" i="8"/>
  <c r="B215" i="8"/>
  <c r="D215" i="8" s="1"/>
  <c r="A217" i="8" l="1"/>
  <c r="C216" i="8"/>
  <c r="B216" i="8"/>
  <c r="D216" i="8" l="1"/>
  <c r="A218" i="8"/>
  <c r="C217" i="8"/>
  <c r="B217" i="8"/>
  <c r="D217" i="8" s="1"/>
  <c r="A219" i="8" l="1"/>
  <c r="C218" i="8"/>
  <c r="B218" i="8"/>
  <c r="D218" i="8" s="1"/>
  <c r="A220" i="8" l="1"/>
  <c r="C219" i="8"/>
  <c r="B219" i="8"/>
  <c r="D219" i="8" s="1"/>
  <c r="A221" i="8" l="1"/>
  <c r="C220" i="8"/>
  <c r="B220" i="8"/>
  <c r="D220" i="8" s="1"/>
  <c r="A222" i="8" l="1"/>
  <c r="C221" i="8"/>
  <c r="B221" i="8"/>
  <c r="D221" i="8" s="1"/>
  <c r="A223" i="8" l="1"/>
  <c r="C222" i="8"/>
  <c r="B222" i="8"/>
  <c r="D222" i="8" s="1"/>
  <c r="A224" i="8" l="1"/>
  <c r="C223" i="8"/>
  <c r="B223" i="8"/>
  <c r="D223" i="8" s="1"/>
  <c r="A225" i="8" l="1"/>
  <c r="C224" i="8"/>
  <c r="B224" i="8"/>
  <c r="D224" i="8" s="1"/>
  <c r="A226" i="8" l="1"/>
  <c r="C225" i="8"/>
  <c r="B225" i="8"/>
  <c r="D225" i="8" s="1"/>
  <c r="A227" i="8" l="1"/>
  <c r="C226" i="8"/>
  <c r="B226" i="8"/>
  <c r="D226" i="8" s="1"/>
  <c r="A228" i="8" l="1"/>
  <c r="C227" i="8"/>
  <c r="B227" i="8"/>
  <c r="D227" i="8" s="1"/>
  <c r="A229" i="8" l="1"/>
  <c r="C228" i="8"/>
  <c r="B228" i="8"/>
  <c r="D228" i="8" s="1"/>
  <c r="A230" i="8" l="1"/>
  <c r="C229" i="8"/>
  <c r="B229" i="8"/>
  <c r="D229" i="8" s="1"/>
  <c r="A231" i="8" l="1"/>
  <c r="C230" i="8"/>
  <c r="B230" i="8"/>
  <c r="D230" i="8" s="1"/>
  <c r="A232" i="8" l="1"/>
  <c r="C231" i="8"/>
  <c r="B231" i="8"/>
  <c r="D231" i="8" s="1"/>
  <c r="A233" i="8" l="1"/>
  <c r="C232" i="8"/>
  <c r="B232" i="8"/>
  <c r="D232" i="8" s="1"/>
  <c r="A234" i="8" l="1"/>
  <c r="C233" i="8"/>
  <c r="B233" i="8"/>
  <c r="D233" i="8" s="1"/>
  <c r="A235" i="8" l="1"/>
  <c r="C234" i="8"/>
  <c r="B234" i="8"/>
  <c r="D234" i="8" s="1"/>
  <c r="A236" i="8" l="1"/>
  <c r="C235" i="8"/>
  <c r="B235" i="8"/>
  <c r="D235" i="8" s="1"/>
  <c r="A237" i="8" l="1"/>
  <c r="C236" i="8"/>
  <c r="B236" i="8"/>
  <c r="D236" i="8" s="1"/>
  <c r="A238" i="8" l="1"/>
  <c r="C237" i="8"/>
  <c r="B237" i="8"/>
  <c r="D237" i="8" s="1"/>
  <c r="A239" i="8" l="1"/>
  <c r="C238" i="8"/>
  <c r="B238" i="8"/>
  <c r="D238" i="8" s="1"/>
  <c r="A240" i="8" l="1"/>
  <c r="C239" i="8"/>
  <c r="B239" i="8"/>
  <c r="D239" i="8" s="1"/>
  <c r="A241" i="8" l="1"/>
  <c r="C240" i="8"/>
  <c r="B240" i="8"/>
  <c r="D240" i="8" s="1"/>
  <c r="A242" i="8" l="1"/>
  <c r="C241" i="8"/>
  <c r="B241" i="8"/>
  <c r="D241" i="8" l="1"/>
  <c r="A243" i="8"/>
  <c r="C242" i="8"/>
  <c r="B242" i="8"/>
  <c r="D242" i="8" s="1"/>
  <c r="A244" i="8" l="1"/>
  <c r="C243" i="8"/>
  <c r="B243" i="8"/>
  <c r="D243" i="8" l="1"/>
  <c r="A245" i="8"/>
  <c r="C244" i="8"/>
  <c r="B244" i="8"/>
  <c r="D244" i="8" s="1"/>
  <c r="A246" i="8" l="1"/>
  <c r="C245" i="8"/>
  <c r="B245" i="8"/>
  <c r="D245" i="8" s="1"/>
  <c r="A247" i="8" l="1"/>
  <c r="C246" i="8"/>
  <c r="B246" i="8"/>
  <c r="D246" i="8" s="1"/>
  <c r="A248" i="8" l="1"/>
  <c r="C247" i="8"/>
  <c r="B247" i="8"/>
  <c r="D247" i="8" s="1"/>
  <c r="A249" i="8" l="1"/>
  <c r="C248" i="8"/>
  <c r="B248" i="8"/>
  <c r="D248" i="8" s="1"/>
  <c r="A250" i="8" l="1"/>
  <c r="C249" i="8"/>
  <c r="B249" i="8"/>
  <c r="D249" i="8" s="1"/>
  <c r="A251" i="8" l="1"/>
  <c r="C250" i="8"/>
  <c r="B250" i="8"/>
  <c r="D250" i="8" s="1"/>
  <c r="A252" i="8" l="1"/>
  <c r="C251" i="8"/>
  <c r="B251" i="8"/>
  <c r="D251" i="8" s="1"/>
  <c r="A253" i="8" l="1"/>
  <c r="C252" i="8"/>
  <c r="B252" i="8"/>
  <c r="D252" i="8" s="1"/>
  <c r="A254" i="8" l="1"/>
  <c r="C253" i="8"/>
  <c r="B253" i="8"/>
  <c r="D253" i="8" s="1"/>
  <c r="A255" i="8" l="1"/>
  <c r="C254" i="8"/>
  <c r="B254" i="8"/>
  <c r="D254" i="8" s="1"/>
  <c r="A256" i="8" l="1"/>
  <c r="C255" i="8"/>
  <c r="B255" i="8"/>
  <c r="D255" i="8" l="1"/>
  <c r="A257" i="8"/>
  <c r="C256" i="8"/>
  <c r="B256" i="8"/>
  <c r="D256" i="8" s="1"/>
  <c r="A258" i="8" l="1"/>
  <c r="C257" i="8"/>
  <c r="B257" i="8"/>
  <c r="D257" i="8" s="1"/>
  <c r="A259" i="8" l="1"/>
  <c r="C258" i="8"/>
  <c r="B258" i="8"/>
  <c r="D258" i="8" s="1"/>
  <c r="A260" i="8" l="1"/>
  <c r="C259" i="8"/>
  <c r="B259" i="8"/>
  <c r="D259" i="8" s="1"/>
  <c r="A261" i="8" l="1"/>
  <c r="C260" i="8"/>
  <c r="B260" i="8"/>
  <c r="D260" i="8" s="1"/>
  <c r="A262" i="8" l="1"/>
  <c r="C261" i="8"/>
  <c r="B261" i="8"/>
  <c r="D261" i="8" s="1"/>
  <c r="A263" i="8" l="1"/>
  <c r="C262" i="8"/>
  <c r="B262" i="8"/>
  <c r="D262" i="8" s="1"/>
  <c r="A264" i="8" l="1"/>
  <c r="C263" i="8"/>
  <c r="B263" i="8"/>
  <c r="D263" i="8" l="1"/>
  <c r="A265" i="8"/>
  <c r="C264" i="8"/>
  <c r="B264" i="8"/>
  <c r="D264" i="8" s="1"/>
  <c r="A266" i="8" l="1"/>
  <c r="C265" i="8"/>
  <c r="B265" i="8"/>
  <c r="D265" i="8" s="1"/>
  <c r="A267" i="8" l="1"/>
  <c r="C266" i="8"/>
  <c r="B266" i="8"/>
  <c r="D266" i="8" s="1"/>
  <c r="A268" i="8" l="1"/>
  <c r="C267" i="8"/>
  <c r="B267" i="8"/>
  <c r="D267" i="8" s="1"/>
  <c r="A269" i="8" l="1"/>
  <c r="C268" i="8"/>
  <c r="B268" i="8"/>
  <c r="D268" i="8" s="1"/>
  <c r="A270" i="8" l="1"/>
  <c r="C269" i="8"/>
  <c r="B269" i="8"/>
  <c r="D269" i="8" s="1"/>
  <c r="A271" i="8" l="1"/>
  <c r="C270" i="8"/>
  <c r="B270" i="8"/>
  <c r="D270" i="8" l="1"/>
  <c r="A272" i="8"/>
  <c r="C271" i="8"/>
  <c r="B271" i="8"/>
  <c r="D271" i="8" s="1"/>
  <c r="A273" i="8" l="1"/>
  <c r="C272" i="8"/>
  <c r="B272" i="8"/>
  <c r="D272" i="8" s="1"/>
  <c r="A274" i="8" l="1"/>
  <c r="C273" i="8"/>
  <c r="B273" i="8"/>
  <c r="D273" i="8" s="1"/>
  <c r="A275" i="8" l="1"/>
  <c r="C274" i="8"/>
  <c r="B274" i="8"/>
  <c r="D274" i="8" s="1"/>
  <c r="A276" i="8" l="1"/>
  <c r="C275" i="8"/>
  <c r="B275" i="8"/>
  <c r="D275" i="8" s="1"/>
  <c r="A277" i="8" l="1"/>
  <c r="C276" i="8"/>
  <c r="B276" i="8"/>
  <c r="D276" i="8" l="1"/>
  <c r="A278" i="8"/>
  <c r="C277" i="8"/>
  <c r="B277" i="8"/>
  <c r="D277" i="8" s="1"/>
  <c r="A279" i="8" l="1"/>
  <c r="C278" i="8"/>
  <c r="B278" i="8"/>
  <c r="D278" i="8" s="1"/>
  <c r="A280" i="8" l="1"/>
  <c r="C279" i="8"/>
  <c r="B279" i="8"/>
  <c r="A281" i="8" l="1"/>
  <c r="C280" i="8"/>
  <c r="D279" i="8"/>
  <c r="B280" i="8"/>
  <c r="D280" i="8" s="1"/>
  <c r="A282" i="8" l="1"/>
  <c r="C281" i="8"/>
  <c r="B281" i="8"/>
  <c r="D281" i="8" l="1"/>
  <c r="A283" i="8"/>
  <c r="C282" i="8"/>
  <c r="B282" i="8"/>
  <c r="D282" i="8" s="1"/>
  <c r="A284" i="8" l="1"/>
  <c r="C283" i="8"/>
  <c r="B283" i="8"/>
  <c r="D283" i="8" s="1"/>
  <c r="A285" i="8" l="1"/>
  <c r="C284" i="8"/>
  <c r="B284" i="8"/>
  <c r="D284" i="8" s="1"/>
  <c r="A286" i="8" l="1"/>
  <c r="C285" i="8"/>
  <c r="B285" i="8"/>
  <c r="D285" i="8" s="1"/>
  <c r="A287" i="8" l="1"/>
  <c r="C286" i="8"/>
  <c r="B286" i="8"/>
  <c r="D286" i="8" s="1"/>
  <c r="A288" i="8" l="1"/>
  <c r="C287" i="8"/>
  <c r="B287" i="8"/>
  <c r="D287" i="8" s="1"/>
  <c r="A289" i="8" l="1"/>
  <c r="C288" i="8"/>
  <c r="B288" i="8"/>
  <c r="D288" i="8" s="1"/>
  <c r="A290" i="8" l="1"/>
  <c r="C289" i="8"/>
  <c r="B289" i="8"/>
  <c r="D289" i="8" s="1"/>
  <c r="A291" i="8" l="1"/>
  <c r="C290" i="8"/>
  <c r="B290" i="8"/>
  <c r="D290" i="8" l="1"/>
  <c r="A292" i="8"/>
  <c r="C291" i="8"/>
  <c r="B291" i="8"/>
  <c r="D291" i="8" l="1"/>
  <c r="A293" i="8"/>
  <c r="C292" i="8"/>
  <c r="B292" i="8"/>
  <c r="D292" i="8" s="1"/>
  <c r="A294" i="8" l="1"/>
  <c r="C293" i="8"/>
  <c r="B293" i="8"/>
  <c r="D293" i="8" l="1"/>
  <c r="A295" i="8"/>
  <c r="C294" i="8"/>
  <c r="B294" i="8"/>
  <c r="D294" i="8" s="1"/>
  <c r="A296" i="8" l="1"/>
  <c r="C295" i="8"/>
  <c r="B295" i="8"/>
  <c r="D295" i="8" s="1"/>
  <c r="A297" i="8" l="1"/>
  <c r="C296" i="8"/>
  <c r="B296" i="8"/>
  <c r="D296" i="8" s="1"/>
  <c r="A298" i="8" l="1"/>
  <c r="C297" i="8"/>
  <c r="B297" i="8"/>
  <c r="D297" i="8" s="1"/>
  <c r="A299" i="8" l="1"/>
  <c r="C298" i="8"/>
  <c r="B298" i="8"/>
  <c r="D298" i="8" s="1"/>
  <c r="A300" i="8" l="1"/>
  <c r="C299" i="8"/>
  <c r="B299" i="8"/>
  <c r="D299" i="8" s="1"/>
  <c r="A301" i="8" l="1"/>
  <c r="C300" i="8"/>
  <c r="B300" i="8"/>
  <c r="D300" i="8" s="1"/>
  <c r="A302" i="8" l="1"/>
  <c r="C301" i="8"/>
  <c r="B301" i="8"/>
  <c r="D301" i="8" s="1"/>
  <c r="A303" i="8" l="1"/>
  <c r="C302" i="8"/>
  <c r="B302" i="8"/>
  <c r="D302" i="8" s="1"/>
  <c r="A304" i="8" l="1"/>
  <c r="C303" i="8"/>
  <c r="B303" i="8"/>
  <c r="D303" i="8" s="1"/>
  <c r="A305" i="8" l="1"/>
  <c r="C304" i="8"/>
  <c r="B304" i="8"/>
  <c r="D304" i="8" s="1"/>
  <c r="A306" i="8" l="1"/>
  <c r="C305" i="8"/>
  <c r="B305" i="8"/>
  <c r="D305" i="8" l="1"/>
  <c r="A307" i="8"/>
  <c r="C306" i="8"/>
  <c r="B306" i="8"/>
  <c r="D306" i="8" l="1"/>
  <c r="A308" i="8"/>
  <c r="C307" i="8"/>
  <c r="B307" i="8"/>
  <c r="D307" i="8" s="1"/>
  <c r="A309" i="8" l="1"/>
  <c r="C308" i="8"/>
  <c r="B308" i="8"/>
  <c r="D308" i="8" s="1"/>
  <c r="A310" i="8" l="1"/>
  <c r="C309" i="8"/>
  <c r="B309" i="8"/>
  <c r="D309" i="8" s="1"/>
  <c r="A311" i="8" l="1"/>
  <c r="C310" i="8"/>
  <c r="B310" i="8"/>
  <c r="D310" i="8" s="1"/>
  <c r="A312" i="8" l="1"/>
  <c r="C311" i="8"/>
  <c r="B311" i="8"/>
  <c r="D311" i="8" s="1"/>
  <c r="A313" i="8" l="1"/>
  <c r="C312" i="8"/>
  <c r="B312" i="8"/>
  <c r="D312" i="8" s="1"/>
  <c r="A314" i="8" l="1"/>
  <c r="C313" i="8"/>
  <c r="B313" i="8"/>
  <c r="D313" i="8" s="1"/>
  <c r="A315" i="8" l="1"/>
  <c r="C314" i="8"/>
  <c r="B314" i="8"/>
  <c r="D314" i="8" s="1"/>
  <c r="A316" i="8" l="1"/>
  <c r="C315" i="8"/>
  <c r="B315" i="8"/>
  <c r="D315" i="8" l="1"/>
  <c r="A317" i="8"/>
  <c r="C316" i="8"/>
  <c r="B316" i="8"/>
  <c r="D316" i="8" s="1"/>
  <c r="A318" i="8" l="1"/>
  <c r="C317" i="8"/>
  <c r="B317" i="8"/>
  <c r="D317" i="8" s="1"/>
  <c r="A319" i="8" l="1"/>
  <c r="C318" i="8"/>
  <c r="B318" i="8"/>
  <c r="D318" i="8" s="1"/>
  <c r="A320" i="8" l="1"/>
  <c r="C319" i="8"/>
  <c r="B319" i="8"/>
  <c r="D319" i="8" s="1"/>
  <c r="A321" i="8" l="1"/>
  <c r="C320" i="8"/>
  <c r="B320" i="8"/>
  <c r="D320" i="8" s="1"/>
  <c r="A322" i="8" l="1"/>
  <c r="C321" i="8"/>
  <c r="B321" i="8"/>
  <c r="D321" i="8" s="1"/>
  <c r="A323" i="8" l="1"/>
  <c r="C322" i="8"/>
  <c r="B322" i="8"/>
  <c r="D322" i="8" s="1"/>
  <c r="A324" i="8" l="1"/>
  <c r="C323" i="8"/>
  <c r="B323" i="8"/>
  <c r="D323" i="8" l="1"/>
  <c r="A325" i="8"/>
  <c r="C324" i="8"/>
  <c r="B324" i="8"/>
  <c r="D324" i="8" s="1"/>
  <c r="A326" i="8" l="1"/>
  <c r="C325" i="8"/>
  <c r="B325" i="8"/>
  <c r="D325" i="8" s="1"/>
  <c r="A327" i="8" l="1"/>
  <c r="C326" i="8"/>
  <c r="B326" i="8"/>
  <c r="D326" i="8" s="1"/>
  <c r="A328" i="8" l="1"/>
  <c r="C327" i="8"/>
  <c r="B327" i="8"/>
  <c r="D327" i="8" s="1"/>
  <c r="A329" i="8" l="1"/>
  <c r="C328" i="8"/>
  <c r="B328" i="8"/>
  <c r="D328" i="8" s="1"/>
  <c r="A330" i="8" l="1"/>
  <c r="C329" i="8"/>
  <c r="B329" i="8"/>
  <c r="D329" i="8" s="1"/>
  <c r="A331" i="8" l="1"/>
  <c r="C330" i="8"/>
  <c r="B330" i="8"/>
  <c r="D330" i="8" l="1"/>
  <c r="A332" i="8"/>
  <c r="C331" i="8"/>
  <c r="B331" i="8"/>
  <c r="D331" i="8" s="1"/>
  <c r="A333" i="8" l="1"/>
  <c r="C332" i="8"/>
  <c r="B332" i="8"/>
  <c r="D332" i="8" s="1"/>
  <c r="A334" i="8" l="1"/>
  <c r="C333" i="8"/>
  <c r="B333" i="8"/>
  <c r="D333" i="8" s="1"/>
  <c r="A335" i="8" l="1"/>
  <c r="C334" i="8"/>
  <c r="B334" i="8"/>
  <c r="D334" i="8" s="1"/>
  <c r="A336" i="8" l="1"/>
  <c r="C335" i="8"/>
  <c r="B335" i="8"/>
  <c r="D335" i="8" s="1"/>
  <c r="A337" i="8" l="1"/>
  <c r="C336" i="8"/>
  <c r="B336" i="8"/>
  <c r="D336" i="8" s="1"/>
  <c r="A338" i="8" l="1"/>
  <c r="C337" i="8"/>
  <c r="B337" i="8"/>
  <c r="D337" i="8" s="1"/>
  <c r="A339" i="8" l="1"/>
  <c r="C338" i="8"/>
  <c r="B338" i="8"/>
  <c r="D338" i="8" s="1"/>
  <c r="A340" i="8" l="1"/>
  <c r="C339" i="8"/>
  <c r="B339" i="8"/>
  <c r="D339" i="8" s="1"/>
  <c r="A341" i="8" l="1"/>
  <c r="C340" i="8"/>
  <c r="B340" i="8"/>
  <c r="D340" i="8" l="1"/>
  <c r="A342" i="8"/>
  <c r="C341" i="8"/>
  <c r="B341" i="8"/>
  <c r="D341" i="8" s="1"/>
  <c r="A343" i="8" l="1"/>
  <c r="C342" i="8"/>
  <c r="B342" i="8"/>
  <c r="D342" i="8" s="1"/>
  <c r="A344" i="8" l="1"/>
  <c r="C343" i="8"/>
  <c r="B343" i="8"/>
  <c r="D343" i="8" s="1"/>
  <c r="A345" i="8" l="1"/>
  <c r="C344" i="8"/>
  <c r="B344" i="8"/>
  <c r="D344" i="8" s="1"/>
  <c r="A346" i="8" l="1"/>
  <c r="C345" i="8"/>
  <c r="B345" i="8"/>
  <c r="D345" i="8" s="1"/>
  <c r="A347" i="8" l="1"/>
  <c r="C346" i="8"/>
  <c r="B346" i="8"/>
  <c r="D346" i="8" s="1"/>
  <c r="A348" i="8" l="1"/>
  <c r="C347" i="8"/>
  <c r="B347" i="8"/>
  <c r="D347" i="8" s="1"/>
  <c r="A349" i="8" l="1"/>
  <c r="C348" i="8"/>
  <c r="B348" i="8"/>
  <c r="D348" i="8" l="1"/>
  <c r="A350" i="8"/>
  <c r="C349" i="8"/>
  <c r="B349" i="8"/>
  <c r="D349" i="8" l="1"/>
  <c r="A351" i="8"/>
  <c r="C350" i="8"/>
  <c r="B350" i="8"/>
  <c r="D350" i="8" l="1"/>
  <c r="A352" i="8"/>
  <c r="C351" i="8"/>
  <c r="B351" i="8"/>
  <c r="D351" i="8" l="1"/>
  <c r="A353" i="8"/>
  <c r="C352" i="8"/>
  <c r="B352" i="8"/>
  <c r="D352" i="8" s="1"/>
  <c r="A354" i="8" l="1"/>
  <c r="C353" i="8"/>
  <c r="B353" i="8"/>
  <c r="D353" i="8" s="1"/>
  <c r="A355" i="8" l="1"/>
  <c r="C354" i="8"/>
  <c r="B354" i="8"/>
  <c r="D354" i="8" s="1"/>
  <c r="A356" i="8" l="1"/>
  <c r="C355" i="8"/>
  <c r="B355" i="8"/>
  <c r="D355" i="8" s="1"/>
  <c r="A357" i="8" l="1"/>
  <c r="C356" i="8"/>
  <c r="B356" i="8"/>
  <c r="D356" i="8" s="1"/>
  <c r="A358" i="8" l="1"/>
  <c r="C357" i="8"/>
  <c r="B357" i="8"/>
  <c r="D357" i="8" s="1"/>
  <c r="A359" i="8" l="1"/>
  <c r="C358" i="8"/>
  <c r="B358" i="8"/>
  <c r="D358" i="8" s="1"/>
  <c r="A360" i="8" l="1"/>
  <c r="C359" i="8"/>
  <c r="B359" i="8"/>
  <c r="D359" i="8" s="1"/>
  <c r="A361" i="8" l="1"/>
  <c r="C360" i="8"/>
  <c r="B360" i="8"/>
  <c r="D360" i="8" s="1"/>
  <c r="A362" i="8" l="1"/>
  <c r="C361" i="8"/>
  <c r="B361" i="8"/>
  <c r="D361" i="8" l="1"/>
  <c r="A363" i="8"/>
  <c r="C362" i="8"/>
  <c r="B362" i="8"/>
  <c r="D362" i="8" s="1"/>
  <c r="A364" i="8" l="1"/>
  <c r="C363" i="8"/>
  <c r="B363" i="8"/>
  <c r="D363" i="8" s="1"/>
  <c r="A365" i="8" l="1"/>
  <c r="C364" i="8"/>
  <c r="B364" i="8"/>
  <c r="D364" i="8" s="1"/>
  <c r="A366" i="8" l="1"/>
  <c r="C365" i="8"/>
  <c r="B365" i="8"/>
  <c r="D365" i="8" s="1"/>
  <c r="A367" i="8" l="1"/>
  <c r="C366" i="8"/>
  <c r="B366" i="8"/>
  <c r="D366" i="8" s="1"/>
  <c r="A368" i="8" l="1"/>
  <c r="C367" i="8"/>
  <c r="B367" i="8"/>
  <c r="D367" i="8" s="1"/>
  <c r="A369" i="8" l="1"/>
  <c r="C368" i="8"/>
  <c r="B368" i="8"/>
  <c r="D368" i="8" s="1"/>
  <c r="A370" i="8" l="1"/>
  <c r="C369" i="8"/>
  <c r="B369" i="8"/>
  <c r="D369" i="8" s="1"/>
  <c r="A371" i="8" l="1"/>
  <c r="C370" i="8"/>
  <c r="B370" i="8"/>
  <c r="D370" i="8" l="1"/>
  <c r="A372" i="8"/>
  <c r="C371" i="8"/>
  <c r="B371" i="8"/>
  <c r="D371" i="8" s="1"/>
  <c r="A373" i="8" l="1"/>
  <c r="C372" i="8"/>
  <c r="B372" i="8"/>
  <c r="D372" i="8" s="1"/>
  <c r="A374" i="8" l="1"/>
  <c r="C373" i="8"/>
  <c r="B373" i="8"/>
  <c r="D373" i="8" s="1"/>
  <c r="A375" i="8" l="1"/>
  <c r="C374" i="8"/>
  <c r="B374" i="8"/>
  <c r="D374" i="8" s="1"/>
  <c r="A376" i="8" l="1"/>
  <c r="C375" i="8"/>
  <c r="B375" i="8"/>
  <c r="D375" i="8" s="1"/>
  <c r="A377" i="8" l="1"/>
  <c r="C376" i="8"/>
  <c r="B376" i="8"/>
  <c r="D376" i="8" s="1"/>
  <c r="A378" i="8" l="1"/>
  <c r="C377" i="8"/>
  <c r="B377" i="8"/>
  <c r="D377" i="8" l="1"/>
  <c r="A379" i="8"/>
  <c r="C378" i="8"/>
  <c r="B378" i="8"/>
  <c r="D378" i="8" l="1"/>
  <c r="A380" i="8"/>
  <c r="C379" i="8"/>
  <c r="B379" i="8"/>
  <c r="D379" i="8" s="1"/>
  <c r="A381" i="8" l="1"/>
  <c r="C380" i="8"/>
  <c r="B380" i="8"/>
  <c r="D380" i="8" s="1"/>
  <c r="A382" i="8" l="1"/>
  <c r="C381" i="8"/>
  <c r="B381" i="8"/>
  <c r="D381" i="8" s="1"/>
  <c r="A383" i="8" l="1"/>
  <c r="C382" i="8"/>
  <c r="B382" i="8"/>
  <c r="D382" i="8" l="1"/>
  <c r="A384" i="8"/>
  <c r="C383" i="8"/>
  <c r="B383" i="8"/>
  <c r="D383" i="8" s="1"/>
  <c r="A385" i="8" l="1"/>
  <c r="C384" i="8"/>
  <c r="B384" i="8"/>
  <c r="D384" i="8" s="1"/>
  <c r="A386" i="8" l="1"/>
  <c r="C385" i="8"/>
  <c r="B385" i="8"/>
  <c r="D385" i="8" s="1"/>
  <c r="A387" i="8" l="1"/>
  <c r="C386" i="8"/>
  <c r="B386" i="8"/>
  <c r="D386" i="8" s="1"/>
  <c r="A388" i="8" l="1"/>
  <c r="C387" i="8"/>
  <c r="B387" i="8"/>
  <c r="D387" i="8" s="1"/>
  <c r="A389" i="8" l="1"/>
  <c r="C388" i="8"/>
  <c r="B388" i="8"/>
  <c r="D388" i="8" l="1"/>
  <c r="A390" i="8"/>
  <c r="C389" i="8"/>
  <c r="B389" i="8"/>
  <c r="D389" i="8" s="1"/>
  <c r="A391" i="8" l="1"/>
  <c r="C390" i="8"/>
  <c r="B390" i="8"/>
  <c r="D390" i="8" s="1"/>
  <c r="A392" i="8" l="1"/>
  <c r="C391" i="8"/>
  <c r="B391" i="8"/>
  <c r="D391" i="8" s="1"/>
  <c r="A393" i="8" l="1"/>
  <c r="C392" i="8"/>
  <c r="B392" i="8"/>
  <c r="D392" i="8" s="1"/>
  <c r="A394" i="8" l="1"/>
  <c r="C393" i="8"/>
  <c r="B393" i="8"/>
  <c r="D393" i="8" s="1"/>
  <c r="A395" i="8" l="1"/>
  <c r="C394" i="8"/>
  <c r="B394" i="8"/>
  <c r="D394" i="8" s="1"/>
  <c r="A396" i="8" l="1"/>
  <c r="C395" i="8"/>
  <c r="B395" i="8"/>
  <c r="D395" i="8" s="1"/>
  <c r="A397" i="8" l="1"/>
  <c r="C396" i="8"/>
  <c r="B396" i="8"/>
  <c r="D396" i="8" s="1"/>
  <c r="A398" i="8" l="1"/>
  <c r="C397" i="8"/>
  <c r="B397" i="8"/>
  <c r="D397" i="8" l="1"/>
  <c r="A399" i="8"/>
  <c r="C398" i="8"/>
  <c r="B398" i="8"/>
  <c r="D398" i="8" s="1"/>
  <c r="A400" i="8" l="1"/>
  <c r="C399" i="8"/>
  <c r="B399" i="8"/>
  <c r="D399" i="8" l="1"/>
  <c r="A401" i="8"/>
  <c r="C400" i="8"/>
  <c r="B400" i="8"/>
  <c r="D400" i="8" s="1"/>
  <c r="A402" i="8" l="1"/>
  <c r="C401" i="8"/>
  <c r="B401" i="8"/>
  <c r="D401" i="8" s="1"/>
  <c r="A403" i="8" l="1"/>
  <c r="C402" i="8"/>
  <c r="B402" i="8"/>
  <c r="D402" i="8" s="1"/>
  <c r="A404" i="8" l="1"/>
  <c r="C403" i="8"/>
  <c r="B403" i="8"/>
  <c r="D403" i="8" s="1"/>
  <c r="A405" i="8" l="1"/>
  <c r="C404" i="8"/>
  <c r="B404" i="8"/>
  <c r="D404" i="8" s="1"/>
  <c r="A406" i="8" l="1"/>
  <c r="C405" i="8"/>
  <c r="B405" i="8"/>
  <c r="D405" i="8" s="1"/>
  <c r="A407" i="8" l="1"/>
  <c r="C406" i="8"/>
  <c r="B406" i="8"/>
  <c r="D406" i="8" s="1"/>
  <c r="A408" i="8" l="1"/>
  <c r="C407" i="8"/>
  <c r="B407" i="8"/>
  <c r="D407" i="8" s="1"/>
  <c r="A409" i="8" l="1"/>
  <c r="C408" i="8"/>
  <c r="B408" i="8"/>
  <c r="D408" i="8" s="1"/>
  <c r="A410" i="8" l="1"/>
  <c r="C409" i="8"/>
  <c r="B409" i="8"/>
  <c r="D409" i="8" s="1"/>
  <c r="A411" i="8" l="1"/>
  <c r="C410" i="8"/>
  <c r="B410" i="8"/>
  <c r="D410" i="8" s="1"/>
  <c r="A412" i="8" l="1"/>
  <c r="C411" i="8"/>
  <c r="B411" i="8"/>
  <c r="D411" i="8" s="1"/>
  <c r="A413" i="8" l="1"/>
  <c r="C412" i="8"/>
  <c r="B412" i="8"/>
  <c r="D412" i="8" l="1"/>
  <c r="A414" i="8"/>
  <c r="C413" i="8"/>
  <c r="B413" i="8"/>
  <c r="D413" i="8" l="1"/>
  <c r="A415" i="8"/>
  <c r="C414" i="8"/>
  <c r="B414" i="8"/>
  <c r="D414" i="8" s="1"/>
  <c r="A416" i="8" l="1"/>
  <c r="C415" i="8"/>
  <c r="B415" i="8"/>
  <c r="D415" i="8" s="1"/>
  <c r="A417" i="8" l="1"/>
  <c r="C416" i="8"/>
  <c r="B416" i="8"/>
  <c r="D416" i="8" s="1"/>
  <c r="A418" i="8" l="1"/>
  <c r="C417" i="8"/>
  <c r="B417" i="8"/>
  <c r="D417" i="8" s="1"/>
  <c r="A419" i="8" l="1"/>
  <c r="C418" i="8"/>
  <c r="B418" i="8"/>
  <c r="D418" i="8" s="1"/>
  <c r="A420" i="8" l="1"/>
  <c r="C419" i="8"/>
  <c r="B419" i="8"/>
  <c r="D419" i="8" s="1"/>
  <c r="A421" i="8" l="1"/>
  <c r="C420" i="8"/>
  <c r="B420" i="8"/>
  <c r="D420" i="8" s="1"/>
  <c r="A422" i="8" l="1"/>
  <c r="C421" i="8"/>
  <c r="B421" i="8"/>
  <c r="D421" i="8" s="1"/>
  <c r="A423" i="8" l="1"/>
  <c r="C422" i="8"/>
  <c r="B422" i="8"/>
  <c r="D422" i="8" s="1"/>
  <c r="A424" i="8" l="1"/>
  <c r="C423" i="8"/>
  <c r="B423" i="8"/>
  <c r="D423" i="8" s="1"/>
  <c r="A425" i="8" l="1"/>
  <c r="C424" i="8"/>
  <c r="B424" i="8"/>
  <c r="D424" i="8" s="1"/>
  <c r="A426" i="8" l="1"/>
  <c r="C425" i="8"/>
  <c r="B425" i="8"/>
  <c r="D425" i="8" s="1"/>
  <c r="A427" i="8" l="1"/>
  <c r="C426" i="8"/>
  <c r="B426" i="8"/>
  <c r="D426" i="8" s="1"/>
  <c r="A428" i="8" l="1"/>
  <c r="C427" i="8"/>
  <c r="B427" i="8"/>
  <c r="D427" i="8" l="1"/>
  <c r="A429" i="8"/>
  <c r="C428" i="8"/>
  <c r="B428" i="8"/>
  <c r="D428" i="8" l="1"/>
  <c r="A430" i="8"/>
  <c r="C429" i="8"/>
  <c r="B429" i="8"/>
  <c r="D429" i="8" s="1"/>
  <c r="A431" i="8" l="1"/>
  <c r="C430" i="8"/>
  <c r="B430" i="8"/>
  <c r="D430" i="8" s="1"/>
  <c r="A432" i="8" l="1"/>
  <c r="C431" i="8"/>
  <c r="B431" i="8"/>
  <c r="D431" i="8" s="1"/>
  <c r="A433" i="8" l="1"/>
  <c r="C432" i="8"/>
  <c r="B432" i="8"/>
  <c r="D432" i="8" s="1"/>
  <c r="A434" i="8" l="1"/>
  <c r="C433" i="8"/>
  <c r="B433" i="8"/>
  <c r="D433" i="8" s="1"/>
  <c r="A435" i="8" l="1"/>
  <c r="C434" i="8"/>
  <c r="B434" i="8"/>
  <c r="D434" i="8" s="1"/>
  <c r="A436" i="8" l="1"/>
  <c r="C435" i="8"/>
  <c r="B435" i="8"/>
  <c r="D435" i="8" s="1"/>
  <c r="A437" i="8" l="1"/>
  <c r="C436" i="8"/>
  <c r="B436" i="8"/>
  <c r="D436" i="8" s="1"/>
  <c r="A438" i="8" l="1"/>
  <c r="C437" i="8"/>
  <c r="B437" i="8"/>
  <c r="D437" i="8" s="1"/>
  <c r="A439" i="8" l="1"/>
  <c r="C438" i="8"/>
  <c r="B438" i="8"/>
  <c r="D438" i="8" s="1"/>
  <c r="A440" i="8" l="1"/>
  <c r="C439" i="8"/>
  <c r="B439" i="8"/>
  <c r="D439" i="8" s="1"/>
  <c r="A441" i="8" l="1"/>
  <c r="C440" i="8"/>
  <c r="B440" i="8"/>
  <c r="D440" i="8" s="1"/>
  <c r="A442" i="8" l="1"/>
  <c r="C441" i="8"/>
  <c r="B441" i="8"/>
  <c r="D441" i="8" s="1"/>
  <c r="A443" i="8" l="1"/>
  <c r="C442" i="8"/>
  <c r="B442" i="8"/>
  <c r="D442" i="8" s="1"/>
  <c r="A444" i="8" l="1"/>
  <c r="C443" i="8"/>
  <c r="B443" i="8"/>
  <c r="D443" i="8" s="1"/>
  <c r="A445" i="8" l="1"/>
  <c r="C444" i="8"/>
  <c r="B444" i="8"/>
  <c r="D444" i="8" l="1"/>
  <c r="A446" i="8"/>
  <c r="C445" i="8"/>
  <c r="B445" i="8"/>
  <c r="D445" i="8" s="1"/>
  <c r="A447" i="8" l="1"/>
  <c r="C446" i="8"/>
  <c r="B446" i="8"/>
  <c r="D446" i="8" s="1"/>
  <c r="A448" i="8" l="1"/>
  <c r="C447" i="8"/>
  <c r="B447" i="8"/>
  <c r="D447" i="8" s="1"/>
  <c r="A449" i="8" l="1"/>
  <c r="C448" i="8"/>
  <c r="B448" i="8"/>
  <c r="D448" i="8" s="1"/>
  <c r="A450" i="8" l="1"/>
  <c r="C449" i="8"/>
  <c r="B449" i="8"/>
  <c r="D449" i="8" s="1"/>
  <c r="A451" i="8" l="1"/>
  <c r="C450" i="8"/>
  <c r="B450" i="8"/>
  <c r="D450" i="8" s="1"/>
  <c r="A452" i="8" l="1"/>
  <c r="C451" i="8"/>
  <c r="B451" i="8"/>
  <c r="D451" i="8" s="1"/>
  <c r="A453" i="8" l="1"/>
  <c r="C452" i="8"/>
  <c r="B452" i="8"/>
  <c r="D452" i="8" s="1"/>
  <c r="A454" i="8" l="1"/>
  <c r="C453" i="8"/>
  <c r="B453" i="8"/>
  <c r="D453" i="8" l="1"/>
  <c r="A455" i="8"/>
  <c r="C454" i="8"/>
  <c r="B454" i="8"/>
  <c r="D454" i="8" s="1"/>
  <c r="A456" i="8" l="1"/>
  <c r="C455" i="8"/>
  <c r="B455" i="8"/>
  <c r="D455" i="8" s="1"/>
  <c r="A457" i="8" l="1"/>
  <c r="C456" i="8"/>
  <c r="B456" i="8"/>
  <c r="D456" i="8" s="1"/>
  <c r="A458" i="8" l="1"/>
  <c r="C457" i="8"/>
  <c r="B457" i="8"/>
  <c r="D457" i="8" s="1"/>
  <c r="A459" i="8" l="1"/>
  <c r="C458" i="8"/>
  <c r="B458" i="8"/>
  <c r="D458" i="8" s="1"/>
  <c r="A460" i="8" l="1"/>
  <c r="C459" i="8"/>
  <c r="B459" i="8"/>
  <c r="D459" i="8" s="1"/>
  <c r="A461" i="8" l="1"/>
  <c r="C460" i="8"/>
  <c r="B460" i="8"/>
  <c r="D460" i="8" s="1"/>
  <c r="A462" i="8" l="1"/>
  <c r="C461" i="8"/>
  <c r="B461" i="8"/>
  <c r="D461" i="8" s="1"/>
  <c r="A463" i="8" l="1"/>
  <c r="C462" i="8"/>
  <c r="B462" i="8"/>
  <c r="D462" i="8" s="1"/>
  <c r="A464" i="8" l="1"/>
  <c r="C463" i="8"/>
  <c r="B463" i="8"/>
  <c r="D463" i="8" s="1"/>
  <c r="A465" i="8" l="1"/>
  <c r="C464" i="8"/>
  <c r="B464" i="8"/>
  <c r="D464" i="8" s="1"/>
  <c r="A466" i="8" l="1"/>
  <c r="C465" i="8"/>
  <c r="B465" i="8"/>
  <c r="D465" i="8" l="1"/>
  <c r="A467" i="8"/>
  <c r="C466" i="8"/>
  <c r="B466" i="8"/>
  <c r="D466" i="8" s="1"/>
  <c r="A468" i="8" l="1"/>
  <c r="C467" i="8"/>
  <c r="B467" i="8"/>
  <c r="D467" i="8" l="1"/>
  <c r="A469" i="8"/>
  <c r="C468" i="8"/>
  <c r="B468" i="8"/>
  <c r="D468" i="8" l="1"/>
  <c r="A470" i="8"/>
  <c r="C469" i="8"/>
  <c r="B469" i="8"/>
  <c r="D469" i="8" s="1"/>
  <c r="A471" i="8" l="1"/>
  <c r="C470" i="8"/>
  <c r="B470" i="8"/>
  <c r="D470" i="8" s="1"/>
  <c r="A472" i="8" l="1"/>
  <c r="C471" i="8"/>
  <c r="B471" i="8"/>
  <c r="D471" i="8" s="1"/>
  <c r="A473" i="8" l="1"/>
  <c r="C472" i="8"/>
  <c r="B472" i="8"/>
  <c r="D472" i="8" s="1"/>
  <c r="A474" i="8" l="1"/>
  <c r="C473" i="8"/>
  <c r="B473" i="8"/>
  <c r="D473" i="8" s="1"/>
  <c r="A475" i="8" l="1"/>
  <c r="C474" i="8"/>
  <c r="B474" i="8"/>
  <c r="D474" i="8" s="1"/>
  <c r="A476" i="8" l="1"/>
  <c r="C475" i="8"/>
  <c r="B475" i="8"/>
  <c r="D475" i="8" s="1"/>
  <c r="A477" i="8" l="1"/>
  <c r="C476" i="8"/>
  <c r="B476" i="8"/>
  <c r="D476" i="8" s="1"/>
  <c r="A478" i="8" l="1"/>
  <c r="C477" i="8"/>
  <c r="B477" i="8"/>
  <c r="D477" i="8" s="1"/>
  <c r="A479" i="8" l="1"/>
  <c r="C478" i="8"/>
  <c r="B478" i="8"/>
  <c r="D478" i="8" s="1"/>
  <c r="A480" i="8" l="1"/>
  <c r="C479" i="8"/>
  <c r="B479" i="8"/>
  <c r="D479" i="8" s="1"/>
  <c r="A481" i="8" l="1"/>
  <c r="C480" i="8"/>
  <c r="B480" i="8"/>
  <c r="D480" i="8" s="1"/>
  <c r="A482" i="8" l="1"/>
  <c r="C481" i="8"/>
  <c r="B481" i="8"/>
  <c r="D481" i="8" s="1"/>
  <c r="A483" i="8" l="1"/>
  <c r="C482" i="8"/>
  <c r="B482" i="8"/>
  <c r="D482" i="8" s="1"/>
  <c r="A484" i="8" l="1"/>
  <c r="C483" i="8"/>
  <c r="B483" i="8"/>
  <c r="D483" i="8" s="1"/>
  <c r="A485" i="8" l="1"/>
  <c r="C484" i="8"/>
  <c r="B484" i="8"/>
  <c r="D484" i="8" l="1"/>
  <c r="A486" i="8"/>
  <c r="C485" i="8"/>
  <c r="B485" i="8"/>
  <c r="D485" i="8" s="1"/>
  <c r="A487" i="8" l="1"/>
  <c r="C486" i="8"/>
  <c r="B486" i="8"/>
  <c r="D486" i="8" s="1"/>
  <c r="A488" i="8" l="1"/>
  <c r="C487" i="8"/>
  <c r="B487" i="8"/>
  <c r="D487" i="8" s="1"/>
  <c r="A489" i="8" l="1"/>
  <c r="C488" i="8"/>
  <c r="B488" i="8"/>
  <c r="D488" i="8" s="1"/>
  <c r="A490" i="8" l="1"/>
  <c r="C489" i="8"/>
  <c r="B489" i="8"/>
  <c r="D489" i="8" s="1"/>
  <c r="A491" i="8" l="1"/>
  <c r="C490" i="8"/>
  <c r="B490" i="8"/>
  <c r="D490" i="8" s="1"/>
  <c r="A492" i="8" l="1"/>
  <c r="C491" i="8"/>
  <c r="B491" i="8"/>
  <c r="D491" i="8" s="1"/>
  <c r="A493" i="8" l="1"/>
  <c r="C492" i="8"/>
  <c r="B492" i="8"/>
  <c r="D492" i="8" s="1"/>
  <c r="A494" i="8" l="1"/>
  <c r="C493" i="8"/>
  <c r="B493" i="8"/>
  <c r="D493" i="8" s="1"/>
  <c r="A495" i="8" l="1"/>
  <c r="C494" i="8"/>
  <c r="B494" i="8"/>
  <c r="D494" i="8" s="1"/>
  <c r="A496" i="8" l="1"/>
  <c r="C495" i="8"/>
  <c r="B495" i="8"/>
  <c r="D495" i="8" s="1"/>
  <c r="A497" i="8" l="1"/>
  <c r="C496" i="8"/>
  <c r="B496" i="8"/>
  <c r="D496" i="8" s="1"/>
  <c r="A498" i="8" l="1"/>
  <c r="C497" i="8"/>
  <c r="B497" i="8"/>
  <c r="D497" i="8" s="1"/>
  <c r="A499" i="8" l="1"/>
  <c r="C498" i="8"/>
  <c r="B498" i="8"/>
  <c r="D498" i="8" l="1"/>
  <c r="A500" i="8"/>
  <c r="C499" i="8"/>
  <c r="B499" i="8"/>
  <c r="D499" i="8" s="1"/>
  <c r="A501" i="8" l="1"/>
  <c r="C500" i="8"/>
  <c r="B500" i="8"/>
  <c r="D500" i="8" s="1"/>
  <c r="A502" i="8" l="1"/>
  <c r="C501" i="8"/>
  <c r="B501" i="8"/>
  <c r="D501" i="8" s="1"/>
  <c r="A503" i="8" l="1"/>
  <c r="C502" i="8"/>
  <c r="B502" i="8"/>
  <c r="D502" i="8" s="1"/>
  <c r="A504" i="8" l="1"/>
  <c r="C503" i="8"/>
  <c r="B503" i="8"/>
  <c r="D503" i="8" s="1"/>
  <c r="A505" i="8" l="1"/>
  <c r="C504" i="8"/>
  <c r="B504" i="8"/>
  <c r="D504" i="8" s="1"/>
  <c r="A506" i="8" l="1"/>
  <c r="C505" i="8"/>
  <c r="B505" i="8"/>
  <c r="D505" i="8" s="1"/>
  <c r="A507" i="8" l="1"/>
  <c r="C506" i="8"/>
  <c r="B506" i="8"/>
  <c r="D506" i="8" s="1"/>
  <c r="A508" i="8" l="1"/>
  <c r="C507" i="8"/>
  <c r="B507" i="8"/>
  <c r="D507" i="8" s="1"/>
  <c r="A509" i="8" l="1"/>
  <c r="C508" i="8"/>
  <c r="B508" i="8"/>
  <c r="D508" i="8" l="1"/>
  <c r="A510" i="8"/>
  <c r="C509" i="8"/>
  <c r="B509" i="8"/>
  <c r="D509" i="8" l="1"/>
  <c r="A511" i="8"/>
  <c r="C510" i="8"/>
  <c r="B510" i="8"/>
  <c r="D510" i="8" s="1"/>
  <c r="A512" i="8" l="1"/>
  <c r="C511" i="8"/>
  <c r="B511" i="8"/>
  <c r="D511" i="8" s="1"/>
  <c r="A513" i="8" l="1"/>
  <c r="C512" i="8"/>
  <c r="B512" i="8"/>
  <c r="D512" i="8" s="1"/>
  <c r="A514" i="8" l="1"/>
  <c r="C513" i="8"/>
  <c r="B513" i="8"/>
  <c r="D513" i="8" l="1"/>
  <c r="A515" i="8"/>
  <c r="C514" i="8"/>
  <c r="B514" i="8"/>
  <c r="D514" i="8" s="1"/>
  <c r="A516" i="8" l="1"/>
  <c r="C515" i="8"/>
  <c r="B515" i="8"/>
  <c r="D515" i="8" s="1"/>
  <c r="A517" i="8" l="1"/>
  <c r="C516" i="8"/>
  <c r="B516" i="8"/>
  <c r="D516" i="8" s="1"/>
  <c r="A518" i="8" l="1"/>
  <c r="C517" i="8"/>
  <c r="B517" i="8"/>
  <c r="D517" i="8" s="1"/>
  <c r="A519" i="8" l="1"/>
  <c r="C518" i="8"/>
  <c r="B518" i="8"/>
  <c r="D518" i="8" s="1"/>
  <c r="A520" i="8" l="1"/>
  <c r="C519" i="8"/>
  <c r="B519" i="8"/>
  <c r="D519" i="8" s="1"/>
  <c r="A521" i="8" l="1"/>
  <c r="C520" i="8"/>
  <c r="B520" i="8"/>
  <c r="D520" i="8" s="1"/>
  <c r="A522" i="8" l="1"/>
  <c r="C521" i="8"/>
  <c r="B521" i="8"/>
  <c r="D521" i="8" s="1"/>
  <c r="A523" i="8" l="1"/>
  <c r="C522" i="8"/>
  <c r="B522" i="8"/>
  <c r="D522" i="8" s="1"/>
  <c r="A524" i="8" l="1"/>
  <c r="C523" i="8"/>
  <c r="B523" i="8"/>
  <c r="D523" i="8" l="1"/>
  <c r="A525" i="8"/>
  <c r="C524" i="8"/>
  <c r="B524" i="8"/>
  <c r="D524" i="8" s="1"/>
  <c r="A526" i="8" l="1"/>
  <c r="C525" i="8"/>
  <c r="B525" i="8"/>
  <c r="D525" i="8" s="1"/>
  <c r="A527" i="8" l="1"/>
  <c r="C526" i="8"/>
  <c r="B526" i="8"/>
  <c r="D526" i="8" s="1"/>
  <c r="A528" i="8" l="1"/>
  <c r="C527" i="8"/>
  <c r="B527" i="8"/>
  <c r="D527" i="8" s="1"/>
  <c r="A529" i="8" l="1"/>
  <c r="C528" i="8"/>
  <c r="B528" i="8"/>
  <c r="D528" i="8" s="1"/>
  <c r="A530" i="8" l="1"/>
  <c r="C529" i="8"/>
  <c r="B529" i="8"/>
  <c r="D529" i="8" l="1"/>
  <c r="A531" i="8"/>
  <c r="C530" i="8"/>
  <c r="B530" i="8"/>
  <c r="D530" i="8" s="1"/>
  <c r="A532" i="8" l="1"/>
  <c r="C531" i="8"/>
  <c r="B531" i="8"/>
  <c r="D531" i="8" s="1"/>
  <c r="A533" i="8" l="1"/>
  <c r="C532" i="8"/>
  <c r="B532" i="8"/>
  <c r="D532" i="8" s="1"/>
  <c r="A534" i="8" l="1"/>
  <c r="C533" i="8"/>
  <c r="B533" i="8"/>
  <c r="D533" i="8" s="1"/>
  <c r="A535" i="8" l="1"/>
  <c r="C534" i="8"/>
  <c r="B534" i="8"/>
  <c r="D534" i="8" s="1"/>
  <c r="A536" i="8" l="1"/>
  <c r="C535" i="8"/>
  <c r="B535" i="8"/>
  <c r="D535" i="8" s="1"/>
  <c r="A537" i="8" l="1"/>
  <c r="C536" i="8"/>
  <c r="B536" i="8"/>
  <c r="D536" i="8" s="1"/>
  <c r="A538" i="8" l="1"/>
  <c r="C537" i="8"/>
  <c r="B537" i="8"/>
  <c r="D537" i="8" s="1"/>
  <c r="A539" i="8" l="1"/>
  <c r="C538" i="8"/>
  <c r="B538" i="8"/>
  <c r="D538" i="8" s="1"/>
  <c r="A540" i="8" l="1"/>
  <c r="C539" i="8"/>
  <c r="B539" i="8"/>
  <c r="D539" i="8" s="1"/>
  <c r="A541" i="8" l="1"/>
  <c r="C540" i="8"/>
  <c r="B540" i="8"/>
  <c r="D540" i="8" l="1"/>
  <c r="A542" i="8"/>
  <c r="C541" i="8"/>
  <c r="B541" i="8"/>
  <c r="D541" i="8" s="1"/>
  <c r="A543" i="8" l="1"/>
  <c r="C542" i="8"/>
  <c r="B542" i="8"/>
  <c r="D542" i="8" s="1"/>
  <c r="A544" i="8" l="1"/>
  <c r="C543" i="8"/>
  <c r="B543" i="8"/>
  <c r="D543" i="8" s="1"/>
  <c r="A545" i="8" l="1"/>
  <c r="C544" i="8"/>
  <c r="B544" i="8"/>
  <c r="D544" i="8" l="1"/>
  <c r="A546" i="8"/>
  <c r="C545" i="8"/>
  <c r="B545" i="8"/>
  <c r="D545" i="8" s="1"/>
  <c r="A547" i="8" l="1"/>
  <c r="C546" i="8"/>
  <c r="B546" i="8"/>
  <c r="D546" i="8" s="1"/>
  <c r="A548" i="8" l="1"/>
  <c r="C547" i="8"/>
  <c r="B547" i="8"/>
  <c r="D547" i="8" s="1"/>
  <c r="A549" i="8" l="1"/>
  <c r="C548" i="8"/>
  <c r="B548" i="8"/>
  <c r="D548" i="8" s="1"/>
  <c r="A550" i="8" l="1"/>
  <c r="C549" i="8"/>
  <c r="B549" i="8"/>
  <c r="D549" i="8" s="1"/>
  <c r="A551" i="8" l="1"/>
  <c r="C550" i="8"/>
  <c r="B550" i="8"/>
  <c r="D550" i="8" s="1"/>
  <c r="A552" i="8" l="1"/>
  <c r="C551" i="8"/>
  <c r="B551" i="8"/>
  <c r="D551" i="8" l="1"/>
  <c r="A553" i="8"/>
  <c r="C552" i="8"/>
  <c r="B552" i="8"/>
  <c r="D552" i="8" s="1"/>
  <c r="A554" i="8" l="1"/>
  <c r="C553" i="8"/>
  <c r="B553" i="8"/>
  <c r="D553" i="8" s="1"/>
  <c r="A555" i="8" l="1"/>
  <c r="C554" i="8"/>
  <c r="B554" i="8"/>
  <c r="D554" i="8" s="1"/>
  <c r="A556" i="8" l="1"/>
  <c r="C555" i="8"/>
  <c r="B555" i="8"/>
  <c r="D555" i="8" s="1"/>
  <c r="A557" i="8" l="1"/>
  <c r="C556" i="8"/>
  <c r="B556" i="8"/>
  <c r="D556" i="8" s="1"/>
  <c r="A558" i="8" l="1"/>
  <c r="C557" i="8"/>
  <c r="B557" i="8"/>
  <c r="D557" i="8" s="1"/>
  <c r="A559" i="8" l="1"/>
  <c r="C558" i="8"/>
  <c r="B558" i="8"/>
  <c r="D558" i="8" l="1"/>
  <c r="A560" i="8"/>
  <c r="C559" i="8"/>
  <c r="B559" i="8"/>
  <c r="D559" i="8" s="1"/>
  <c r="A561" i="8" l="1"/>
  <c r="C560" i="8"/>
  <c r="B560" i="8"/>
  <c r="D560" i="8" s="1"/>
  <c r="A562" i="8" l="1"/>
  <c r="C561" i="8"/>
  <c r="B561" i="8"/>
  <c r="D561" i="8" s="1"/>
  <c r="A563" i="8" l="1"/>
  <c r="C562" i="8"/>
  <c r="B562" i="8"/>
  <c r="D562" i="8" s="1"/>
  <c r="A564" i="8" l="1"/>
  <c r="C563" i="8"/>
  <c r="B563" i="8"/>
  <c r="D563" i="8" s="1"/>
  <c r="A565" i="8" l="1"/>
  <c r="C564" i="8"/>
  <c r="B564" i="8"/>
  <c r="D564" i="8" l="1"/>
  <c r="A566" i="8"/>
  <c r="C565" i="8"/>
  <c r="B565" i="8"/>
  <c r="D565" i="8" s="1"/>
  <c r="A567" i="8" l="1"/>
  <c r="C566" i="8"/>
  <c r="B566" i="8"/>
  <c r="D566" i="8" s="1"/>
  <c r="A568" i="8" l="1"/>
  <c r="C567" i="8"/>
  <c r="B567" i="8"/>
  <c r="D567" i="8" s="1"/>
  <c r="A569" i="8" l="1"/>
  <c r="C568" i="8"/>
  <c r="B568" i="8"/>
  <c r="D568" i="8" s="1"/>
  <c r="A570" i="8" l="1"/>
  <c r="C569" i="8"/>
  <c r="B569" i="8"/>
  <c r="D569" i="8" s="1"/>
  <c r="A571" i="8" l="1"/>
  <c r="C570" i="8"/>
  <c r="B570" i="8"/>
  <c r="D570" i="8" s="1"/>
  <c r="A572" i="8" l="1"/>
  <c r="C571" i="8"/>
  <c r="B571" i="8"/>
  <c r="D571" i="8" s="1"/>
  <c r="A573" i="8" l="1"/>
  <c r="C572" i="8"/>
  <c r="B572" i="8"/>
  <c r="D572" i="8" l="1"/>
  <c r="A574" i="8"/>
  <c r="C573" i="8"/>
  <c r="B573" i="8"/>
  <c r="D573" i="8" s="1"/>
  <c r="A575" i="8" l="1"/>
  <c r="C574" i="8"/>
  <c r="B574" i="8"/>
  <c r="D574" i="8" s="1"/>
  <c r="A576" i="8" l="1"/>
  <c r="C575" i="8"/>
  <c r="B575" i="8"/>
  <c r="D575" i="8" s="1"/>
  <c r="A577" i="8" l="1"/>
  <c r="C576" i="8"/>
  <c r="B576" i="8"/>
  <c r="D576" i="8" s="1"/>
  <c r="A578" i="8" l="1"/>
  <c r="C577" i="8"/>
  <c r="B577" i="8"/>
  <c r="D577" i="8" s="1"/>
  <c r="A579" i="8" l="1"/>
  <c r="C578" i="8"/>
  <c r="B578" i="8"/>
  <c r="D578" i="8" s="1"/>
  <c r="A580" i="8" l="1"/>
  <c r="C579" i="8"/>
  <c r="B579" i="8"/>
  <c r="D579" i="8" s="1"/>
  <c r="A581" i="8" l="1"/>
  <c r="C580" i="8"/>
  <c r="B580" i="8"/>
  <c r="D580" i="8" s="1"/>
  <c r="A582" i="8" l="1"/>
  <c r="C581" i="8"/>
  <c r="B581" i="8"/>
  <c r="D581" i="8" l="1"/>
  <c r="A583" i="8"/>
  <c r="C582" i="8"/>
  <c r="B582" i="8"/>
  <c r="D582" i="8" s="1"/>
  <c r="A584" i="8" l="1"/>
  <c r="C583" i="8"/>
  <c r="B583" i="8"/>
  <c r="D583" i="8" s="1"/>
  <c r="A585" i="8" l="1"/>
  <c r="C584" i="8"/>
  <c r="B584" i="8"/>
  <c r="D584" i="8" s="1"/>
  <c r="A586" i="8" l="1"/>
  <c r="C585" i="8"/>
  <c r="B585" i="8"/>
  <c r="D585" i="8" s="1"/>
  <c r="A587" i="8" l="1"/>
  <c r="C586" i="8"/>
  <c r="B586" i="8"/>
  <c r="D586" i="8" s="1"/>
  <c r="A588" i="8" l="1"/>
  <c r="C587" i="8"/>
  <c r="B587" i="8"/>
  <c r="D587" i="8" s="1"/>
  <c r="A589" i="8" l="1"/>
  <c r="C588" i="8"/>
  <c r="B588" i="8"/>
  <c r="D588" i="8" s="1"/>
  <c r="A590" i="8" l="1"/>
  <c r="C589" i="8"/>
  <c r="B589" i="8"/>
  <c r="D589" i="8" s="1"/>
  <c r="A591" i="8" l="1"/>
  <c r="C590" i="8"/>
  <c r="B590" i="8"/>
  <c r="D590" i="8" l="1"/>
  <c r="A592" i="8"/>
  <c r="C591" i="8"/>
  <c r="B591" i="8"/>
  <c r="D591" i="8" s="1"/>
  <c r="A593" i="8" l="1"/>
  <c r="C592" i="8"/>
  <c r="B592" i="8"/>
  <c r="D592" i="8" s="1"/>
  <c r="A594" i="8" l="1"/>
  <c r="C593" i="8"/>
  <c r="B593" i="8"/>
  <c r="D593" i="8" s="1"/>
  <c r="A595" i="8" l="1"/>
  <c r="C594" i="8"/>
  <c r="B594" i="8"/>
  <c r="D594" i="8" s="1"/>
  <c r="A596" i="8" l="1"/>
  <c r="C595" i="8"/>
  <c r="B595" i="8"/>
  <c r="D595" i="8" l="1"/>
  <c r="A597" i="8"/>
  <c r="C596" i="8"/>
  <c r="B596" i="8"/>
  <c r="D596" i="8" s="1"/>
  <c r="A598" i="8" l="1"/>
  <c r="C597" i="8"/>
  <c r="B597" i="8"/>
  <c r="D597" i="8" s="1"/>
  <c r="A599" i="8" l="1"/>
  <c r="C598" i="8"/>
  <c r="B598" i="8"/>
  <c r="D598" i="8" l="1"/>
  <c r="A600" i="8"/>
  <c r="C599" i="8"/>
  <c r="B599" i="8"/>
  <c r="D599" i="8" s="1"/>
  <c r="A601" i="8" l="1"/>
  <c r="C600" i="8"/>
  <c r="B600" i="8"/>
  <c r="D600" i="8" s="1"/>
  <c r="A602" i="8" l="1"/>
  <c r="C601" i="8"/>
  <c r="B601" i="8"/>
  <c r="D601" i="8" s="1"/>
  <c r="A603" i="8" l="1"/>
  <c r="C602" i="8"/>
  <c r="B602" i="8"/>
  <c r="D602" i="8" s="1"/>
  <c r="A604" i="8" l="1"/>
  <c r="C603" i="8"/>
  <c r="B603" i="8"/>
  <c r="D603" i="8" s="1"/>
  <c r="A605" i="8" l="1"/>
  <c r="C604" i="8"/>
  <c r="B604" i="8"/>
  <c r="D604" i="8" l="1"/>
  <c r="A606" i="8"/>
  <c r="C605" i="8"/>
  <c r="B605" i="8"/>
  <c r="D605" i="8" s="1"/>
  <c r="A607" i="8" l="1"/>
  <c r="C606" i="8"/>
  <c r="B606" i="8"/>
  <c r="D606" i="8" s="1"/>
  <c r="A608" i="8" l="1"/>
  <c r="C607" i="8"/>
  <c r="B607" i="8"/>
  <c r="D607" i="8" l="1"/>
  <c r="A609" i="8"/>
  <c r="C608" i="8"/>
  <c r="B608" i="8"/>
  <c r="D608" i="8" s="1"/>
  <c r="A610" i="8" l="1"/>
  <c r="C609" i="8"/>
  <c r="B609" i="8"/>
  <c r="D609" i="8" s="1"/>
  <c r="A611" i="8" l="1"/>
  <c r="C610" i="8"/>
  <c r="B610" i="8"/>
  <c r="D610" i="8" s="1"/>
  <c r="A612" i="8" l="1"/>
  <c r="C611" i="8"/>
  <c r="B611" i="8"/>
  <c r="D611" i="8" s="1"/>
  <c r="A613" i="8" l="1"/>
  <c r="C612" i="8"/>
  <c r="B612" i="8"/>
  <c r="D612" i="8" s="1"/>
  <c r="A614" i="8" l="1"/>
  <c r="C613" i="8"/>
  <c r="B613" i="8"/>
  <c r="D613" i="8" s="1"/>
  <c r="A615" i="8" l="1"/>
  <c r="C614" i="8"/>
  <c r="B614" i="8"/>
  <c r="D614" i="8" s="1"/>
  <c r="A616" i="8" l="1"/>
  <c r="C615" i="8"/>
  <c r="B615" i="8"/>
  <c r="D615" i="8" l="1"/>
  <c r="A617" i="8"/>
  <c r="C616" i="8"/>
  <c r="B616" i="8"/>
  <c r="D616" i="8" s="1"/>
  <c r="A618" i="8" l="1"/>
  <c r="C617" i="8"/>
  <c r="B617" i="8"/>
  <c r="D617" i="8" s="1"/>
  <c r="A619" i="8" l="1"/>
  <c r="C618" i="8"/>
  <c r="B618" i="8"/>
  <c r="D618" i="8" s="1"/>
  <c r="A620" i="8" l="1"/>
  <c r="C619" i="8"/>
  <c r="B619" i="8"/>
  <c r="D619" i="8" s="1"/>
  <c r="A621" i="8" l="1"/>
  <c r="C620" i="8"/>
  <c r="B620" i="8"/>
  <c r="D620" i="8" s="1"/>
  <c r="A622" i="8" l="1"/>
  <c r="C621" i="8"/>
  <c r="B621" i="8"/>
  <c r="D621" i="8" s="1"/>
  <c r="A623" i="8" l="1"/>
  <c r="C622" i="8"/>
  <c r="B622" i="8"/>
  <c r="D622" i="8" s="1"/>
  <c r="A624" i="8" l="1"/>
  <c r="C623" i="8"/>
  <c r="B623" i="8"/>
  <c r="D623" i="8" s="1"/>
  <c r="A625" i="8" l="1"/>
  <c r="C624" i="8"/>
  <c r="B624" i="8"/>
  <c r="D624" i="8" s="1"/>
  <c r="A626" i="8" l="1"/>
  <c r="C625" i="8"/>
  <c r="B625" i="8"/>
  <c r="D625" i="8" s="1"/>
  <c r="A627" i="8" l="1"/>
  <c r="C626" i="8"/>
  <c r="B626" i="8"/>
  <c r="D626" i="8" s="1"/>
  <c r="A628" i="8" l="1"/>
  <c r="C627" i="8"/>
  <c r="B627" i="8"/>
  <c r="D627" i="8" l="1"/>
  <c r="A629" i="8"/>
  <c r="C628" i="8"/>
  <c r="B628" i="8"/>
  <c r="D628" i="8" l="1"/>
  <c r="A630" i="8"/>
  <c r="C629" i="8"/>
  <c r="B629" i="8"/>
  <c r="D629" i="8" s="1"/>
  <c r="A631" i="8" l="1"/>
  <c r="C630" i="8"/>
  <c r="B630" i="8"/>
  <c r="D630" i="8" s="1"/>
  <c r="A632" i="8" l="1"/>
  <c r="C631" i="8"/>
  <c r="B631" i="8"/>
  <c r="D631" i="8" s="1"/>
  <c r="A633" i="8" l="1"/>
  <c r="C632" i="8"/>
  <c r="B632" i="8"/>
  <c r="D632" i="8" s="1"/>
  <c r="A634" i="8" l="1"/>
  <c r="C633" i="8"/>
  <c r="B633" i="8"/>
  <c r="D633" i="8" s="1"/>
  <c r="A635" i="8" l="1"/>
  <c r="C634" i="8"/>
  <c r="B634" i="8"/>
  <c r="D634" i="8" s="1"/>
  <c r="A636" i="8" l="1"/>
  <c r="C635" i="8"/>
  <c r="B635" i="8"/>
  <c r="D635" i="8" s="1"/>
  <c r="A637" i="8" l="1"/>
  <c r="C636" i="8"/>
  <c r="B636" i="8"/>
  <c r="D636" i="8" l="1"/>
  <c r="A638" i="8"/>
  <c r="C637" i="8"/>
  <c r="B637" i="8"/>
  <c r="D637" i="8" s="1"/>
  <c r="A639" i="8" l="1"/>
  <c r="C638" i="8"/>
  <c r="B638" i="8"/>
  <c r="D638" i="8" s="1"/>
  <c r="A640" i="8" l="1"/>
  <c r="C639" i="8"/>
  <c r="B639" i="8"/>
  <c r="D639" i="8" s="1"/>
  <c r="A641" i="8" l="1"/>
  <c r="C640" i="8"/>
  <c r="B640" i="8"/>
  <c r="D640" i="8" s="1"/>
  <c r="A642" i="8" l="1"/>
  <c r="C641" i="8"/>
  <c r="B641" i="8"/>
  <c r="D641" i="8" s="1"/>
  <c r="A643" i="8" l="1"/>
  <c r="C642" i="8"/>
  <c r="B642" i="8"/>
  <c r="D642" i="8" s="1"/>
  <c r="A644" i="8" l="1"/>
  <c r="C643" i="8"/>
  <c r="B643" i="8"/>
  <c r="D643" i="8" s="1"/>
  <c r="A645" i="8" l="1"/>
  <c r="C644" i="8"/>
  <c r="B644" i="8"/>
  <c r="D644" i="8" s="1"/>
  <c r="A646" i="8" l="1"/>
  <c r="C645" i="8"/>
  <c r="B645" i="8"/>
  <c r="D645" i="8" s="1"/>
  <c r="A647" i="8" l="1"/>
  <c r="C646" i="8"/>
  <c r="B646" i="8"/>
  <c r="D646" i="8" s="1"/>
  <c r="A648" i="8" l="1"/>
  <c r="C647" i="8"/>
  <c r="B647" i="8"/>
  <c r="D647" i="8" s="1"/>
  <c r="A649" i="8" l="1"/>
  <c r="C648" i="8"/>
  <c r="B648" i="8"/>
  <c r="D648" i="8" s="1"/>
  <c r="A650" i="8" l="1"/>
  <c r="C649" i="8"/>
  <c r="B649" i="8"/>
  <c r="D649" i="8" l="1"/>
  <c r="A651" i="8"/>
  <c r="C650" i="8"/>
  <c r="B650" i="8"/>
  <c r="D650" i="8" s="1"/>
  <c r="A652" i="8" l="1"/>
  <c r="C651" i="8"/>
  <c r="B651" i="8"/>
  <c r="D651" i="8" l="1"/>
  <c r="A653" i="8"/>
  <c r="C652" i="8"/>
  <c r="B652" i="8"/>
  <c r="D652" i="8" s="1"/>
  <c r="A654" i="8" l="1"/>
  <c r="C653" i="8"/>
  <c r="B653" i="8"/>
  <c r="D653" i="8" s="1"/>
  <c r="A655" i="8" l="1"/>
  <c r="C654" i="8"/>
  <c r="B654" i="8"/>
  <c r="D654" i="8" s="1"/>
  <c r="A656" i="8" l="1"/>
  <c r="C655" i="8"/>
  <c r="B655" i="8"/>
  <c r="D655" i="8" s="1"/>
  <c r="A657" i="8" l="1"/>
  <c r="C656" i="8"/>
  <c r="B656" i="8"/>
  <c r="D656" i="8" s="1"/>
  <c r="A658" i="8" l="1"/>
  <c r="C657" i="8"/>
  <c r="B657" i="8"/>
  <c r="D657" i="8" l="1"/>
  <c r="A659" i="8"/>
  <c r="C658" i="8"/>
  <c r="B658" i="8"/>
  <c r="D658" i="8" s="1"/>
  <c r="A660" i="8" l="1"/>
  <c r="C659" i="8"/>
  <c r="B659" i="8"/>
  <c r="D659" i="8" s="1"/>
  <c r="A661" i="8" l="1"/>
  <c r="C660" i="8"/>
  <c r="B660" i="8"/>
  <c r="D660" i="8" s="1"/>
  <c r="A662" i="8" l="1"/>
  <c r="C661" i="8"/>
  <c r="B661" i="8"/>
  <c r="D661" i="8" s="1"/>
  <c r="A663" i="8" l="1"/>
  <c r="C662" i="8"/>
  <c r="B662" i="8"/>
  <c r="D662" i="8" l="1"/>
  <c r="A664" i="8"/>
  <c r="C663" i="8"/>
  <c r="B663" i="8"/>
  <c r="D663" i="8" s="1"/>
  <c r="A665" i="8" l="1"/>
  <c r="C664" i="8"/>
  <c r="B664" i="8"/>
  <c r="D664" i="8" s="1"/>
  <c r="A666" i="8" l="1"/>
  <c r="C665" i="8"/>
  <c r="B665" i="8"/>
  <c r="D665" i="8" s="1"/>
  <c r="A667" i="8" l="1"/>
  <c r="C666" i="8"/>
  <c r="B666" i="8"/>
  <c r="D666" i="8" s="1"/>
  <c r="A668" i="8" l="1"/>
  <c r="C667" i="8"/>
  <c r="B667" i="8"/>
  <c r="D667" i="8" s="1"/>
  <c r="A669" i="8" l="1"/>
  <c r="C668" i="8"/>
  <c r="B668" i="8"/>
  <c r="D668" i="8" s="1"/>
  <c r="A670" i="8" l="1"/>
  <c r="C669" i="8"/>
  <c r="B669" i="8"/>
  <c r="D669" i="8" s="1"/>
  <c r="A671" i="8" l="1"/>
  <c r="C670" i="8"/>
  <c r="B670" i="8"/>
  <c r="D670" i="8" s="1"/>
  <c r="A672" i="8" l="1"/>
  <c r="C671" i="8"/>
  <c r="B671" i="8"/>
  <c r="D671" i="8" l="1"/>
  <c r="A673" i="8"/>
  <c r="C672" i="8"/>
  <c r="B672" i="8"/>
  <c r="D672" i="8" s="1"/>
  <c r="A674" i="8" l="1"/>
  <c r="C673" i="8"/>
  <c r="B673" i="8"/>
  <c r="D673" i="8" s="1"/>
  <c r="A675" i="8" l="1"/>
  <c r="C674" i="8"/>
  <c r="B674" i="8"/>
  <c r="D674" i="8" l="1"/>
  <c r="A676" i="8"/>
  <c r="C675" i="8"/>
  <c r="B675" i="8"/>
  <c r="D675" i="8" s="1"/>
  <c r="A677" i="8" l="1"/>
  <c r="C676" i="8"/>
  <c r="B676" i="8"/>
  <c r="D676" i="8" s="1"/>
  <c r="A678" i="8" l="1"/>
  <c r="C677" i="8"/>
  <c r="B677" i="8"/>
  <c r="D677" i="8" s="1"/>
  <c r="A679" i="8" l="1"/>
  <c r="C678" i="8"/>
  <c r="B678" i="8"/>
  <c r="D678" i="8" l="1"/>
  <c r="A680" i="8"/>
  <c r="C679" i="8"/>
  <c r="B679" i="8"/>
  <c r="D679" i="8" s="1"/>
  <c r="A681" i="8" l="1"/>
  <c r="C680" i="8"/>
  <c r="B680" i="8"/>
  <c r="D680" i="8" s="1"/>
  <c r="A682" i="8" l="1"/>
  <c r="C681" i="8"/>
  <c r="B681" i="8"/>
  <c r="D681" i="8" s="1"/>
  <c r="A683" i="8" l="1"/>
  <c r="C682" i="8"/>
  <c r="B682" i="8"/>
  <c r="D682" i="8" s="1"/>
  <c r="A684" i="8" l="1"/>
  <c r="C683" i="8"/>
  <c r="B683" i="8"/>
  <c r="A685" i="8" l="1"/>
  <c r="C684" i="8"/>
  <c r="D683" i="8"/>
  <c r="B684" i="8"/>
  <c r="D684" i="8" s="1"/>
  <c r="A686" i="8" l="1"/>
  <c r="C685" i="8"/>
  <c r="B685" i="8"/>
  <c r="D685" i="8" s="1"/>
  <c r="A687" i="8" l="1"/>
  <c r="C686" i="8"/>
  <c r="B686" i="8"/>
  <c r="D686" i="8" s="1"/>
  <c r="A688" i="8" l="1"/>
  <c r="C687" i="8"/>
  <c r="B687" i="8"/>
  <c r="D687" i="8" s="1"/>
  <c r="A689" i="8" l="1"/>
  <c r="C688" i="8"/>
  <c r="B688" i="8"/>
  <c r="D688" i="8" l="1"/>
  <c r="A690" i="8"/>
  <c r="C689" i="8"/>
  <c r="B689" i="8"/>
  <c r="D689" i="8" s="1"/>
  <c r="A691" i="8" l="1"/>
  <c r="C690" i="8"/>
  <c r="B690" i="8"/>
  <c r="D690" i="8" s="1"/>
  <c r="A692" i="8" l="1"/>
  <c r="C691" i="8"/>
  <c r="B691" i="8"/>
  <c r="D691" i="8" s="1"/>
  <c r="A693" i="8" l="1"/>
  <c r="C692" i="8"/>
  <c r="B692" i="8"/>
  <c r="D692" i="8" s="1"/>
  <c r="A694" i="8" l="1"/>
  <c r="C693" i="8"/>
  <c r="B693" i="8"/>
  <c r="D693" i="8" s="1"/>
  <c r="A695" i="8" l="1"/>
  <c r="C694" i="8"/>
  <c r="B694" i="8"/>
  <c r="D694" i="8" s="1"/>
  <c r="A696" i="8" l="1"/>
  <c r="C695" i="8"/>
  <c r="B695" i="8"/>
  <c r="D695" i="8" l="1"/>
  <c r="A697" i="8"/>
  <c r="C696" i="8"/>
  <c r="B696" i="8"/>
  <c r="D696" i="8" l="1"/>
  <c r="A698" i="8"/>
  <c r="C697" i="8"/>
  <c r="B697" i="8"/>
  <c r="D697" i="8" s="1"/>
  <c r="A699" i="8" l="1"/>
  <c r="C698" i="8"/>
  <c r="B698" i="8"/>
  <c r="D698" i="8" s="1"/>
  <c r="A700" i="8" l="1"/>
  <c r="C699" i="8"/>
  <c r="B699" i="8"/>
  <c r="D699" i="8" l="1"/>
  <c r="A701" i="8"/>
  <c r="C700" i="8"/>
  <c r="B700" i="8"/>
  <c r="D700" i="8" l="1"/>
  <c r="A702" i="8"/>
  <c r="C701" i="8"/>
  <c r="B701" i="8"/>
  <c r="D701" i="8" s="1"/>
  <c r="A703" i="8" l="1"/>
  <c r="C702" i="8"/>
  <c r="B702" i="8"/>
  <c r="D702" i="8" s="1"/>
  <c r="A704" i="8" l="1"/>
  <c r="C703" i="8"/>
  <c r="B703" i="8"/>
  <c r="D703" i="8" s="1"/>
  <c r="A705" i="8" l="1"/>
  <c r="C704" i="8"/>
  <c r="B704" i="8"/>
  <c r="D704" i="8" s="1"/>
  <c r="A706" i="8" l="1"/>
  <c r="C705" i="8"/>
  <c r="B705" i="8"/>
  <c r="D705" i="8" s="1"/>
  <c r="A707" i="8" l="1"/>
  <c r="C706" i="8"/>
  <c r="B706" i="8"/>
  <c r="D706" i="8" s="1"/>
  <c r="A708" i="8" l="1"/>
  <c r="C707" i="8"/>
  <c r="B707" i="8"/>
  <c r="D707" i="8" s="1"/>
  <c r="A709" i="8" l="1"/>
  <c r="C708" i="8"/>
  <c r="B708" i="8"/>
  <c r="D708" i="8" s="1"/>
  <c r="A710" i="8" l="1"/>
  <c r="C709" i="8"/>
  <c r="B709" i="8"/>
  <c r="D709" i="8" s="1"/>
  <c r="A711" i="8" l="1"/>
  <c r="C710" i="8"/>
  <c r="B710" i="8"/>
  <c r="D710" i="8" s="1"/>
  <c r="A712" i="8" l="1"/>
  <c r="C711" i="8"/>
  <c r="B711" i="8"/>
  <c r="D711" i="8" s="1"/>
  <c r="A713" i="8" l="1"/>
  <c r="C712" i="8"/>
  <c r="B712" i="8"/>
  <c r="D712" i="8" s="1"/>
  <c r="A714" i="8" l="1"/>
  <c r="C713" i="8"/>
  <c r="B713" i="8"/>
  <c r="D713" i="8" s="1"/>
  <c r="A715" i="8" l="1"/>
  <c r="C714" i="8"/>
  <c r="B714" i="8"/>
  <c r="D714" i="8" s="1"/>
  <c r="A716" i="8" l="1"/>
  <c r="C715" i="8"/>
  <c r="B715" i="8"/>
  <c r="D715" i="8" l="1"/>
  <c r="A717" i="8"/>
  <c r="C716" i="8"/>
  <c r="B716" i="8"/>
  <c r="D716" i="8" s="1"/>
  <c r="A718" i="8" l="1"/>
  <c r="C717" i="8"/>
  <c r="B717" i="8"/>
  <c r="D717" i="8" l="1"/>
  <c r="A719" i="8"/>
  <c r="C718" i="8"/>
  <c r="B718" i="8"/>
  <c r="D718" i="8" s="1"/>
  <c r="A720" i="8" l="1"/>
  <c r="C719" i="8"/>
  <c r="B719" i="8"/>
  <c r="D719" i="8" s="1"/>
  <c r="A721" i="8" l="1"/>
  <c r="C720" i="8"/>
  <c r="B720" i="8"/>
  <c r="D720" i="8" s="1"/>
  <c r="A722" i="8" l="1"/>
  <c r="C721" i="8"/>
  <c r="B721" i="8"/>
  <c r="D721" i="8" s="1"/>
  <c r="A723" i="8" l="1"/>
  <c r="C722" i="8"/>
  <c r="B722" i="8"/>
  <c r="D722" i="8" s="1"/>
  <c r="A724" i="8" l="1"/>
  <c r="C723" i="8"/>
  <c r="B723" i="8"/>
  <c r="D723" i="8" s="1"/>
  <c r="A725" i="8" l="1"/>
  <c r="C724" i="8"/>
  <c r="B724" i="8"/>
  <c r="D724" i="8" s="1"/>
  <c r="A726" i="8" l="1"/>
  <c r="C725" i="8"/>
  <c r="B725" i="8"/>
  <c r="D725" i="8" l="1"/>
  <c r="A727" i="8"/>
  <c r="C726" i="8"/>
  <c r="B726" i="8"/>
  <c r="D726" i="8" l="1"/>
  <c r="A728" i="8"/>
  <c r="C727" i="8"/>
  <c r="B727" i="8"/>
  <c r="D727" i="8" s="1"/>
  <c r="A729" i="8" l="1"/>
  <c r="C728" i="8"/>
  <c r="B728" i="8"/>
  <c r="D728" i="8" s="1"/>
  <c r="A730" i="8" l="1"/>
  <c r="C729" i="8"/>
  <c r="B729" i="8"/>
  <c r="D729" i="8" l="1"/>
  <c r="A731" i="8"/>
  <c r="C730" i="8"/>
  <c r="B730" i="8"/>
  <c r="D730" i="8" s="1"/>
  <c r="A732" i="8" l="1"/>
  <c r="C731" i="8"/>
  <c r="B731" i="8"/>
  <c r="D731" i="8" l="1"/>
  <c r="A733" i="8"/>
  <c r="C732" i="8"/>
  <c r="B732" i="8"/>
  <c r="D732" i="8" s="1"/>
  <c r="A734" i="8" l="1"/>
  <c r="C733" i="8"/>
  <c r="B733" i="8"/>
  <c r="D733" i="8" s="1"/>
  <c r="A735" i="8" l="1"/>
  <c r="C734" i="8"/>
  <c r="B734" i="8"/>
  <c r="D734" i="8" s="1"/>
  <c r="A736" i="8" l="1"/>
  <c r="C735" i="8"/>
  <c r="B735" i="8"/>
  <c r="D735" i="8" s="1"/>
  <c r="A737" i="8" l="1"/>
  <c r="C736" i="8"/>
  <c r="B736" i="8"/>
  <c r="D736" i="8" s="1"/>
  <c r="A738" i="8" l="1"/>
  <c r="C737" i="8"/>
  <c r="B737" i="8"/>
  <c r="D737" i="8" s="1"/>
  <c r="A739" i="8" l="1"/>
  <c r="C738" i="8"/>
  <c r="B738" i="8"/>
  <c r="D738" i="8" s="1"/>
  <c r="A740" i="8" l="1"/>
  <c r="C739" i="8"/>
  <c r="B739" i="8"/>
  <c r="D739" i="8" s="1"/>
  <c r="A741" i="8" l="1"/>
  <c r="C740" i="8"/>
  <c r="B740" i="8"/>
  <c r="D740" i="8" s="1"/>
  <c r="A742" i="8" l="1"/>
  <c r="C741" i="8"/>
  <c r="B741" i="8"/>
  <c r="D741" i="8" s="1"/>
  <c r="A743" i="8" l="1"/>
  <c r="C742" i="8"/>
  <c r="B742" i="8"/>
  <c r="D742" i="8" l="1"/>
  <c r="A744" i="8"/>
  <c r="C743" i="8"/>
  <c r="B743" i="8"/>
  <c r="D743" i="8" l="1"/>
  <c r="A745" i="8"/>
  <c r="C744" i="8"/>
  <c r="B744" i="8"/>
  <c r="D744" i="8" l="1"/>
  <c r="A746" i="8"/>
  <c r="C745" i="8"/>
  <c r="B745" i="8"/>
  <c r="D745" i="8" s="1"/>
  <c r="A747" i="8" l="1"/>
  <c r="C746" i="8"/>
  <c r="B746" i="8"/>
  <c r="D746" i="8" s="1"/>
  <c r="A748" i="8" l="1"/>
  <c r="C747" i="8"/>
  <c r="B747" i="8"/>
  <c r="D747" i="8" l="1"/>
  <c r="A749" i="8"/>
  <c r="C748" i="8"/>
  <c r="B748" i="8"/>
  <c r="D748" i="8" s="1"/>
  <c r="A750" i="8" l="1"/>
  <c r="C749" i="8"/>
  <c r="B749" i="8"/>
  <c r="D749" i="8" s="1"/>
  <c r="A751" i="8" l="1"/>
  <c r="C750" i="8"/>
  <c r="B750" i="8"/>
  <c r="D750" i="8" s="1"/>
  <c r="A752" i="8" l="1"/>
  <c r="C751" i="8"/>
  <c r="B751" i="8"/>
  <c r="D751" i="8" s="1"/>
  <c r="A753" i="8" l="1"/>
  <c r="C752" i="8"/>
  <c r="B752" i="8"/>
  <c r="D752" i="8" s="1"/>
  <c r="A754" i="8" l="1"/>
  <c r="C753" i="8"/>
  <c r="B753" i="8"/>
  <c r="D753" i="8" s="1"/>
  <c r="A755" i="8" l="1"/>
  <c r="C754" i="8"/>
  <c r="B754" i="8"/>
  <c r="D754" i="8" s="1"/>
  <c r="A756" i="8" l="1"/>
  <c r="C755" i="8"/>
  <c r="B755" i="8"/>
  <c r="D755" i="8" s="1"/>
  <c r="A757" i="8" l="1"/>
  <c r="C756" i="8"/>
  <c r="B756" i="8"/>
  <c r="D756" i="8" s="1"/>
  <c r="A758" i="8" l="1"/>
  <c r="C757" i="8"/>
  <c r="B757" i="8"/>
  <c r="D757" i="8" s="1"/>
  <c r="A759" i="8" l="1"/>
  <c r="C758" i="8"/>
  <c r="B758" i="8"/>
  <c r="D758" i="8" l="1"/>
  <c r="A760" i="8"/>
  <c r="C759" i="8"/>
  <c r="B759" i="8"/>
  <c r="D759" i="8" s="1"/>
  <c r="A761" i="8" l="1"/>
  <c r="C760" i="8"/>
  <c r="B760" i="8"/>
  <c r="D760" i="8" s="1"/>
  <c r="A762" i="8" l="1"/>
  <c r="C761" i="8"/>
  <c r="B761" i="8"/>
  <c r="D761" i="8" l="1"/>
  <c r="A763" i="8"/>
  <c r="C762" i="8"/>
  <c r="B762" i="8"/>
  <c r="D762" i="8" s="1"/>
  <c r="A764" i="8" l="1"/>
  <c r="C763" i="8"/>
  <c r="B763" i="8"/>
  <c r="D763" i="8" l="1"/>
  <c r="A765" i="8"/>
  <c r="C764" i="8"/>
  <c r="B764" i="8"/>
  <c r="D764" i="8" s="1"/>
  <c r="A766" i="8" l="1"/>
  <c r="C765" i="8"/>
  <c r="B765" i="8"/>
  <c r="D765" i="8" s="1"/>
  <c r="A767" i="8" l="1"/>
  <c r="C766" i="8"/>
  <c r="B766" i="8"/>
  <c r="D766" i="8" l="1"/>
  <c r="A768" i="8"/>
  <c r="C767" i="8"/>
  <c r="B767" i="8"/>
  <c r="D767" i="8" s="1"/>
  <c r="A769" i="8" l="1"/>
  <c r="C768" i="8"/>
  <c r="B768" i="8"/>
  <c r="D768" i="8" s="1"/>
  <c r="A770" i="8" l="1"/>
  <c r="C769" i="8"/>
  <c r="B769" i="8"/>
  <c r="D769" i="8" l="1"/>
  <c r="A771" i="8"/>
  <c r="C770" i="8"/>
  <c r="B770" i="8"/>
  <c r="D770" i="8" l="1"/>
  <c r="A772" i="8"/>
  <c r="C771" i="8"/>
  <c r="B771" i="8"/>
  <c r="D771" i="8" s="1"/>
  <c r="A773" i="8" l="1"/>
  <c r="C772" i="8"/>
  <c r="B772" i="8"/>
  <c r="D772" i="8" s="1"/>
  <c r="A774" i="8" l="1"/>
  <c r="C773" i="8"/>
  <c r="B773" i="8"/>
  <c r="D773" i="8" s="1"/>
  <c r="A775" i="8" l="1"/>
  <c r="C774" i="8"/>
  <c r="B774" i="8"/>
  <c r="D774" i="8" s="1"/>
  <c r="A776" i="8" l="1"/>
  <c r="C775" i="8"/>
  <c r="B775" i="8"/>
  <c r="D775" i="8" s="1"/>
  <c r="A777" i="8" l="1"/>
  <c r="C776" i="8"/>
  <c r="B776" i="8"/>
  <c r="D776" i="8" s="1"/>
  <c r="A778" i="8" l="1"/>
  <c r="C777" i="8"/>
  <c r="B777" i="8"/>
  <c r="D777" i="8" s="1"/>
  <c r="A779" i="8" l="1"/>
  <c r="C778" i="8"/>
  <c r="B778" i="8"/>
  <c r="D778" i="8" s="1"/>
  <c r="A780" i="8" l="1"/>
  <c r="C779" i="8"/>
  <c r="B779" i="8"/>
  <c r="D779" i="8" s="1"/>
  <c r="A781" i="8" l="1"/>
  <c r="C780" i="8"/>
  <c r="B780" i="8"/>
  <c r="D780" i="8" s="1"/>
  <c r="A782" i="8" l="1"/>
  <c r="C781" i="8"/>
  <c r="B781" i="8"/>
  <c r="D781" i="8" s="1"/>
  <c r="A783" i="8" l="1"/>
  <c r="C782" i="8"/>
  <c r="B782" i="8"/>
  <c r="D782" i="8" s="1"/>
  <c r="A784" i="8" l="1"/>
  <c r="C783" i="8"/>
  <c r="B783" i="8"/>
  <c r="D783" i="8" s="1"/>
  <c r="A785" i="8" l="1"/>
  <c r="C784" i="8"/>
  <c r="B784" i="8"/>
  <c r="D784" i="8" s="1"/>
  <c r="A786" i="8" l="1"/>
  <c r="C785" i="8"/>
  <c r="B785" i="8"/>
  <c r="D785" i="8" l="1"/>
  <c r="A787" i="8"/>
  <c r="C786" i="8"/>
  <c r="B786" i="8"/>
  <c r="D786" i="8" s="1"/>
  <c r="A788" i="8" l="1"/>
  <c r="C787" i="8"/>
  <c r="B787" i="8"/>
  <c r="D787" i="8" s="1"/>
  <c r="A789" i="8" l="1"/>
  <c r="C788" i="8"/>
  <c r="B788" i="8"/>
  <c r="D788" i="8" s="1"/>
  <c r="A790" i="8" l="1"/>
  <c r="C789" i="8"/>
  <c r="B789" i="8"/>
  <c r="D789" i="8" s="1"/>
  <c r="A791" i="8" l="1"/>
  <c r="C790" i="8"/>
  <c r="B790" i="8"/>
  <c r="D790" i="8" l="1"/>
  <c r="A792" i="8"/>
  <c r="C791" i="8"/>
  <c r="B791" i="8"/>
  <c r="D791" i="8" s="1"/>
  <c r="A793" i="8" l="1"/>
  <c r="C792" i="8"/>
  <c r="B792" i="8"/>
  <c r="D792" i="8" s="1"/>
  <c r="A794" i="8" l="1"/>
  <c r="C793" i="8"/>
  <c r="B793" i="8"/>
  <c r="D793" i="8" s="1"/>
  <c r="A795" i="8" l="1"/>
  <c r="C794" i="8"/>
  <c r="B794" i="8"/>
  <c r="D794" i="8" s="1"/>
  <c r="A796" i="8" l="1"/>
  <c r="C795" i="8"/>
  <c r="B795" i="8"/>
  <c r="D795" i="8" s="1"/>
  <c r="A797" i="8" l="1"/>
  <c r="C796" i="8"/>
  <c r="B796" i="8"/>
  <c r="D796" i="8" s="1"/>
  <c r="A798" i="8" l="1"/>
  <c r="C797" i="8"/>
  <c r="B797" i="8"/>
  <c r="D797" i="8" s="1"/>
  <c r="A799" i="8" l="1"/>
  <c r="C798" i="8"/>
  <c r="B798" i="8"/>
  <c r="D798" i="8" s="1"/>
  <c r="A800" i="8" l="1"/>
  <c r="C799" i="8"/>
  <c r="B799" i="8"/>
  <c r="D799" i="8" l="1"/>
  <c r="A801" i="8"/>
  <c r="C800" i="8"/>
  <c r="B800" i="8"/>
  <c r="D800" i="8" s="1"/>
  <c r="A802" i="8" l="1"/>
  <c r="C801" i="8"/>
  <c r="B801" i="8"/>
  <c r="D801" i="8" s="1"/>
  <c r="A803" i="8" l="1"/>
  <c r="C802" i="8"/>
  <c r="B802" i="8"/>
  <c r="D802" i="8" l="1"/>
  <c r="A804" i="8"/>
  <c r="C803" i="8"/>
  <c r="B803" i="8"/>
  <c r="D803" i="8" s="1"/>
  <c r="A805" i="8" l="1"/>
  <c r="C804" i="8"/>
  <c r="B804" i="8"/>
  <c r="D804" i="8" s="1"/>
  <c r="A806" i="8" l="1"/>
  <c r="C805" i="8"/>
  <c r="B805" i="8"/>
  <c r="D805" i="8" s="1"/>
  <c r="A807" i="8" l="1"/>
  <c r="C806" i="8"/>
  <c r="B806" i="8"/>
  <c r="D806" i="8" s="1"/>
  <c r="A808" i="8" l="1"/>
  <c r="C807" i="8"/>
  <c r="B807" i="8"/>
  <c r="D807" i="8" s="1"/>
  <c r="A809" i="8" l="1"/>
  <c r="C808" i="8"/>
  <c r="B808" i="8"/>
  <c r="D808" i="8" s="1"/>
  <c r="A810" i="8" l="1"/>
  <c r="C809" i="8"/>
  <c r="B809" i="8"/>
  <c r="D809" i="8" l="1"/>
  <c r="A811" i="8"/>
  <c r="C810" i="8"/>
  <c r="B810" i="8"/>
  <c r="D810" i="8" s="1"/>
  <c r="A812" i="8" l="1"/>
  <c r="C811" i="8"/>
  <c r="B811" i="8"/>
  <c r="D811" i="8" s="1"/>
  <c r="A813" i="8" l="1"/>
  <c r="C812" i="8"/>
  <c r="B812" i="8"/>
  <c r="D812" i="8" s="1"/>
  <c r="A814" i="8" l="1"/>
  <c r="C813" i="8"/>
  <c r="B813" i="8"/>
  <c r="D813" i="8" s="1"/>
  <c r="A815" i="8" l="1"/>
  <c r="C814" i="8"/>
  <c r="B814" i="8"/>
  <c r="D814" i="8" s="1"/>
  <c r="A816" i="8" l="1"/>
  <c r="C815" i="8"/>
  <c r="B815" i="8"/>
  <c r="D815" i="8" l="1"/>
  <c r="A817" i="8"/>
  <c r="C816" i="8"/>
  <c r="B816" i="8"/>
  <c r="D816" i="8" s="1"/>
  <c r="A818" i="8" l="1"/>
  <c r="C817" i="8"/>
  <c r="B817" i="8"/>
  <c r="D817" i="8" s="1"/>
  <c r="A819" i="8" l="1"/>
  <c r="C818" i="8"/>
  <c r="B818" i="8"/>
  <c r="D818" i="8" s="1"/>
  <c r="A820" i="8" l="1"/>
  <c r="C819" i="8"/>
  <c r="B819" i="8"/>
  <c r="D819" i="8" s="1"/>
  <c r="A821" i="8" l="1"/>
  <c r="C820" i="8"/>
  <c r="B820" i="8"/>
  <c r="D820" i="8" s="1"/>
  <c r="A822" i="8" l="1"/>
  <c r="C821" i="8"/>
  <c r="B821" i="8"/>
  <c r="D821" i="8" l="1"/>
  <c r="A823" i="8"/>
  <c r="C822" i="8"/>
  <c r="B822" i="8"/>
  <c r="D822" i="8" s="1"/>
  <c r="A824" i="8" l="1"/>
  <c r="C823" i="8"/>
  <c r="B823" i="8"/>
  <c r="D823" i="8" s="1"/>
  <c r="A825" i="8" l="1"/>
  <c r="C824" i="8"/>
  <c r="B824" i="8"/>
  <c r="D824" i="8" s="1"/>
  <c r="A826" i="8" l="1"/>
  <c r="C825" i="8"/>
  <c r="B825" i="8"/>
  <c r="D825" i="8" s="1"/>
  <c r="A827" i="8" l="1"/>
  <c r="C826" i="8"/>
  <c r="B826" i="8"/>
  <c r="D826" i="8" l="1"/>
  <c r="A828" i="8"/>
  <c r="C827" i="8"/>
  <c r="B827" i="8"/>
  <c r="D827" i="8" s="1"/>
  <c r="A829" i="8" l="1"/>
  <c r="C828" i="8"/>
  <c r="B828" i="8"/>
  <c r="D828" i="8" s="1"/>
  <c r="A830" i="8" l="1"/>
  <c r="C829" i="8"/>
  <c r="B829" i="8"/>
  <c r="D829" i="8" s="1"/>
  <c r="A831" i="8" l="1"/>
  <c r="C830" i="8"/>
  <c r="B830" i="8"/>
  <c r="D830" i="8" s="1"/>
  <c r="A832" i="8" l="1"/>
  <c r="C831" i="8"/>
  <c r="B831" i="8"/>
  <c r="D831" i="8" s="1"/>
  <c r="A833" i="8" l="1"/>
  <c r="C832" i="8"/>
  <c r="B832" i="8"/>
  <c r="D832" i="8" s="1"/>
  <c r="A834" i="8" l="1"/>
  <c r="C833" i="8"/>
  <c r="B833" i="8"/>
  <c r="D833" i="8" s="1"/>
  <c r="A835" i="8" l="1"/>
  <c r="C834" i="8"/>
  <c r="B834" i="8"/>
  <c r="D834" i="8" s="1"/>
  <c r="A836" i="8" l="1"/>
  <c r="C835" i="8"/>
  <c r="B835" i="8"/>
  <c r="D835" i="8" s="1"/>
  <c r="A837" i="8" l="1"/>
  <c r="C836" i="8"/>
  <c r="B836" i="8"/>
  <c r="D836" i="8" l="1"/>
  <c r="A838" i="8"/>
  <c r="C837" i="8"/>
  <c r="B837" i="8"/>
  <c r="D837" i="8" s="1"/>
  <c r="A839" i="8" l="1"/>
  <c r="C838" i="8"/>
  <c r="B838" i="8"/>
  <c r="D838" i="8" s="1"/>
  <c r="A840" i="8" l="1"/>
  <c r="C839" i="8"/>
  <c r="B839" i="8"/>
  <c r="D839" i="8" l="1"/>
  <c r="A841" i="8"/>
  <c r="C840" i="8"/>
  <c r="B840" i="8"/>
  <c r="D840" i="8" s="1"/>
  <c r="A842" i="8" l="1"/>
  <c r="C841" i="8"/>
  <c r="B841" i="8"/>
  <c r="D841" i="8" l="1"/>
  <c r="A843" i="8"/>
  <c r="C842" i="8"/>
  <c r="B842" i="8"/>
  <c r="D842" i="8" s="1"/>
  <c r="A844" i="8" l="1"/>
  <c r="C843" i="8"/>
  <c r="B843" i="8"/>
  <c r="D843" i="8" l="1"/>
  <c r="A845" i="8"/>
  <c r="C844" i="8"/>
  <c r="B844" i="8"/>
  <c r="D844" i="8" s="1"/>
  <c r="A846" i="8" l="1"/>
  <c r="C845" i="8"/>
  <c r="B845" i="8"/>
  <c r="D845" i="8" s="1"/>
  <c r="A847" i="8" l="1"/>
  <c r="C846" i="8"/>
  <c r="B846" i="8"/>
  <c r="D846" i="8" s="1"/>
  <c r="A848" i="8" l="1"/>
  <c r="C847" i="8"/>
  <c r="B847" i="8"/>
  <c r="D847" i="8" s="1"/>
  <c r="A849" i="8" l="1"/>
  <c r="C848" i="8"/>
  <c r="B848" i="8"/>
  <c r="D848" i="8" s="1"/>
  <c r="A850" i="8" l="1"/>
  <c r="C849" i="8"/>
  <c r="B849" i="8"/>
  <c r="D849" i="8" s="1"/>
  <c r="A851" i="8" l="1"/>
  <c r="C850" i="8"/>
  <c r="B850" i="8"/>
  <c r="D850" i="8" s="1"/>
  <c r="A852" i="8" l="1"/>
  <c r="C851" i="8"/>
  <c r="B851" i="8"/>
  <c r="D851" i="8" s="1"/>
  <c r="A853" i="8" l="1"/>
  <c r="C852" i="8"/>
  <c r="B852" i="8"/>
  <c r="D852" i="8" s="1"/>
  <c r="A854" i="8" l="1"/>
  <c r="C853" i="8"/>
  <c r="B853" i="8"/>
  <c r="D853" i="8" s="1"/>
  <c r="A855" i="8" l="1"/>
  <c r="C854" i="8"/>
  <c r="B854" i="8"/>
  <c r="D854" i="8" s="1"/>
  <c r="A856" i="8" l="1"/>
  <c r="C855" i="8"/>
  <c r="B855" i="8"/>
  <c r="D855" i="8" s="1"/>
  <c r="A857" i="8" l="1"/>
  <c r="C856" i="8"/>
  <c r="B856" i="8"/>
  <c r="D856" i="8" s="1"/>
  <c r="A858" i="8" l="1"/>
  <c r="C857" i="8"/>
  <c r="B857" i="8"/>
  <c r="D857" i="8" l="1"/>
  <c r="A859" i="8"/>
  <c r="C858" i="8"/>
  <c r="B858" i="8"/>
  <c r="D858" i="8" l="1"/>
  <c r="A860" i="8"/>
  <c r="C859" i="8"/>
  <c r="B859" i="8"/>
  <c r="D859" i="8" s="1"/>
  <c r="A861" i="8" l="1"/>
  <c r="C860" i="8"/>
  <c r="B860" i="8"/>
  <c r="D860" i="8" s="1"/>
  <c r="A862" i="8" l="1"/>
  <c r="C861" i="8"/>
  <c r="B861" i="8"/>
  <c r="D861" i="8" s="1"/>
  <c r="A863" i="8" l="1"/>
  <c r="C862" i="8"/>
  <c r="B862" i="8"/>
  <c r="D862" i="8" s="1"/>
  <c r="A864" i="8" l="1"/>
  <c r="C863" i="8"/>
  <c r="B863" i="8"/>
  <c r="D863" i="8" s="1"/>
  <c r="A865" i="8" l="1"/>
  <c r="C864" i="8"/>
  <c r="B864" i="8"/>
  <c r="D864" i="8" s="1"/>
  <c r="A866" i="8" l="1"/>
  <c r="C865" i="8"/>
  <c r="B865" i="8"/>
  <c r="D865" i="8" l="1"/>
  <c r="A867" i="8"/>
  <c r="C866" i="8"/>
  <c r="B866" i="8"/>
  <c r="D866" i="8" s="1"/>
  <c r="A868" i="8" l="1"/>
  <c r="C867" i="8"/>
  <c r="B867" i="8"/>
  <c r="D867" i="8" s="1"/>
  <c r="A869" i="8" l="1"/>
  <c r="C868" i="8"/>
  <c r="B868" i="8"/>
  <c r="D868" i="8" l="1"/>
  <c r="A870" i="8"/>
  <c r="C869" i="8"/>
  <c r="B869" i="8"/>
  <c r="D869" i="8" l="1"/>
  <c r="A871" i="8"/>
  <c r="C870" i="8"/>
  <c r="B870" i="8"/>
  <c r="D870" i="8" s="1"/>
  <c r="A872" i="8" l="1"/>
  <c r="C871" i="8"/>
  <c r="B871" i="8"/>
  <c r="D871" i="8" s="1"/>
  <c r="A873" i="8" l="1"/>
  <c r="C872" i="8"/>
  <c r="B872" i="8"/>
  <c r="D872" i="8" s="1"/>
  <c r="A874" i="8" l="1"/>
  <c r="C873" i="8"/>
  <c r="B873" i="8"/>
  <c r="D873" i="8" s="1"/>
  <c r="A875" i="8" l="1"/>
  <c r="C874" i="8"/>
  <c r="B874" i="8"/>
  <c r="D874" i="8" s="1"/>
  <c r="A876" i="8" l="1"/>
  <c r="C875" i="8"/>
  <c r="B875" i="8"/>
  <c r="D875" i="8" l="1"/>
  <c r="A877" i="8"/>
  <c r="C876" i="8"/>
  <c r="B876" i="8"/>
  <c r="D876" i="8" s="1"/>
  <c r="A878" i="8" l="1"/>
  <c r="C877" i="8"/>
  <c r="B877" i="8"/>
  <c r="D877" i="8" s="1"/>
  <c r="A879" i="8" l="1"/>
  <c r="C878" i="8"/>
  <c r="B878" i="8"/>
  <c r="D878" i="8" l="1"/>
  <c r="A880" i="8"/>
  <c r="C879" i="8"/>
  <c r="B879" i="8"/>
  <c r="D879" i="8" s="1"/>
  <c r="A881" i="8" l="1"/>
  <c r="C880" i="8"/>
  <c r="B880" i="8"/>
  <c r="D880" i="8" s="1"/>
  <c r="A882" i="8" l="1"/>
  <c r="C881" i="8"/>
  <c r="B881" i="8"/>
  <c r="D881" i="8" s="1"/>
  <c r="A883" i="8" l="1"/>
  <c r="C882" i="8"/>
  <c r="B882" i="8"/>
  <c r="D882" i="8" s="1"/>
  <c r="A884" i="8" l="1"/>
  <c r="C883" i="8"/>
  <c r="B883" i="8"/>
  <c r="D883" i="8" s="1"/>
  <c r="A885" i="8" l="1"/>
  <c r="C884" i="8"/>
  <c r="B884" i="8"/>
  <c r="D884" i="8" s="1"/>
  <c r="A886" i="8" l="1"/>
  <c r="C885" i="8"/>
  <c r="B885" i="8"/>
  <c r="D885" i="8" s="1"/>
  <c r="A887" i="8" l="1"/>
  <c r="C886" i="8"/>
  <c r="B886" i="8"/>
  <c r="D886" i="8" s="1"/>
  <c r="A888" i="8" l="1"/>
  <c r="C887" i="8"/>
  <c r="B887" i="8"/>
  <c r="D887" i="8" s="1"/>
  <c r="A889" i="8" l="1"/>
  <c r="C888" i="8"/>
  <c r="B888" i="8"/>
  <c r="D888" i="8" s="1"/>
  <c r="A890" i="8" l="1"/>
  <c r="C889" i="8"/>
  <c r="B889" i="8"/>
  <c r="D889" i="8" s="1"/>
  <c r="A891" i="8" l="1"/>
  <c r="C890" i="8"/>
  <c r="B890" i="8"/>
  <c r="D890" i="8" s="1"/>
  <c r="A892" i="8" l="1"/>
  <c r="C891" i="8"/>
  <c r="B891" i="8"/>
  <c r="D891" i="8" s="1"/>
  <c r="A893" i="8" l="1"/>
  <c r="C892" i="8"/>
  <c r="B892" i="8"/>
  <c r="D892" i="8" s="1"/>
  <c r="A894" i="8" l="1"/>
  <c r="C893" i="8"/>
  <c r="B893" i="8"/>
  <c r="D893" i="8" s="1"/>
  <c r="A895" i="8" l="1"/>
  <c r="C894" i="8"/>
  <c r="B894" i="8"/>
  <c r="D894" i="8" s="1"/>
  <c r="A896" i="8" l="1"/>
  <c r="C895" i="8"/>
  <c r="B895" i="8"/>
  <c r="D895" i="8" s="1"/>
  <c r="A897" i="8" l="1"/>
  <c r="C896" i="8"/>
  <c r="B896" i="8"/>
  <c r="D896" i="8" l="1"/>
  <c r="A898" i="8"/>
  <c r="C897" i="8"/>
  <c r="B897" i="8"/>
  <c r="D897" i="8" s="1"/>
  <c r="A899" i="8" l="1"/>
  <c r="C898" i="8"/>
  <c r="B898" i="8"/>
  <c r="D898" i="8" s="1"/>
  <c r="A900" i="8" l="1"/>
  <c r="C899" i="8"/>
  <c r="B899" i="8"/>
  <c r="D899" i="8" s="1"/>
  <c r="A901" i="8" l="1"/>
  <c r="C900" i="8"/>
  <c r="B900" i="8"/>
  <c r="D900" i="8" s="1"/>
  <c r="A902" i="8" l="1"/>
  <c r="C901" i="8"/>
  <c r="B901" i="8"/>
  <c r="D901" i="8" l="1"/>
  <c r="A903" i="8"/>
  <c r="C902" i="8"/>
  <c r="B902" i="8"/>
  <c r="D902" i="8" s="1"/>
  <c r="A904" i="8" l="1"/>
  <c r="C903" i="8"/>
  <c r="B903" i="8"/>
  <c r="D903" i="8" s="1"/>
  <c r="A905" i="8" l="1"/>
  <c r="C904" i="8"/>
  <c r="B904" i="8"/>
  <c r="D904" i="8" s="1"/>
  <c r="A906" i="8" l="1"/>
  <c r="C905" i="8"/>
  <c r="B905" i="8"/>
  <c r="D905" i="8" s="1"/>
  <c r="A907" i="8" l="1"/>
  <c r="C906" i="8"/>
  <c r="B906" i="8"/>
  <c r="D906" i="8" s="1"/>
  <c r="A908" i="8" l="1"/>
  <c r="C907" i="8"/>
  <c r="B907" i="8"/>
  <c r="D907" i="8" s="1"/>
  <c r="A909" i="8" l="1"/>
  <c r="C908" i="8"/>
  <c r="B908" i="8"/>
  <c r="D908" i="8" s="1"/>
  <c r="A910" i="8" l="1"/>
  <c r="C909" i="8"/>
  <c r="B909" i="8"/>
  <c r="D909" i="8" s="1"/>
  <c r="A911" i="8" l="1"/>
  <c r="C910" i="8"/>
  <c r="B910" i="8"/>
  <c r="D910" i="8" s="1"/>
  <c r="A912" i="8" l="1"/>
  <c r="C911" i="8"/>
  <c r="B911" i="8"/>
  <c r="D911" i="8" s="1"/>
  <c r="A913" i="8" l="1"/>
  <c r="C912" i="8"/>
  <c r="B912" i="8"/>
  <c r="D912" i="8" s="1"/>
  <c r="A914" i="8" l="1"/>
  <c r="C913" i="8"/>
  <c r="B913" i="8"/>
  <c r="D913" i="8" l="1"/>
  <c r="A915" i="8"/>
  <c r="C914" i="8"/>
  <c r="B914" i="8"/>
  <c r="D914" i="8" s="1"/>
  <c r="A916" i="8" l="1"/>
  <c r="C915" i="8"/>
  <c r="B915" i="8"/>
  <c r="D915" i="8" s="1"/>
  <c r="A917" i="8" l="1"/>
  <c r="C916" i="8"/>
  <c r="B916" i="8"/>
  <c r="D916" i="8" s="1"/>
  <c r="A918" i="8" l="1"/>
  <c r="C917" i="8"/>
  <c r="B917" i="8"/>
  <c r="D917" i="8" s="1"/>
  <c r="A919" i="8" l="1"/>
  <c r="C918" i="8"/>
  <c r="B918" i="8"/>
  <c r="D918" i="8" l="1"/>
  <c r="A920" i="8"/>
  <c r="C919" i="8"/>
  <c r="B919" i="8"/>
  <c r="D919" i="8" s="1"/>
  <c r="A921" i="8" l="1"/>
  <c r="C920" i="8"/>
  <c r="B920" i="8"/>
  <c r="D920" i="8" s="1"/>
  <c r="A922" i="8" l="1"/>
  <c r="C921" i="8"/>
  <c r="B921" i="8"/>
  <c r="D921" i="8" s="1"/>
  <c r="A923" i="8" l="1"/>
  <c r="C922" i="8"/>
  <c r="B922" i="8"/>
  <c r="D922" i="8" s="1"/>
  <c r="A924" i="8" l="1"/>
  <c r="C923" i="8"/>
  <c r="B923" i="8"/>
  <c r="D923" i="8" s="1"/>
  <c r="A925" i="8" l="1"/>
  <c r="C924" i="8"/>
  <c r="B924" i="8"/>
  <c r="D924" i="8" l="1"/>
  <c r="A926" i="8"/>
  <c r="C925" i="8"/>
  <c r="B925" i="8"/>
  <c r="D925" i="8" s="1"/>
  <c r="A927" i="8" l="1"/>
  <c r="C926" i="8"/>
  <c r="B926" i="8"/>
  <c r="D926" i="8" s="1"/>
  <c r="A928" i="8" l="1"/>
  <c r="C927" i="8"/>
  <c r="B927" i="8"/>
  <c r="D927" i="8" l="1"/>
  <c r="A929" i="8"/>
  <c r="C928" i="8"/>
  <c r="B928" i="8"/>
  <c r="D928" i="8" s="1"/>
  <c r="A930" i="8" l="1"/>
  <c r="C929" i="8"/>
  <c r="B929" i="8"/>
  <c r="D929" i="8" s="1"/>
  <c r="A931" i="8" l="1"/>
  <c r="C930" i="8"/>
  <c r="B930" i="8"/>
  <c r="D930" i="8" s="1"/>
  <c r="A932" i="8" l="1"/>
  <c r="C931" i="8"/>
  <c r="B931" i="8"/>
  <c r="D931" i="8" s="1"/>
  <c r="A933" i="8" l="1"/>
  <c r="C932" i="8"/>
  <c r="B932" i="8"/>
  <c r="D932" i="8" s="1"/>
  <c r="A934" i="8" l="1"/>
  <c r="C933" i="8"/>
  <c r="B933" i="8"/>
  <c r="D933" i="8" s="1"/>
  <c r="A935" i="8" l="1"/>
  <c r="C934" i="8"/>
  <c r="B934" i="8"/>
  <c r="D934" i="8" s="1"/>
  <c r="A936" i="8" l="1"/>
  <c r="C935" i="8"/>
  <c r="B935" i="8"/>
  <c r="D935" i="8" s="1"/>
  <c r="A937" i="8" l="1"/>
  <c r="C936" i="8"/>
  <c r="B936" i="8"/>
  <c r="D936" i="8" s="1"/>
  <c r="A938" i="8" l="1"/>
  <c r="C937" i="8"/>
  <c r="B937" i="8"/>
  <c r="D937" i="8" s="1"/>
  <c r="A939" i="8" l="1"/>
  <c r="C938" i="8"/>
  <c r="B938" i="8"/>
  <c r="D938" i="8" l="1"/>
  <c r="A940" i="8"/>
  <c r="C939" i="8"/>
  <c r="B939" i="8"/>
  <c r="D939" i="8" l="1"/>
  <c r="A941" i="8"/>
  <c r="C940" i="8"/>
  <c r="B940" i="8"/>
  <c r="D940" i="8" s="1"/>
  <c r="A942" i="8" l="1"/>
  <c r="C941" i="8"/>
  <c r="B941" i="8"/>
  <c r="D941" i="8" s="1"/>
  <c r="A943" i="8" l="1"/>
  <c r="C942" i="8"/>
  <c r="B942" i="8"/>
  <c r="D942" i="8" s="1"/>
  <c r="A944" i="8" l="1"/>
  <c r="C943" i="8"/>
  <c r="B943" i="8"/>
  <c r="D943" i="8" s="1"/>
  <c r="A945" i="8" l="1"/>
  <c r="C944" i="8"/>
  <c r="B944" i="8"/>
  <c r="D944" i="8" s="1"/>
  <c r="A946" i="8" l="1"/>
  <c r="C945" i="8"/>
  <c r="B945" i="8"/>
  <c r="D945" i="8" s="1"/>
  <c r="A947" i="8" l="1"/>
  <c r="C946" i="8"/>
  <c r="B946" i="8"/>
  <c r="D946" i="8" s="1"/>
  <c r="A948" i="8" l="1"/>
  <c r="C947" i="8"/>
  <c r="B947" i="8"/>
  <c r="D947" i="8" s="1"/>
  <c r="A949" i="8" l="1"/>
  <c r="C948" i="8"/>
  <c r="B948" i="8"/>
  <c r="D948" i="8" s="1"/>
  <c r="A950" i="8" l="1"/>
  <c r="C949" i="8"/>
  <c r="B949" i="8"/>
  <c r="D949" i="8" s="1"/>
  <c r="A951" i="8" l="1"/>
  <c r="C950" i="8"/>
  <c r="B950" i="8"/>
  <c r="D950" i="8" l="1"/>
  <c r="A952" i="8"/>
  <c r="C951" i="8"/>
  <c r="B951" i="8"/>
  <c r="D951" i="8" l="1"/>
  <c r="A953" i="8"/>
  <c r="C952" i="8"/>
  <c r="B952" i="8"/>
  <c r="D952" i="8" s="1"/>
  <c r="A954" i="8" l="1"/>
  <c r="C953" i="8"/>
  <c r="B953" i="8"/>
  <c r="D953" i="8" s="1"/>
  <c r="A955" i="8" l="1"/>
  <c r="C954" i="8"/>
  <c r="B954" i="8"/>
  <c r="D954" i="8" s="1"/>
  <c r="A956" i="8" l="1"/>
  <c r="C955" i="8"/>
  <c r="B955" i="8"/>
  <c r="D955" i="8" l="1"/>
  <c r="A957" i="8"/>
  <c r="C956" i="8"/>
  <c r="B956" i="8"/>
  <c r="D956" i="8" s="1"/>
  <c r="A958" i="8" l="1"/>
  <c r="C957" i="8"/>
  <c r="B957" i="8"/>
  <c r="D957" i="8" s="1"/>
  <c r="A959" i="8" l="1"/>
  <c r="C958" i="8"/>
  <c r="B958" i="8"/>
  <c r="D958" i="8" s="1"/>
  <c r="A960" i="8" l="1"/>
  <c r="C959" i="8"/>
  <c r="B959" i="8"/>
  <c r="D959" i="8" s="1"/>
  <c r="A961" i="8" l="1"/>
  <c r="C960" i="8"/>
  <c r="B960" i="8"/>
  <c r="D960" i="8" s="1"/>
  <c r="A962" i="8" l="1"/>
  <c r="C961" i="8"/>
  <c r="B961" i="8"/>
  <c r="D961" i="8" s="1"/>
  <c r="A963" i="8" l="1"/>
  <c r="C962" i="8"/>
  <c r="B962" i="8"/>
  <c r="D962" i="8" s="1"/>
  <c r="A964" i="8" l="1"/>
  <c r="C963" i="8"/>
  <c r="B963" i="8"/>
  <c r="D963" i="8" s="1"/>
  <c r="A965" i="8" l="1"/>
  <c r="C964" i="8"/>
  <c r="B964" i="8"/>
  <c r="D964" i="8" s="1"/>
  <c r="A966" i="8" l="1"/>
  <c r="C965" i="8"/>
  <c r="B965" i="8"/>
  <c r="D965" i="8" s="1"/>
  <c r="A967" i="8" l="1"/>
  <c r="C966" i="8"/>
  <c r="B966" i="8"/>
  <c r="D966" i="8" s="1"/>
  <c r="A968" i="8" l="1"/>
  <c r="C967" i="8"/>
  <c r="B967" i="8"/>
  <c r="D967" i="8" l="1"/>
  <c r="A969" i="8"/>
  <c r="C968" i="8"/>
  <c r="B968" i="8"/>
  <c r="D968" i="8" s="1"/>
  <c r="A970" i="8" l="1"/>
  <c r="C969" i="8"/>
  <c r="B969" i="8"/>
  <c r="D969" i="8" s="1"/>
  <c r="A971" i="8" l="1"/>
  <c r="C970" i="8"/>
  <c r="B970" i="8"/>
  <c r="D970" i="8" s="1"/>
  <c r="A972" i="8" l="1"/>
  <c r="C971" i="8"/>
  <c r="B971" i="8"/>
  <c r="D971" i="8" s="1"/>
  <c r="A973" i="8" l="1"/>
  <c r="C972" i="8"/>
  <c r="B972" i="8"/>
  <c r="D972" i="8" s="1"/>
  <c r="A974" i="8" l="1"/>
  <c r="C973" i="8"/>
  <c r="B973" i="8"/>
  <c r="D973" i="8" s="1"/>
  <c r="A975" i="8" l="1"/>
  <c r="C974" i="8"/>
  <c r="B974" i="8"/>
  <c r="D974" i="8" s="1"/>
  <c r="A976" i="8" l="1"/>
  <c r="C975" i="8"/>
  <c r="B975" i="8"/>
  <c r="D975" i="8" l="1"/>
  <c r="A977" i="8"/>
  <c r="C976" i="8"/>
  <c r="B976" i="8"/>
  <c r="D976" i="8" l="1"/>
  <c r="A978" i="8"/>
  <c r="C977" i="8"/>
  <c r="B977" i="8"/>
  <c r="D977" i="8" s="1"/>
  <c r="A979" i="8" l="1"/>
  <c r="C978" i="8"/>
  <c r="B978" i="8"/>
  <c r="D978" i="8" s="1"/>
  <c r="A980" i="8" l="1"/>
  <c r="C979" i="8"/>
  <c r="B979" i="8"/>
  <c r="D979" i="8" s="1"/>
  <c r="A981" i="8" l="1"/>
  <c r="C980" i="8"/>
  <c r="B980" i="8"/>
  <c r="D980" i="8" s="1"/>
  <c r="A982" i="8" l="1"/>
  <c r="C981" i="8"/>
  <c r="B981" i="8"/>
  <c r="D981" i="8" s="1"/>
  <c r="A983" i="8" l="1"/>
  <c r="C982" i="8"/>
  <c r="B982" i="8"/>
  <c r="D982" i="8" s="1"/>
  <c r="A984" i="8" l="1"/>
  <c r="C983" i="8"/>
  <c r="B983" i="8"/>
  <c r="D983" i="8" s="1"/>
  <c r="A985" i="8" l="1"/>
  <c r="C984" i="8"/>
  <c r="B984" i="8"/>
  <c r="D984" i="8" s="1"/>
  <c r="A986" i="8" l="1"/>
  <c r="C985" i="8"/>
  <c r="B985" i="8"/>
  <c r="D985" i="8" s="1"/>
  <c r="A987" i="8" l="1"/>
  <c r="C986" i="8"/>
  <c r="B986" i="8"/>
  <c r="D986" i="8" s="1"/>
  <c r="A988" i="8" l="1"/>
  <c r="C987" i="8"/>
  <c r="B987" i="8"/>
  <c r="D987" i="8" s="1"/>
  <c r="A989" i="8" l="1"/>
  <c r="C988" i="8"/>
  <c r="B988" i="8"/>
  <c r="D988" i="8" l="1"/>
  <c r="A990" i="8"/>
  <c r="C989" i="8"/>
  <c r="B989" i="8"/>
  <c r="D989" i="8" s="1"/>
  <c r="A991" i="8" l="1"/>
  <c r="C990" i="8"/>
  <c r="B990" i="8"/>
  <c r="D990" i="8" s="1"/>
  <c r="A992" i="8" l="1"/>
  <c r="C991" i="8"/>
  <c r="B991" i="8"/>
  <c r="D991" i="8" s="1"/>
  <c r="A993" i="8" l="1"/>
  <c r="C992" i="8"/>
  <c r="B992" i="8"/>
  <c r="D992" i="8" s="1"/>
  <c r="A994" i="8" l="1"/>
  <c r="C993" i="8"/>
  <c r="B993" i="8"/>
  <c r="D993" i="8" s="1"/>
  <c r="A995" i="8" l="1"/>
  <c r="C994" i="8"/>
  <c r="B994" i="8"/>
  <c r="D994" i="8" l="1"/>
  <c r="A996" i="8"/>
  <c r="C995" i="8"/>
  <c r="B995" i="8"/>
  <c r="D995" i="8" s="1"/>
  <c r="A997" i="8" l="1"/>
  <c r="C996" i="8"/>
  <c r="B996" i="8"/>
  <c r="D996" i="8" s="1"/>
  <c r="A998" i="8" l="1"/>
  <c r="C997" i="8"/>
  <c r="B997" i="8"/>
  <c r="D997" i="8" s="1"/>
  <c r="A999" i="8" l="1"/>
  <c r="C998" i="8"/>
  <c r="B998" i="8"/>
  <c r="D998" i="8" s="1"/>
  <c r="A1000" i="8" l="1"/>
  <c r="C999" i="8"/>
  <c r="B999" i="8"/>
  <c r="D999" i="8" s="1"/>
  <c r="A1001" i="8" l="1"/>
  <c r="C1000" i="8"/>
  <c r="B1000" i="8"/>
  <c r="D1000" i="8" s="1"/>
  <c r="A1002" i="8" l="1"/>
  <c r="C1001" i="8"/>
  <c r="B1001" i="8"/>
  <c r="D1001" i="8" s="1"/>
  <c r="A1003" i="8" l="1"/>
  <c r="C1002" i="8"/>
  <c r="B1002" i="8"/>
  <c r="D1002" i="8" s="1"/>
  <c r="A1004" i="8" l="1"/>
  <c r="C1003" i="8"/>
  <c r="B1003" i="8"/>
  <c r="D1003" i="8" s="1"/>
  <c r="A1005" i="8" l="1"/>
  <c r="C1004" i="8"/>
  <c r="B1004" i="8"/>
  <c r="D1004" i="8" s="1"/>
  <c r="A1006" i="8" l="1"/>
  <c r="C1005" i="8"/>
  <c r="B1005" i="8"/>
  <c r="D1005" i="8" s="1"/>
  <c r="A1007" i="8" l="1"/>
  <c r="C1006" i="8"/>
  <c r="B1006" i="8"/>
  <c r="D1006" i="8" s="1"/>
  <c r="A1008" i="8" l="1"/>
  <c r="C1007" i="8"/>
  <c r="B1007" i="8"/>
  <c r="D1007" i="8" s="1"/>
  <c r="A1009" i="8" l="1"/>
  <c r="C1008" i="8"/>
  <c r="B1008" i="8"/>
  <c r="D1008" i="8" s="1"/>
  <c r="A1010" i="8" l="1"/>
  <c r="C1009" i="8"/>
  <c r="B1009" i="8"/>
  <c r="D1009" i="8" s="1"/>
  <c r="A1011" i="8" l="1"/>
  <c r="C1010" i="8"/>
  <c r="B1010" i="8"/>
  <c r="D1010" i="8" s="1"/>
  <c r="A1012" i="8" l="1"/>
  <c r="C1011" i="8"/>
  <c r="B1011" i="8"/>
  <c r="D1011" i="8" s="1"/>
  <c r="A1013" i="8" l="1"/>
  <c r="C1012" i="8"/>
  <c r="B1012" i="8"/>
  <c r="D1012" i="8" s="1"/>
  <c r="A1014" i="8" l="1"/>
  <c r="C1013" i="8"/>
  <c r="B1013" i="8"/>
  <c r="D1013" i="8" s="1"/>
  <c r="A1015" i="8" l="1"/>
  <c r="C1014" i="8"/>
  <c r="B1014" i="8"/>
  <c r="D1014" i="8" s="1"/>
  <c r="A1016" i="8" l="1"/>
  <c r="C1015" i="8"/>
  <c r="B1015" i="8"/>
  <c r="D1015" i="8" s="1"/>
  <c r="A1017" i="8" l="1"/>
  <c r="C1016" i="8"/>
  <c r="B1016" i="8"/>
  <c r="D1016" i="8" l="1"/>
  <c r="A1018" i="8"/>
  <c r="C1017" i="8"/>
  <c r="B1017" i="8"/>
  <c r="D1017" i="8" s="1"/>
  <c r="A1019" i="8" l="1"/>
  <c r="C1018" i="8"/>
  <c r="B1018" i="8"/>
  <c r="D1018" i="8" s="1"/>
  <c r="A1020" i="8" l="1"/>
  <c r="C1019" i="8"/>
  <c r="B1019" i="8"/>
  <c r="D1019" i="8" s="1"/>
  <c r="A1021" i="8" l="1"/>
  <c r="C1020" i="8"/>
  <c r="B1020" i="8"/>
  <c r="D1020" i="8" s="1"/>
  <c r="A1022" i="8" l="1"/>
  <c r="C1021" i="8"/>
  <c r="B1021" i="8"/>
  <c r="D1021" i="8" s="1"/>
  <c r="A1023" i="8" l="1"/>
  <c r="C1022" i="8"/>
  <c r="B1022" i="8"/>
  <c r="D1022" i="8" s="1"/>
  <c r="A1024" i="8" l="1"/>
  <c r="C1023" i="8"/>
  <c r="B1023" i="8"/>
  <c r="D1023" i="8" s="1"/>
  <c r="A1025" i="8" l="1"/>
  <c r="C1024" i="8"/>
  <c r="B1024" i="8"/>
  <c r="D1024" i="8" s="1"/>
  <c r="A1026" i="8" l="1"/>
  <c r="C1025" i="8"/>
  <c r="B1025" i="8"/>
  <c r="D1025" i="8" s="1"/>
  <c r="A1027" i="8" l="1"/>
  <c r="C1026" i="8"/>
  <c r="B1026" i="8"/>
  <c r="D1026" i="8" s="1"/>
  <c r="A1028" i="8" l="1"/>
  <c r="C1027" i="8"/>
  <c r="B1027" i="8"/>
  <c r="D1027" i="8" s="1"/>
  <c r="A1029" i="8" l="1"/>
  <c r="C1028" i="8"/>
  <c r="B1028" i="8"/>
  <c r="D1028" i="8" s="1"/>
  <c r="A1030" i="8" l="1"/>
  <c r="C1029" i="8"/>
  <c r="B1029" i="8"/>
  <c r="D1029" i="8" s="1"/>
  <c r="A1031" i="8" l="1"/>
  <c r="C1030" i="8"/>
  <c r="B1030" i="8"/>
  <c r="D1030" i="8" s="1"/>
  <c r="A1032" i="8" l="1"/>
  <c r="C1031" i="8"/>
  <c r="B1031" i="8"/>
  <c r="D1031" i="8" s="1"/>
  <c r="A1033" i="8" l="1"/>
  <c r="C1032" i="8"/>
  <c r="B1032" i="8"/>
  <c r="D1032" i="8" s="1"/>
  <c r="A1034" i="8" l="1"/>
  <c r="C1033" i="8"/>
  <c r="B1033" i="8"/>
  <c r="D1033" i="8" s="1"/>
  <c r="A1035" i="8" l="1"/>
  <c r="C1034" i="8"/>
  <c r="B1034" i="8"/>
  <c r="D1034" i="8" s="1"/>
  <c r="A1036" i="8" l="1"/>
  <c r="C1035" i="8"/>
  <c r="B1035" i="8"/>
  <c r="D1035" i="8" s="1"/>
  <c r="A1037" i="8" l="1"/>
  <c r="C1036" i="8"/>
  <c r="B1036" i="8"/>
  <c r="D1036" i="8" s="1"/>
  <c r="A1038" i="8" l="1"/>
  <c r="C1037" i="8"/>
  <c r="B1037" i="8"/>
  <c r="D1037" i="8" s="1"/>
  <c r="A1039" i="8" l="1"/>
  <c r="C1038" i="8"/>
  <c r="B1038" i="8"/>
  <c r="D1038" i="8" s="1"/>
  <c r="A1040" i="8" l="1"/>
  <c r="C1039" i="8"/>
  <c r="B1039" i="8"/>
  <c r="D1039" i="8" s="1"/>
  <c r="A1041" i="8" l="1"/>
  <c r="C1040" i="8"/>
  <c r="B1040" i="8"/>
  <c r="D1040" i="8" s="1"/>
  <c r="A1042" i="8" l="1"/>
  <c r="C1041" i="8"/>
  <c r="B1041" i="8"/>
  <c r="D1041" i="8" s="1"/>
  <c r="A1043" i="8" l="1"/>
  <c r="C1042" i="8"/>
  <c r="B1042" i="8"/>
  <c r="D1042" i="8" l="1"/>
  <c r="A1044" i="8"/>
  <c r="C1043" i="8"/>
  <c r="B1043" i="8"/>
  <c r="D1043" i="8" s="1"/>
  <c r="A1045" i="8" l="1"/>
  <c r="C1044" i="8"/>
  <c r="B1044" i="8"/>
  <c r="D1044" i="8" s="1"/>
  <c r="A1046" i="8" l="1"/>
  <c r="C1045" i="8"/>
  <c r="B1045" i="8"/>
  <c r="D1045" i="8" s="1"/>
  <c r="A1047" i="8" l="1"/>
  <c r="C1046" i="8"/>
  <c r="B1046" i="8"/>
  <c r="D1046" i="8" s="1"/>
  <c r="A1048" i="8" l="1"/>
  <c r="C1047" i="8"/>
  <c r="B1047" i="8"/>
  <c r="D1047" i="8" s="1"/>
  <c r="A1049" i="8" l="1"/>
  <c r="C1048" i="8"/>
  <c r="B1048" i="8"/>
  <c r="D1048" i="8" s="1"/>
  <c r="A1050" i="8" l="1"/>
  <c r="C1049" i="8"/>
  <c r="B1049" i="8"/>
  <c r="D1049" i="8" s="1"/>
  <c r="A1051" i="8" l="1"/>
  <c r="C1050" i="8"/>
  <c r="B1050" i="8"/>
  <c r="D1050" i="8" s="1"/>
  <c r="A1052" i="8" l="1"/>
  <c r="C1051" i="8"/>
  <c r="B1051" i="8"/>
  <c r="D1051" i="8" s="1"/>
  <c r="A1053" i="8" l="1"/>
  <c r="C1052" i="8"/>
  <c r="B1052" i="8"/>
  <c r="D1052" i="8" s="1"/>
  <c r="A1054" i="8" l="1"/>
  <c r="C1053" i="8"/>
  <c r="B1053" i="8"/>
  <c r="D1053" i="8" l="1"/>
  <c r="A1055" i="8"/>
  <c r="C1054" i="8"/>
  <c r="B1054" i="8"/>
  <c r="D1054" i="8" s="1"/>
  <c r="A1056" i="8" l="1"/>
  <c r="C1055" i="8"/>
  <c r="B1055" i="8"/>
  <c r="D1055" i="8" s="1"/>
  <c r="A1057" i="8" l="1"/>
  <c r="C1056" i="8"/>
  <c r="B1056" i="8"/>
  <c r="D1056" i="8" s="1"/>
  <c r="A1058" i="8" l="1"/>
  <c r="C1057" i="8"/>
  <c r="B1057" i="8"/>
  <c r="D1057" i="8" s="1"/>
  <c r="A1059" i="8" l="1"/>
  <c r="C1058" i="8"/>
  <c r="B1058" i="8"/>
  <c r="D1058" i="8" l="1"/>
  <c r="A1060" i="8"/>
  <c r="C1059" i="8"/>
  <c r="B1059" i="8"/>
  <c r="D1059" i="8" s="1"/>
  <c r="A1061" i="8" l="1"/>
  <c r="C1060" i="8"/>
  <c r="B1060" i="8"/>
  <c r="D1060" i="8" l="1"/>
  <c r="A1062" i="8"/>
  <c r="C1061" i="8"/>
  <c r="B1061" i="8"/>
  <c r="D1061" i="8" s="1"/>
  <c r="A1063" i="8" l="1"/>
  <c r="C1062" i="8"/>
  <c r="B1062" i="8"/>
  <c r="D1062" i="8" s="1"/>
  <c r="A1064" i="8" l="1"/>
  <c r="C1063" i="8"/>
  <c r="B1063" i="8"/>
  <c r="D1063" i="8" s="1"/>
  <c r="A1065" i="8" l="1"/>
  <c r="C1064" i="8"/>
  <c r="B1064" i="8"/>
  <c r="D1064" i="8" l="1"/>
  <c r="A1066" i="8"/>
  <c r="C1065" i="8"/>
  <c r="B1065" i="8"/>
  <c r="D1065" i="8" l="1"/>
  <c r="A1067" i="8"/>
  <c r="C1066" i="8"/>
  <c r="B1066" i="8"/>
  <c r="D1066" i="8" s="1"/>
  <c r="A1068" i="8" l="1"/>
  <c r="C1067" i="8"/>
  <c r="B1067" i="8"/>
  <c r="D1067" i="8" s="1"/>
  <c r="A1069" i="8" l="1"/>
  <c r="C1068" i="8"/>
  <c r="B1068" i="8"/>
  <c r="D1068" i="8" s="1"/>
  <c r="A1070" i="8" l="1"/>
  <c r="C1069" i="8"/>
  <c r="B1069" i="8"/>
  <c r="D1069" i="8" s="1"/>
  <c r="A1071" i="8" l="1"/>
  <c r="C1070" i="8"/>
  <c r="B1070" i="8"/>
  <c r="D1070" i="8" s="1"/>
  <c r="A1072" i="8" l="1"/>
  <c r="C1071" i="8"/>
  <c r="B1071" i="8"/>
  <c r="D1071" i="8" s="1"/>
  <c r="A1073" i="8" l="1"/>
  <c r="C1072" i="8"/>
  <c r="B1072" i="8"/>
  <c r="D1072" i="8" l="1"/>
  <c r="A1074" i="8"/>
  <c r="C1073" i="8"/>
  <c r="B1073" i="8"/>
  <c r="D1073" i="8" s="1"/>
  <c r="A1075" i="8" l="1"/>
  <c r="C1074" i="8"/>
  <c r="B1074" i="8"/>
  <c r="D1074" i="8" s="1"/>
  <c r="A1076" i="8" l="1"/>
  <c r="C1075" i="8"/>
  <c r="B1075" i="8"/>
  <c r="D1075" i="8" s="1"/>
  <c r="A1077" i="8" l="1"/>
  <c r="C1076" i="8"/>
  <c r="B1076" i="8"/>
  <c r="D1076" i="8" s="1"/>
  <c r="A1078" i="8" l="1"/>
  <c r="C1077" i="8"/>
  <c r="B1077" i="8"/>
  <c r="D1077" i="8" s="1"/>
  <c r="A1079" i="8" l="1"/>
  <c r="C1078" i="8"/>
  <c r="B1078" i="8"/>
  <c r="D1078" i="8" s="1"/>
  <c r="A1080" i="8" l="1"/>
  <c r="C1079" i="8"/>
  <c r="B1079" i="8"/>
  <c r="D1079" i="8" s="1"/>
  <c r="A1081" i="8" l="1"/>
  <c r="C1080" i="8"/>
  <c r="B1080" i="8"/>
  <c r="D1080" i="8" s="1"/>
  <c r="A1082" i="8" l="1"/>
  <c r="C1081" i="8"/>
  <c r="B1081" i="8"/>
  <c r="D1081" i="8" s="1"/>
  <c r="A1083" i="8" l="1"/>
  <c r="C1082" i="8"/>
  <c r="B1082" i="8"/>
  <c r="D1082" i="8" s="1"/>
  <c r="A1084" i="8" l="1"/>
  <c r="C1083" i="8"/>
  <c r="B1083" i="8"/>
  <c r="D1083" i="8" l="1"/>
  <c r="A1085" i="8"/>
  <c r="C1084" i="8"/>
  <c r="B1084" i="8"/>
  <c r="D1084" i="8" s="1"/>
  <c r="A1086" i="8" l="1"/>
  <c r="C1085" i="8"/>
  <c r="B1085" i="8"/>
  <c r="D1085" i="8" s="1"/>
  <c r="A1087" i="8" l="1"/>
  <c r="C1086" i="8"/>
  <c r="B1086" i="8"/>
  <c r="D1086" i="8" s="1"/>
  <c r="A1088" i="8" l="1"/>
  <c r="C1087" i="8"/>
  <c r="B1087" i="8"/>
  <c r="D1087" i="8" s="1"/>
  <c r="A1089" i="8" l="1"/>
  <c r="C1088" i="8"/>
  <c r="B1088" i="8"/>
  <c r="D1088" i="8" s="1"/>
  <c r="A1090" i="8" l="1"/>
  <c r="C1089" i="8"/>
  <c r="B1089" i="8"/>
  <c r="D1089" i="8" s="1"/>
  <c r="A1091" i="8" l="1"/>
  <c r="C1090" i="8"/>
  <c r="B1090" i="8"/>
  <c r="D1090" i="8" s="1"/>
  <c r="A1092" i="8" l="1"/>
  <c r="C1091" i="8"/>
  <c r="B1091" i="8"/>
  <c r="D1091" i="8" s="1"/>
  <c r="A1093" i="8" l="1"/>
  <c r="C1092" i="8"/>
  <c r="B1092" i="8"/>
  <c r="D1092" i="8" s="1"/>
  <c r="A1094" i="8" l="1"/>
  <c r="C1093" i="8"/>
  <c r="B1093" i="8"/>
  <c r="D1093" i="8" s="1"/>
  <c r="A1095" i="8" l="1"/>
  <c r="C1094" i="8"/>
  <c r="B1094" i="8"/>
  <c r="D1094" i="8" s="1"/>
  <c r="A1096" i="8" l="1"/>
  <c r="C1095" i="8"/>
  <c r="B1095" i="8"/>
  <c r="D1095" i="8" s="1"/>
  <c r="A1097" i="8" l="1"/>
  <c r="C1096" i="8"/>
  <c r="B1096" i="8"/>
  <c r="D1096" i="8" s="1"/>
  <c r="A1098" i="8" l="1"/>
  <c r="C1097" i="8"/>
  <c r="B1097" i="8"/>
  <c r="D1097" i="8" s="1"/>
  <c r="A1099" i="8" l="1"/>
  <c r="C1098" i="8"/>
  <c r="B1098" i="8"/>
  <c r="D1098" i="8" s="1"/>
  <c r="A1100" i="8" l="1"/>
  <c r="C1099" i="8"/>
  <c r="B1099" i="8"/>
  <c r="D1099" i="8" s="1"/>
  <c r="A1101" i="8" l="1"/>
  <c r="C1100" i="8"/>
  <c r="B1100" i="8"/>
  <c r="D1100" i="8" s="1"/>
  <c r="A1102" i="8" l="1"/>
  <c r="C1101" i="8"/>
  <c r="B1101" i="8"/>
  <c r="D1101" i="8" l="1"/>
  <c r="A1103" i="8"/>
  <c r="C1102" i="8"/>
  <c r="B1102" i="8"/>
  <c r="D1102" i="8" s="1"/>
  <c r="A1104" i="8" l="1"/>
  <c r="C1103" i="8"/>
  <c r="B1103" i="8"/>
  <c r="D1103" i="8" l="1"/>
  <c r="A1105" i="8"/>
  <c r="C1104" i="8"/>
  <c r="B1104" i="8"/>
  <c r="D1104" i="8" l="1"/>
  <c r="A1106" i="8"/>
  <c r="C1105" i="8"/>
  <c r="B1105" i="8"/>
  <c r="D1105" i="8" s="1"/>
  <c r="A1107" i="8" l="1"/>
  <c r="C1106" i="8"/>
  <c r="B1106" i="8"/>
  <c r="D1106" i="8" s="1"/>
  <c r="A1108" i="8" l="1"/>
  <c r="C1107" i="8"/>
  <c r="B1107" i="8"/>
  <c r="D1107" i="8" s="1"/>
  <c r="A1109" i="8" l="1"/>
  <c r="C1108" i="8"/>
  <c r="B1108" i="8"/>
  <c r="D1108" i="8" s="1"/>
  <c r="A1110" i="8" l="1"/>
  <c r="C1109" i="8"/>
  <c r="B1109" i="8"/>
  <c r="D1109" i="8" s="1"/>
  <c r="A1111" i="8" l="1"/>
  <c r="C1110" i="8"/>
  <c r="B1110" i="8"/>
  <c r="D1110" i="8" s="1"/>
  <c r="A1112" i="8" l="1"/>
  <c r="C1111" i="8"/>
  <c r="B1111" i="8"/>
  <c r="D1111" i="8" s="1"/>
  <c r="A1113" i="8" l="1"/>
  <c r="C1112" i="8"/>
  <c r="B1112" i="8"/>
  <c r="D1112" i="8" s="1"/>
  <c r="A1114" i="8" l="1"/>
  <c r="C1113" i="8"/>
  <c r="B1113" i="8"/>
  <c r="D1113" i="8" s="1"/>
  <c r="A1115" i="8" l="1"/>
  <c r="C1114" i="8"/>
  <c r="B1114" i="8"/>
  <c r="D1114" i="8" s="1"/>
  <c r="A1116" i="8" l="1"/>
  <c r="C1115" i="8"/>
  <c r="B1115" i="8"/>
  <c r="D1115" i="8" s="1"/>
  <c r="A1117" i="8" l="1"/>
  <c r="C1116" i="8"/>
  <c r="B1116" i="8"/>
  <c r="D1116" i="8" l="1"/>
  <c r="A1118" i="8"/>
  <c r="C1117" i="8"/>
  <c r="B1117" i="8"/>
  <c r="D1117" i="8" s="1"/>
  <c r="A1119" i="8" l="1"/>
  <c r="C1118" i="8"/>
  <c r="B1118" i="8"/>
  <c r="D1118" i="8" l="1"/>
  <c r="A1120" i="8"/>
  <c r="C1119" i="8"/>
  <c r="B1119" i="8"/>
  <c r="D1119" i="8" s="1"/>
  <c r="A1121" i="8" l="1"/>
  <c r="C1120" i="8"/>
  <c r="B1120" i="8"/>
  <c r="D1120" i="8" l="1"/>
  <c r="A1122" i="8"/>
  <c r="C1121" i="8"/>
  <c r="B1121" i="8"/>
  <c r="D1121" i="8" s="1"/>
  <c r="A1123" i="8" l="1"/>
  <c r="C1122" i="8"/>
  <c r="B1122" i="8"/>
  <c r="D1122" i="8" s="1"/>
  <c r="A1124" i="8" l="1"/>
  <c r="C1123" i="8"/>
  <c r="B1123" i="8"/>
  <c r="D1123" i="8" s="1"/>
  <c r="A1125" i="8" l="1"/>
  <c r="C1124" i="8"/>
  <c r="B1124" i="8"/>
  <c r="D1124" i="8" s="1"/>
  <c r="A1126" i="8" l="1"/>
  <c r="C1125" i="8"/>
  <c r="B1125" i="8"/>
  <c r="D1125" i="8" s="1"/>
  <c r="A1127" i="8" l="1"/>
  <c r="C1126" i="8"/>
  <c r="B1126" i="8"/>
  <c r="D1126" i="8" l="1"/>
  <c r="A1128" i="8"/>
  <c r="C1127" i="8"/>
  <c r="B1127" i="8"/>
  <c r="D1127" i="8" s="1"/>
  <c r="A1129" i="8" l="1"/>
  <c r="C1128" i="8"/>
  <c r="B1128" i="8"/>
  <c r="D1128" i="8" l="1"/>
  <c r="A1130" i="8"/>
  <c r="C1129" i="8"/>
  <c r="B1129" i="8"/>
  <c r="D1129" i="8" s="1"/>
  <c r="A1131" i="8" l="1"/>
  <c r="C1130" i="8"/>
  <c r="B1130" i="8"/>
  <c r="D1130" i="8" s="1"/>
  <c r="A1132" i="8" l="1"/>
  <c r="C1131" i="8"/>
  <c r="B1131" i="8"/>
  <c r="D1131" i="8" s="1"/>
  <c r="A1133" i="8" l="1"/>
  <c r="C1132" i="8"/>
  <c r="B1132" i="8"/>
  <c r="D1132" i="8" s="1"/>
  <c r="A1134" i="8" l="1"/>
  <c r="C1133" i="8"/>
  <c r="B1133" i="8"/>
  <c r="D1133" i="8" s="1"/>
  <c r="A1135" i="8" l="1"/>
  <c r="C1134" i="8"/>
  <c r="B1134" i="8"/>
  <c r="D1134" i="8" s="1"/>
  <c r="A1136" i="8" l="1"/>
  <c r="C1135" i="8"/>
  <c r="B1135" i="8"/>
  <c r="D1135" i="8" s="1"/>
  <c r="A1137" i="8" l="1"/>
  <c r="C1136" i="8"/>
  <c r="B1136" i="8"/>
  <c r="D1136" i="8" s="1"/>
  <c r="A1138" i="8" l="1"/>
  <c r="C1137" i="8"/>
  <c r="B1137" i="8"/>
  <c r="D1137" i="8" s="1"/>
  <c r="A1139" i="8" l="1"/>
  <c r="C1138" i="8"/>
  <c r="B1138" i="8"/>
  <c r="D1138" i="8" s="1"/>
  <c r="A1140" i="8" l="1"/>
  <c r="C1139" i="8"/>
  <c r="B1139" i="8"/>
  <c r="D1139" i="8" s="1"/>
  <c r="A1141" i="8" l="1"/>
  <c r="C1140" i="8"/>
  <c r="B1140" i="8"/>
  <c r="D1140" i="8" s="1"/>
  <c r="A1142" i="8" l="1"/>
  <c r="C1141" i="8"/>
  <c r="B1141" i="8"/>
  <c r="D1141" i="8" s="1"/>
  <c r="A1143" i="8" l="1"/>
  <c r="C1142" i="8"/>
  <c r="B1142" i="8"/>
  <c r="D1142" i="8" s="1"/>
  <c r="A1144" i="8" l="1"/>
  <c r="C1143" i="8"/>
  <c r="B1143" i="8"/>
  <c r="D1143" i="8" s="1"/>
  <c r="A1145" i="8" l="1"/>
  <c r="C1144" i="8"/>
  <c r="B1144" i="8"/>
  <c r="D1144" i="8" s="1"/>
  <c r="A1146" i="8" l="1"/>
  <c r="C1145" i="8"/>
  <c r="B1145" i="8"/>
  <c r="D1145" i="8" s="1"/>
  <c r="A1147" i="8" l="1"/>
  <c r="C1146" i="8"/>
  <c r="B1146" i="8"/>
  <c r="D1146" i="8" l="1"/>
  <c r="A1148" i="8"/>
  <c r="C1147" i="8"/>
  <c r="B1147" i="8"/>
  <c r="D1147" i="8" s="1"/>
  <c r="A1149" i="8" l="1"/>
  <c r="C1148" i="8"/>
  <c r="B1148" i="8"/>
  <c r="D1148" i="8" s="1"/>
  <c r="A1150" i="8" l="1"/>
  <c r="C1149" i="8"/>
  <c r="B1149" i="8"/>
  <c r="D1149" i="8" s="1"/>
  <c r="A1151" i="8" l="1"/>
  <c r="C1150" i="8"/>
  <c r="B1150" i="8"/>
  <c r="D1150" i="8" l="1"/>
  <c r="A1152" i="8"/>
  <c r="C1151" i="8"/>
  <c r="B1151" i="8"/>
  <c r="D1151" i="8" s="1"/>
  <c r="A1153" i="8" l="1"/>
  <c r="C1152" i="8"/>
  <c r="B1152" i="8"/>
  <c r="D1152" i="8" s="1"/>
  <c r="A1154" i="8" l="1"/>
  <c r="C1153" i="8"/>
  <c r="B1153" i="8"/>
  <c r="D1153" i="8" s="1"/>
  <c r="A1155" i="8" l="1"/>
  <c r="C1154" i="8"/>
  <c r="B1154" i="8"/>
  <c r="D1154" i="8" s="1"/>
  <c r="A1156" i="8" l="1"/>
  <c r="C1155" i="8"/>
  <c r="B1155" i="8"/>
  <c r="D1155" i="8" s="1"/>
  <c r="A1157" i="8" l="1"/>
  <c r="C1156" i="8"/>
  <c r="B1156" i="8"/>
  <c r="D1156" i="8" s="1"/>
  <c r="A1158" i="8" l="1"/>
  <c r="C1157" i="8"/>
  <c r="B1157" i="8"/>
  <c r="D1157" i="8" s="1"/>
  <c r="A1159" i="8" l="1"/>
  <c r="C1158" i="8"/>
  <c r="B1158" i="8"/>
  <c r="D1158" i="8" s="1"/>
  <c r="A1160" i="8" l="1"/>
  <c r="C1159" i="8"/>
  <c r="B1159" i="8"/>
  <c r="D1159" i="8" s="1"/>
  <c r="A1161" i="8" l="1"/>
  <c r="C1160" i="8"/>
  <c r="B1160" i="8"/>
  <c r="D1160" i="8" s="1"/>
  <c r="A1162" i="8" l="1"/>
  <c r="C1161" i="8"/>
  <c r="B1161" i="8"/>
  <c r="D1161" i="8" s="1"/>
  <c r="A1163" i="8" l="1"/>
  <c r="C1162" i="8"/>
  <c r="B1162" i="8"/>
  <c r="D1162" i="8" s="1"/>
  <c r="A1164" i="8" l="1"/>
  <c r="C1163" i="8"/>
  <c r="B1163" i="8"/>
  <c r="D1163" i="8" s="1"/>
  <c r="A1165" i="8" l="1"/>
  <c r="C1164" i="8"/>
  <c r="B1164" i="8"/>
  <c r="D1164" i="8" s="1"/>
  <c r="A1166" i="8" l="1"/>
  <c r="C1165" i="8"/>
  <c r="B1165" i="8"/>
  <c r="D1165" i="8" s="1"/>
  <c r="A1167" i="8" l="1"/>
  <c r="C1166" i="8"/>
  <c r="B1166" i="8"/>
  <c r="D1166" i="8" s="1"/>
  <c r="A1168" i="8" l="1"/>
  <c r="C1167" i="8"/>
  <c r="B1167" i="8"/>
  <c r="D1167" i="8" s="1"/>
  <c r="A1169" i="8" l="1"/>
  <c r="C1168" i="8"/>
  <c r="B1168" i="8"/>
  <c r="D1168" i="8" s="1"/>
  <c r="A1170" i="8" l="1"/>
  <c r="C1169" i="8"/>
  <c r="B1169" i="8"/>
  <c r="D1169" i="8" s="1"/>
  <c r="A1171" i="8" l="1"/>
  <c r="C1170" i="8"/>
  <c r="B1170" i="8"/>
  <c r="D1170" i="8" s="1"/>
  <c r="A1172" i="8" l="1"/>
  <c r="C1171" i="8"/>
  <c r="B1171" i="8"/>
  <c r="D1171" i="8" s="1"/>
  <c r="A1173" i="8" l="1"/>
  <c r="C1172" i="8"/>
  <c r="B1172" i="8"/>
  <c r="D1172" i="8" s="1"/>
  <c r="A1174" i="8" l="1"/>
  <c r="C1173" i="8"/>
  <c r="B1173" i="8"/>
  <c r="D1173" i="8" s="1"/>
  <c r="A1175" i="8" l="1"/>
  <c r="C1174" i="8"/>
  <c r="B1174" i="8"/>
  <c r="D1174" i="8" l="1"/>
  <c r="A1176" i="8"/>
  <c r="C1175" i="8"/>
  <c r="B1175" i="8"/>
  <c r="D1175" i="8" s="1"/>
  <c r="A1177" i="8" l="1"/>
  <c r="C1176" i="8"/>
  <c r="B1176" i="8"/>
  <c r="D1176" i="8" s="1"/>
  <c r="A1178" i="8" l="1"/>
  <c r="C1177" i="8"/>
  <c r="B1177" i="8"/>
  <c r="D1177" i="8" s="1"/>
  <c r="A1179" i="8" l="1"/>
  <c r="C1178" i="8"/>
  <c r="B1178" i="8"/>
  <c r="D1178" i="8" s="1"/>
  <c r="A1180" i="8" l="1"/>
  <c r="C1179" i="8"/>
  <c r="B1179" i="8"/>
  <c r="D1179" i="8" s="1"/>
  <c r="A1181" i="8" l="1"/>
  <c r="C1180" i="8"/>
  <c r="B1180" i="8"/>
  <c r="D1180" i="8" s="1"/>
  <c r="A1182" i="8" l="1"/>
  <c r="C1181" i="8"/>
  <c r="B1181" i="8"/>
  <c r="D1181" i="8" s="1"/>
  <c r="A1183" i="8" l="1"/>
  <c r="C1182" i="8"/>
  <c r="B1182" i="8"/>
  <c r="D1182" i="8" s="1"/>
  <c r="A1184" i="8" l="1"/>
  <c r="C1183" i="8"/>
  <c r="B1183" i="8"/>
  <c r="D1183" i="8" s="1"/>
  <c r="A1185" i="8" l="1"/>
  <c r="C1184" i="8"/>
  <c r="B1184" i="8"/>
  <c r="D1184" i="8" s="1"/>
  <c r="A1186" i="8" l="1"/>
  <c r="C1185" i="8"/>
  <c r="B1185" i="8"/>
  <c r="D1185" i="8" s="1"/>
  <c r="A1187" i="8" l="1"/>
  <c r="C1186" i="8"/>
  <c r="B1186" i="8"/>
  <c r="D1186" i="8" s="1"/>
  <c r="A1188" i="8" l="1"/>
  <c r="C1187" i="8"/>
  <c r="B1187" i="8"/>
  <c r="D1187" i="8" l="1"/>
  <c r="A1189" i="8"/>
  <c r="C1188" i="8"/>
  <c r="B1188" i="8"/>
  <c r="D1188" i="8" s="1"/>
  <c r="A1190" i="8" l="1"/>
  <c r="C1189" i="8"/>
  <c r="B1189" i="8"/>
  <c r="D1189" i="8" s="1"/>
  <c r="A1191" i="8" l="1"/>
  <c r="C1190" i="8"/>
  <c r="B1190" i="8"/>
  <c r="D1190" i="8" s="1"/>
  <c r="A1192" i="8" l="1"/>
  <c r="C1191" i="8"/>
  <c r="B1191" i="8"/>
  <c r="D1191" i="8" s="1"/>
  <c r="A1193" i="8" l="1"/>
  <c r="C1192" i="8"/>
  <c r="B1192" i="8"/>
  <c r="D1192" i="8" s="1"/>
  <c r="A1194" i="8" l="1"/>
  <c r="C1193" i="8"/>
  <c r="B1193" i="8"/>
  <c r="D1193" i="8" s="1"/>
  <c r="A1195" i="8" l="1"/>
  <c r="C1194" i="8"/>
  <c r="B1194" i="8"/>
  <c r="D1194" i="8" s="1"/>
  <c r="A1196" i="8" l="1"/>
  <c r="C1195" i="8"/>
  <c r="B1195" i="8"/>
  <c r="D1195" i="8" s="1"/>
  <c r="A1197" i="8" l="1"/>
  <c r="C1196" i="8"/>
  <c r="B1196" i="8"/>
  <c r="D1196" i="8" s="1"/>
  <c r="A1198" i="8" l="1"/>
  <c r="C1197" i="8"/>
  <c r="B1197" i="8"/>
  <c r="D1197" i="8" s="1"/>
  <c r="A1199" i="8" l="1"/>
  <c r="C1198" i="8"/>
  <c r="B1198" i="8"/>
  <c r="D1198" i="8" s="1"/>
  <c r="A1200" i="8" l="1"/>
  <c r="C1199" i="8"/>
  <c r="B1199" i="8"/>
  <c r="D1199" i="8" s="1"/>
  <c r="A1201" i="8" l="1"/>
  <c r="C1200" i="8"/>
  <c r="B1200" i="8"/>
  <c r="D1200" i="8" s="1"/>
  <c r="A1202" i="8" l="1"/>
  <c r="C1201" i="8"/>
  <c r="B1201" i="8"/>
  <c r="D1201" i="8" s="1"/>
  <c r="A1203" i="8" l="1"/>
  <c r="C1202" i="8"/>
  <c r="B1202" i="8"/>
  <c r="D1202" i="8" s="1"/>
  <c r="A1204" i="8" l="1"/>
  <c r="C1203" i="8"/>
  <c r="B1203" i="8"/>
  <c r="D1203" i="8" s="1"/>
  <c r="A1205" i="8" l="1"/>
  <c r="C1204" i="8"/>
  <c r="B1204" i="8"/>
  <c r="D1204" i="8" s="1"/>
  <c r="A1206" i="8" l="1"/>
  <c r="C1205" i="8"/>
  <c r="B1205" i="8"/>
  <c r="D1205" i="8" l="1"/>
  <c r="A1207" i="8"/>
  <c r="C1206" i="8"/>
  <c r="B1206" i="8"/>
  <c r="D1206" i="8" s="1"/>
  <c r="A1208" i="8" l="1"/>
  <c r="C1207" i="8"/>
  <c r="B1207" i="8"/>
  <c r="D1207" i="8" s="1"/>
  <c r="A1209" i="8" l="1"/>
  <c r="C1208" i="8"/>
  <c r="B1208" i="8"/>
  <c r="D1208" i="8" s="1"/>
  <c r="A1210" i="8" l="1"/>
  <c r="C1209" i="8"/>
  <c r="B1209" i="8"/>
  <c r="D1209" i="8" s="1"/>
  <c r="A1211" i="8" l="1"/>
  <c r="C1210" i="8"/>
  <c r="B1210" i="8"/>
  <c r="D1210" i="8" s="1"/>
  <c r="A1212" i="8" l="1"/>
  <c r="C1211" i="8"/>
  <c r="B1211" i="8"/>
  <c r="D1211" i="8" l="1"/>
  <c r="A1213" i="8"/>
  <c r="C1212" i="8"/>
  <c r="B1212" i="8"/>
  <c r="D1212" i="8" l="1"/>
  <c r="A1214" i="8"/>
  <c r="C1213" i="8"/>
  <c r="B1213" i="8"/>
  <c r="D1213" i="8" l="1"/>
  <c r="A1215" i="8"/>
  <c r="C1214" i="8"/>
  <c r="B1214" i="8"/>
  <c r="D1214" i="8" s="1"/>
  <c r="A1216" i="8" l="1"/>
  <c r="C1215" i="8"/>
  <c r="B1215" i="8"/>
  <c r="D1215" i="8" s="1"/>
  <c r="A1217" i="8" l="1"/>
  <c r="C1216" i="8"/>
  <c r="B1216" i="8"/>
  <c r="D1216" i="8" s="1"/>
  <c r="A1218" i="8" l="1"/>
  <c r="C1217" i="8"/>
  <c r="B1217" i="8"/>
  <c r="D1217" i="8" s="1"/>
  <c r="A1219" i="8" l="1"/>
  <c r="C1218" i="8"/>
  <c r="B1218" i="8"/>
  <c r="D1218" i="8" s="1"/>
  <c r="A1220" i="8" l="1"/>
  <c r="C1219" i="8"/>
  <c r="B1219" i="8"/>
  <c r="D1219" i="8" s="1"/>
  <c r="A1221" i="8" l="1"/>
  <c r="C1220" i="8"/>
  <c r="B1220" i="8"/>
  <c r="D1220" i="8" l="1"/>
  <c r="A1222" i="8"/>
  <c r="C1221" i="8"/>
  <c r="B1221" i="8"/>
  <c r="D1221" i="8" s="1"/>
  <c r="A1223" i="8" l="1"/>
  <c r="C1222" i="8"/>
  <c r="B1222" i="8"/>
  <c r="D1222" i="8" s="1"/>
  <c r="A1224" i="8" l="1"/>
  <c r="C1223" i="8"/>
  <c r="B1223" i="8"/>
  <c r="D1223" i="8" s="1"/>
  <c r="A1225" i="8" l="1"/>
  <c r="C1224" i="8"/>
  <c r="B1224" i="8"/>
  <c r="D1224" i="8" s="1"/>
  <c r="A1226" i="8" l="1"/>
  <c r="C1225" i="8"/>
  <c r="B1225" i="8"/>
  <c r="D1225" i="8" l="1"/>
  <c r="A1227" i="8"/>
  <c r="C1226" i="8"/>
  <c r="B1226" i="8"/>
  <c r="D1226" i="8" l="1"/>
  <c r="A1228" i="8"/>
  <c r="C1227" i="8"/>
  <c r="B1227" i="8"/>
  <c r="D1227" i="8" s="1"/>
  <c r="A1229" i="8" l="1"/>
  <c r="C1228" i="8"/>
  <c r="B1228" i="8"/>
  <c r="D1228" i="8" s="1"/>
  <c r="A1230" i="8" l="1"/>
  <c r="C1229" i="8"/>
  <c r="B1229" i="8"/>
  <c r="D1229" i="8" s="1"/>
  <c r="A1231" i="8" l="1"/>
  <c r="C1230" i="8"/>
  <c r="B1230" i="8"/>
  <c r="D1230" i="8" s="1"/>
  <c r="A1232" i="8" l="1"/>
  <c r="C1231" i="8"/>
  <c r="B1231" i="8"/>
  <c r="D1231" i="8" s="1"/>
  <c r="A1233" i="8" l="1"/>
  <c r="C1232" i="8"/>
  <c r="B1232" i="8"/>
  <c r="D1232" i="8" s="1"/>
  <c r="A1234" i="8" l="1"/>
  <c r="C1233" i="8"/>
  <c r="B1233" i="8"/>
  <c r="D1233" i="8" s="1"/>
  <c r="A1235" i="8" l="1"/>
  <c r="C1234" i="8"/>
  <c r="B1234" i="8"/>
  <c r="D1234" i="8" s="1"/>
  <c r="A1236" i="8" l="1"/>
  <c r="C1235" i="8"/>
  <c r="B1235" i="8"/>
  <c r="D1235" i="8" s="1"/>
  <c r="A1237" i="8" l="1"/>
  <c r="C1236" i="8"/>
  <c r="B1236" i="8"/>
  <c r="D1236" i="8" s="1"/>
  <c r="A1238" i="8" l="1"/>
  <c r="C1237" i="8"/>
  <c r="B1237" i="8"/>
  <c r="D1237" i="8" s="1"/>
  <c r="A1239" i="8" l="1"/>
  <c r="C1238" i="8"/>
  <c r="B1238" i="8"/>
  <c r="D1238" i="8" s="1"/>
  <c r="A1240" i="8" l="1"/>
  <c r="C1239" i="8"/>
  <c r="B1239" i="8"/>
  <c r="D1239" i="8" s="1"/>
  <c r="A1241" i="8" l="1"/>
  <c r="C1240" i="8"/>
  <c r="B1240" i="8"/>
  <c r="D1240" i="8" l="1"/>
  <c r="A1242" i="8"/>
  <c r="C1241" i="8"/>
  <c r="B1241" i="8"/>
  <c r="D1241" i="8" s="1"/>
  <c r="A1243" i="8" l="1"/>
  <c r="C1242" i="8"/>
  <c r="B1242" i="8"/>
  <c r="D1242" i="8" s="1"/>
  <c r="A1244" i="8" l="1"/>
  <c r="C1243" i="8"/>
  <c r="B1243" i="8"/>
  <c r="D1243" i="8" s="1"/>
  <c r="A1245" i="8" l="1"/>
  <c r="C1244" i="8"/>
  <c r="B1244" i="8"/>
  <c r="D1244" i="8" s="1"/>
  <c r="A1246" i="8" l="1"/>
  <c r="C1245" i="8"/>
  <c r="B1245" i="8"/>
  <c r="D1245" i="8" s="1"/>
  <c r="A1247" i="8" l="1"/>
  <c r="C1246" i="8"/>
  <c r="B1246" i="8"/>
  <c r="D1246" i="8" s="1"/>
  <c r="A1248" i="8" l="1"/>
  <c r="C1247" i="8"/>
  <c r="B1247" i="8"/>
  <c r="D1247" i="8" s="1"/>
  <c r="A1249" i="8" l="1"/>
  <c r="C1248" i="8"/>
  <c r="B1248" i="8"/>
  <c r="D1248" i="8" s="1"/>
  <c r="A1250" i="8" l="1"/>
  <c r="C1249" i="8"/>
  <c r="B1249" i="8"/>
  <c r="D1249" i="8" s="1"/>
  <c r="A1251" i="8" l="1"/>
  <c r="C1250" i="8"/>
  <c r="B1250" i="8"/>
  <c r="D1250" i="8" l="1"/>
  <c r="A1252" i="8"/>
  <c r="C1251" i="8"/>
  <c r="B1251" i="8"/>
  <c r="D1251" i="8" s="1"/>
  <c r="A1253" i="8" l="1"/>
  <c r="C1252" i="8"/>
  <c r="B1252" i="8"/>
  <c r="D1252" i="8" s="1"/>
  <c r="A1254" i="8" l="1"/>
  <c r="C1253" i="8"/>
  <c r="B1253" i="8"/>
  <c r="D1253" i="8" s="1"/>
  <c r="A1255" i="8" l="1"/>
  <c r="C1254" i="8"/>
  <c r="B1254" i="8"/>
  <c r="D1254" i="8" s="1"/>
  <c r="A1256" i="8" l="1"/>
  <c r="C1255" i="8"/>
  <c r="B1255" i="8"/>
  <c r="D1255" i="8" l="1"/>
  <c r="A1257" i="8"/>
  <c r="C1256" i="8"/>
  <c r="B1256" i="8"/>
  <c r="D1256" i="8" l="1"/>
  <c r="A1258" i="8"/>
  <c r="C1257" i="8"/>
  <c r="B1257" i="8"/>
  <c r="D1257" i="8" l="1"/>
  <c r="A1259" i="8"/>
  <c r="C1258" i="8"/>
  <c r="B1258" i="8"/>
  <c r="D1258" i="8" s="1"/>
  <c r="A1260" i="8" l="1"/>
  <c r="C1259" i="8"/>
  <c r="B1259" i="8"/>
  <c r="D1259" i="8" s="1"/>
  <c r="A1261" i="8" l="1"/>
  <c r="C1260" i="8"/>
  <c r="B1260" i="8"/>
  <c r="D1260" i="8" l="1"/>
  <c r="A1262" i="8"/>
  <c r="C1261" i="8"/>
  <c r="B1261" i="8"/>
  <c r="D1261" i="8" s="1"/>
  <c r="A1263" i="8" l="1"/>
  <c r="C1262" i="8"/>
  <c r="B1262" i="8"/>
  <c r="D1262" i="8" s="1"/>
  <c r="A1264" i="8" l="1"/>
  <c r="C1263" i="8"/>
  <c r="B1263" i="8"/>
  <c r="D1263" i="8" s="1"/>
  <c r="A1265" i="8" l="1"/>
  <c r="C1264" i="8"/>
  <c r="B1264" i="8"/>
  <c r="D1264" i="8" s="1"/>
  <c r="A1266" i="8" l="1"/>
  <c r="C1265" i="8"/>
  <c r="B1265" i="8"/>
  <c r="D1265" i="8" l="1"/>
  <c r="A1267" i="8"/>
  <c r="C1266" i="8"/>
  <c r="B1266" i="8"/>
  <c r="D1266" i="8" l="1"/>
  <c r="A1268" i="8"/>
  <c r="C1267" i="8"/>
  <c r="B1267" i="8"/>
  <c r="D1267" i="8" s="1"/>
  <c r="A1269" i="8" l="1"/>
  <c r="C1268" i="8"/>
  <c r="B1268" i="8"/>
  <c r="D1268" i="8" s="1"/>
  <c r="A1270" i="8" l="1"/>
  <c r="C1269" i="8"/>
  <c r="B1269" i="8"/>
  <c r="D1269" i="8" l="1"/>
  <c r="A1271" i="8"/>
  <c r="C1270" i="8"/>
  <c r="B1270" i="8"/>
  <c r="D1270" i="8" s="1"/>
  <c r="A1272" i="8" l="1"/>
  <c r="C1271" i="8"/>
  <c r="B1271" i="8"/>
  <c r="D1271" i="8" s="1"/>
  <c r="A1273" i="8" l="1"/>
  <c r="C1272" i="8"/>
  <c r="B1272" i="8"/>
  <c r="D1272" i="8" s="1"/>
  <c r="A1274" i="8" l="1"/>
  <c r="C1273" i="8"/>
  <c r="B1273" i="8"/>
  <c r="D1273" i="8" s="1"/>
  <c r="A1275" i="8" l="1"/>
  <c r="C1274" i="8"/>
  <c r="B1274" i="8"/>
  <c r="D1274" i="8" s="1"/>
  <c r="A1276" i="8" l="1"/>
  <c r="C1275" i="8"/>
  <c r="B1275" i="8"/>
  <c r="D1275" i="8" s="1"/>
  <c r="A1277" i="8" l="1"/>
  <c r="C1276" i="8"/>
  <c r="B1276" i="8"/>
  <c r="D1276" i="8" s="1"/>
  <c r="A1278" i="8" l="1"/>
  <c r="C1277" i="8"/>
  <c r="B1277" i="8"/>
  <c r="D1277" i="8" s="1"/>
  <c r="A1279" i="8" l="1"/>
  <c r="C1278" i="8"/>
  <c r="B1278" i="8"/>
  <c r="D1278" i="8" s="1"/>
  <c r="A1280" i="8" l="1"/>
  <c r="C1279" i="8"/>
  <c r="B1279" i="8"/>
  <c r="D1279" i="8" s="1"/>
  <c r="A1281" i="8" l="1"/>
  <c r="C1280" i="8"/>
  <c r="B1280" i="8"/>
  <c r="D1280" i="8" s="1"/>
  <c r="A1282" i="8" l="1"/>
  <c r="C1281" i="8"/>
  <c r="B1281" i="8"/>
  <c r="D1281" i="8" s="1"/>
  <c r="A1283" i="8" l="1"/>
  <c r="C1282" i="8"/>
  <c r="B1282" i="8"/>
  <c r="D1282" i="8" s="1"/>
  <c r="A1284" i="8" l="1"/>
  <c r="C1283" i="8"/>
  <c r="B1283" i="8"/>
  <c r="D1283" i="8" s="1"/>
  <c r="A1285" i="8" l="1"/>
  <c r="C1284" i="8"/>
  <c r="B1284" i="8"/>
  <c r="D1284" i="8" s="1"/>
  <c r="A1286" i="8" l="1"/>
  <c r="C1285" i="8"/>
  <c r="B1285" i="8"/>
  <c r="D1285" i="8" s="1"/>
  <c r="A1287" i="8" l="1"/>
  <c r="C1286" i="8"/>
  <c r="B1286" i="8"/>
  <c r="D1286" i="8" s="1"/>
  <c r="A1288" i="8" l="1"/>
  <c r="C1287" i="8"/>
  <c r="B1287" i="8"/>
  <c r="D1287" i="8" s="1"/>
  <c r="A1289" i="8" l="1"/>
  <c r="C1288" i="8"/>
  <c r="B1288" i="8"/>
  <c r="D1288" i="8" s="1"/>
  <c r="A1290" i="8" l="1"/>
  <c r="C1289" i="8"/>
  <c r="B1289" i="8"/>
  <c r="D1289" i="8" s="1"/>
  <c r="A1291" i="8" l="1"/>
  <c r="C1290" i="8"/>
  <c r="B1290" i="8"/>
  <c r="D1290" i="8" s="1"/>
  <c r="A1292" i="8" l="1"/>
  <c r="C1291" i="8"/>
  <c r="B1291" i="8"/>
  <c r="D1291" i="8" s="1"/>
  <c r="A1293" i="8" l="1"/>
  <c r="C1292" i="8"/>
  <c r="B1292" i="8"/>
  <c r="D1292" i="8" s="1"/>
  <c r="A1294" i="8" l="1"/>
  <c r="C1293" i="8"/>
  <c r="B1293" i="8"/>
  <c r="D1293" i="8" s="1"/>
  <c r="A1295" i="8" l="1"/>
  <c r="C1294" i="8"/>
  <c r="B1294" i="8"/>
  <c r="D1294" i="8" l="1"/>
  <c r="A1296" i="8"/>
  <c r="C1295" i="8"/>
  <c r="B1295" i="8"/>
  <c r="D1295" i="8" s="1"/>
  <c r="A1297" i="8" l="1"/>
  <c r="C1296" i="8"/>
  <c r="B1296" i="8"/>
  <c r="D1296" i="8" s="1"/>
  <c r="A1298" i="8" l="1"/>
  <c r="C1297" i="8"/>
  <c r="B1297" i="8"/>
  <c r="D1297" i="8" l="1"/>
  <c r="A1299" i="8"/>
  <c r="C1298" i="8"/>
  <c r="B1298" i="8"/>
  <c r="D1298" i="8" s="1"/>
  <c r="A1300" i="8" l="1"/>
  <c r="C1299" i="8"/>
  <c r="B1299" i="8"/>
  <c r="D1299" i="8" s="1"/>
  <c r="A1301" i="8" l="1"/>
  <c r="C1300" i="8"/>
  <c r="B1300" i="8"/>
  <c r="D1300" i="8" s="1"/>
  <c r="A1302" i="8" l="1"/>
  <c r="C1301" i="8"/>
  <c r="B1301" i="8"/>
  <c r="D1301" i="8" l="1"/>
  <c r="A1303" i="8"/>
  <c r="C1302" i="8"/>
  <c r="B1302" i="8"/>
  <c r="D1302" i="8" l="1"/>
  <c r="A1304" i="8"/>
  <c r="C1303" i="8"/>
  <c r="B1303" i="8"/>
  <c r="D1303" i="8" s="1"/>
  <c r="A1305" i="8" l="1"/>
  <c r="C1304" i="8"/>
  <c r="B1304" i="8"/>
  <c r="D1304" i="8" s="1"/>
  <c r="A1306" i="8" l="1"/>
  <c r="C1305" i="8"/>
  <c r="B1305" i="8"/>
  <c r="D1305" i="8" l="1"/>
  <c r="A1307" i="8"/>
  <c r="C1306" i="8"/>
  <c r="B1306" i="8"/>
  <c r="D1306" i="8" s="1"/>
  <c r="A1308" i="8" l="1"/>
  <c r="C1307" i="8"/>
  <c r="B1307" i="8"/>
  <c r="D1307" i="8" s="1"/>
  <c r="A1309" i="8" l="1"/>
  <c r="C1308" i="8"/>
  <c r="B1308" i="8"/>
  <c r="D1308" i="8" s="1"/>
  <c r="A1310" i="8" l="1"/>
  <c r="C1309" i="8"/>
  <c r="B1309" i="8"/>
  <c r="D1309" i="8" s="1"/>
  <c r="A1311" i="8" l="1"/>
  <c r="C1310" i="8"/>
  <c r="B1310" i="8"/>
  <c r="D1310" i="8" s="1"/>
  <c r="A1312" i="8" l="1"/>
  <c r="C1311" i="8"/>
  <c r="B1311" i="8"/>
  <c r="D1311" i="8" s="1"/>
  <c r="A1313" i="8" l="1"/>
  <c r="C1312" i="8"/>
  <c r="B1312" i="8"/>
  <c r="D1312" i="8" s="1"/>
  <c r="A1314" i="8" l="1"/>
  <c r="C1313" i="8"/>
  <c r="B1313" i="8"/>
  <c r="D1313" i="8" s="1"/>
  <c r="A1315" i="8" l="1"/>
  <c r="C1314" i="8"/>
  <c r="B1314" i="8"/>
  <c r="D1314" i="8" s="1"/>
  <c r="A1316" i="8" l="1"/>
  <c r="C1315" i="8"/>
  <c r="B1315" i="8"/>
  <c r="D1315" i="8" l="1"/>
  <c r="A1317" i="8"/>
  <c r="C1316" i="8"/>
  <c r="B1316" i="8"/>
  <c r="D1316" i="8" s="1"/>
  <c r="A1318" i="8" l="1"/>
  <c r="C1317" i="8"/>
  <c r="B1317" i="8"/>
  <c r="D1317" i="8" s="1"/>
  <c r="A1319" i="8" l="1"/>
  <c r="C1318" i="8"/>
  <c r="B1318" i="8"/>
  <c r="D1318" i="8" s="1"/>
  <c r="A1320" i="8" l="1"/>
  <c r="C1319" i="8"/>
  <c r="B1319" i="8"/>
  <c r="D1319" i="8" l="1"/>
  <c r="A1321" i="8"/>
  <c r="C1320" i="8"/>
  <c r="B1320" i="8"/>
  <c r="D1320" i="8" s="1"/>
  <c r="A1322" i="8" l="1"/>
  <c r="C1321" i="8"/>
  <c r="B1321" i="8"/>
  <c r="D1321" i="8" l="1"/>
  <c r="A1323" i="8"/>
  <c r="C1322" i="8"/>
  <c r="B1322" i="8"/>
  <c r="D1322" i="8" s="1"/>
  <c r="A1324" i="8" l="1"/>
  <c r="C1323" i="8"/>
  <c r="B1323" i="8"/>
  <c r="D1323" i="8" s="1"/>
  <c r="A1325" i="8" l="1"/>
  <c r="C1324" i="8"/>
  <c r="B1324" i="8"/>
  <c r="D1324" i="8" l="1"/>
  <c r="A1326" i="8"/>
  <c r="C1325" i="8"/>
  <c r="B1325" i="8"/>
  <c r="D1325" i="8" s="1"/>
  <c r="A1327" i="8" l="1"/>
  <c r="C1326" i="8"/>
  <c r="B1326" i="8"/>
  <c r="D1326" i="8" s="1"/>
  <c r="A1328" i="8" l="1"/>
  <c r="C1327" i="8"/>
  <c r="B1327" i="8"/>
  <c r="D1327" i="8" s="1"/>
  <c r="A1329" i="8" l="1"/>
  <c r="C1328" i="8"/>
  <c r="B1328" i="8"/>
  <c r="D1328" i="8" s="1"/>
  <c r="A1330" i="8" l="1"/>
  <c r="C1329" i="8"/>
  <c r="B1329" i="8"/>
  <c r="D1329" i="8" s="1"/>
  <c r="A1331" i="8" l="1"/>
  <c r="C1330" i="8"/>
  <c r="B1330" i="8"/>
  <c r="D1330" i="8" s="1"/>
  <c r="A1332" i="8" l="1"/>
  <c r="C1331" i="8"/>
  <c r="B1331" i="8"/>
  <c r="D1331" i="8" s="1"/>
  <c r="A1333" i="8" l="1"/>
  <c r="C1332" i="8"/>
  <c r="B1332" i="8"/>
  <c r="D1332" i="8" s="1"/>
  <c r="A1334" i="8" l="1"/>
  <c r="C1333" i="8"/>
  <c r="B1333" i="8"/>
  <c r="D1333" i="8" s="1"/>
  <c r="A1335" i="8" l="1"/>
  <c r="C1334" i="8"/>
  <c r="B1334" i="8"/>
  <c r="D1334" i="8" s="1"/>
  <c r="A1336" i="8" l="1"/>
  <c r="C1335" i="8"/>
  <c r="B1335" i="8"/>
  <c r="D1335" i="8" s="1"/>
  <c r="A1337" i="8" l="1"/>
  <c r="C1336" i="8"/>
  <c r="B1336" i="8"/>
  <c r="D1336" i="8" s="1"/>
  <c r="A1338" i="8" l="1"/>
  <c r="C1337" i="8"/>
  <c r="B1337" i="8"/>
  <c r="D1337" i="8" s="1"/>
  <c r="A1339" i="8" l="1"/>
  <c r="C1338" i="8"/>
  <c r="B1338" i="8"/>
  <c r="D1338" i="8" s="1"/>
  <c r="A1340" i="8" l="1"/>
  <c r="C1339" i="8"/>
  <c r="B1339" i="8"/>
  <c r="D1339" i="8" s="1"/>
  <c r="A1341" i="8" l="1"/>
  <c r="C1340" i="8"/>
  <c r="B1340" i="8"/>
  <c r="D1340" i="8" l="1"/>
  <c r="A1342" i="8"/>
  <c r="C1341" i="8"/>
  <c r="B1341" i="8"/>
  <c r="D1341" i="8" l="1"/>
  <c r="A1343" i="8"/>
  <c r="C1342" i="8"/>
  <c r="B1342" i="8"/>
  <c r="D1342" i="8" s="1"/>
  <c r="A1344" i="8" l="1"/>
  <c r="C1343" i="8"/>
  <c r="B1343" i="8"/>
  <c r="D1343" i="8" s="1"/>
  <c r="A1345" i="8" l="1"/>
  <c r="C1344" i="8"/>
  <c r="B1344" i="8"/>
  <c r="D1344" i="8" s="1"/>
  <c r="A1346" i="8" l="1"/>
  <c r="C1345" i="8"/>
  <c r="B1345" i="8"/>
  <c r="D1345" i="8" s="1"/>
  <c r="A1347" i="8" l="1"/>
  <c r="C1346" i="8"/>
  <c r="B1346" i="8"/>
  <c r="D1346" i="8" s="1"/>
  <c r="A1348" i="8" l="1"/>
  <c r="C1347" i="8"/>
  <c r="B1347" i="8"/>
  <c r="D1347" i="8" s="1"/>
  <c r="A1349" i="8" l="1"/>
  <c r="C1348" i="8"/>
  <c r="B1348" i="8"/>
  <c r="D1348" i="8" l="1"/>
  <c r="A1350" i="8"/>
  <c r="C1349" i="8"/>
  <c r="B1349" i="8"/>
  <c r="D1349" i="8" s="1"/>
  <c r="A1351" i="8" l="1"/>
  <c r="C1350" i="8"/>
  <c r="B1350" i="8"/>
  <c r="D1350" i="8" s="1"/>
  <c r="A1352" i="8" l="1"/>
  <c r="C1351" i="8"/>
  <c r="B1351" i="8"/>
  <c r="D1351" i="8" s="1"/>
  <c r="A1353" i="8" l="1"/>
  <c r="C1352" i="8"/>
  <c r="B1352" i="8"/>
  <c r="D1352" i="8" s="1"/>
  <c r="A1354" i="8" l="1"/>
  <c r="C1353" i="8"/>
  <c r="B1353" i="8"/>
  <c r="D1353" i="8" s="1"/>
  <c r="A1355" i="8" l="1"/>
  <c r="C1354" i="8"/>
  <c r="B1354" i="8"/>
  <c r="D1354" i="8" l="1"/>
  <c r="A1356" i="8"/>
  <c r="C1355" i="8"/>
  <c r="B1355" i="8"/>
  <c r="D1355" i="8" s="1"/>
  <c r="A1357" i="8" l="1"/>
  <c r="C1356" i="8"/>
  <c r="B1356" i="8"/>
  <c r="D1356" i="8" s="1"/>
  <c r="A1358" i="8" l="1"/>
  <c r="C1357" i="8"/>
  <c r="B1357" i="8"/>
  <c r="D1357" i="8" s="1"/>
  <c r="A1359" i="8" l="1"/>
  <c r="C1358" i="8"/>
  <c r="B1358" i="8"/>
  <c r="D1358" i="8" s="1"/>
  <c r="A1360" i="8" l="1"/>
  <c r="C1359" i="8"/>
  <c r="B1359" i="8"/>
  <c r="D1359" i="8" s="1"/>
  <c r="A1361" i="8" l="1"/>
  <c r="C1360" i="8"/>
  <c r="B1360" i="8"/>
  <c r="D1360" i="8" s="1"/>
  <c r="A1362" i="8" l="1"/>
  <c r="C1361" i="8"/>
  <c r="B1361" i="8"/>
  <c r="D1361" i="8" s="1"/>
  <c r="A1363" i="8" l="1"/>
  <c r="C1362" i="8"/>
  <c r="B1362" i="8"/>
  <c r="D1362" i="8" s="1"/>
  <c r="A1364" i="8" l="1"/>
  <c r="C1363" i="8"/>
  <c r="B1363" i="8"/>
  <c r="D1363" i="8" s="1"/>
  <c r="A1365" i="8" l="1"/>
  <c r="C1364" i="8"/>
  <c r="B1364" i="8"/>
  <c r="D1364" i="8" s="1"/>
  <c r="A1366" i="8" l="1"/>
  <c r="C1365" i="8"/>
  <c r="B1365" i="8"/>
  <c r="D1365" i="8" s="1"/>
  <c r="A1367" i="8" l="1"/>
  <c r="C1366" i="8"/>
  <c r="B1366" i="8"/>
  <c r="D1366" i="8" s="1"/>
  <c r="A1368" i="8" l="1"/>
  <c r="C1367" i="8"/>
  <c r="B1367" i="8"/>
  <c r="D1367" i="8" s="1"/>
  <c r="A1369" i="8" l="1"/>
  <c r="C1368" i="8"/>
  <c r="B1368" i="8"/>
  <c r="D1368" i="8" s="1"/>
  <c r="A1370" i="8" l="1"/>
  <c r="C1369" i="8"/>
  <c r="B1369" i="8"/>
  <c r="D1369" i="8" s="1"/>
  <c r="A1371" i="8" l="1"/>
  <c r="C1370" i="8"/>
  <c r="B1370" i="8"/>
  <c r="D1370" i="8" s="1"/>
  <c r="A1372" i="8" l="1"/>
  <c r="C1371" i="8"/>
  <c r="B1371" i="8"/>
  <c r="D1371" i="8" s="1"/>
  <c r="A1373" i="8" l="1"/>
  <c r="C1372" i="8"/>
  <c r="B1372" i="8"/>
  <c r="D1372" i="8" s="1"/>
  <c r="A1374" i="8" l="1"/>
  <c r="C1373" i="8"/>
  <c r="B1373" i="8"/>
  <c r="D1373" i="8" s="1"/>
  <c r="A1375" i="8" l="1"/>
  <c r="C1374" i="8"/>
  <c r="B1374" i="8"/>
  <c r="D1374" i="8" s="1"/>
  <c r="A1376" i="8" l="1"/>
  <c r="C1375" i="8"/>
  <c r="B1375" i="8"/>
  <c r="D1375" i="8" s="1"/>
  <c r="A1377" i="8" l="1"/>
  <c r="C1376" i="8"/>
  <c r="B1376" i="8"/>
  <c r="D1376" i="8" s="1"/>
  <c r="A1378" i="8" l="1"/>
  <c r="C1377" i="8"/>
  <c r="B1377" i="8"/>
  <c r="D1377" i="8" s="1"/>
  <c r="A1379" i="8" l="1"/>
  <c r="C1378" i="8"/>
  <c r="B1378" i="8"/>
  <c r="D1378" i="8" s="1"/>
  <c r="A1380" i="8" l="1"/>
  <c r="C1379" i="8"/>
  <c r="B1379" i="8"/>
  <c r="D1379" i="8" s="1"/>
  <c r="A1381" i="8" l="1"/>
  <c r="C1380" i="8"/>
  <c r="B1380" i="8"/>
  <c r="D1380" i="8" s="1"/>
  <c r="A1382" i="8" l="1"/>
  <c r="C1381" i="8"/>
  <c r="B1381" i="8"/>
  <c r="D1381" i="8" s="1"/>
  <c r="A1383" i="8" l="1"/>
  <c r="C1382" i="8"/>
  <c r="B1382" i="8"/>
  <c r="D1382" i="8" s="1"/>
  <c r="A1384" i="8" l="1"/>
  <c r="C1383" i="8"/>
  <c r="B1383" i="8"/>
  <c r="D1383" i="8" s="1"/>
  <c r="A1385" i="8" l="1"/>
  <c r="C1384" i="8"/>
  <c r="B1384" i="8"/>
  <c r="D1384" i="8" s="1"/>
  <c r="A1386" i="8" l="1"/>
  <c r="C1385" i="8"/>
  <c r="B1385" i="8"/>
  <c r="D1385" i="8" s="1"/>
  <c r="A1387" i="8" l="1"/>
  <c r="C1386" i="8"/>
  <c r="B1386" i="8"/>
  <c r="D1386" i="8" s="1"/>
  <c r="A1388" i="8" l="1"/>
  <c r="C1387" i="8"/>
  <c r="B1387" i="8"/>
  <c r="D1387" i="8" l="1"/>
  <c r="A1389" i="8"/>
  <c r="C1388" i="8"/>
  <c r="B1388" i="8"/>
  <c r="D1388" i="8" s="1"/>
  <c r="A1390" i="8" l="1"/>
  <c r="C1389" i="8"/>
  <c r="B1389" i="8"/>
  <c r="D1389" i="8" s="1"/>
  <c r="A1391" i="8" l="1"/>
  <c r="C1390" i="8"/>
  <c r="B1390" i="8"/>
  <c r="D1390" i="8" s="1"/>
  <c r="A1392" i="8" l="1"/>
  <c r="C1391" i="8"/>
  <c r="B1391" i="8"/>
  <c r="D1391" i="8" s="1"/>
  <c r="A1393" i="8" l="1"/>
  <c r="C1392" i="8"/>
  <c r="B1392" i="8"/>
  <c r="D1392" i="8" s="1"/>
  <c r="A1394" i="8" l="1"/>
  <c r="C1393" i="8"/>
  <c r="B1393" i="8"/>
  <c r="D1393" i="8" s="1"/>
  <c r="A1395" i="8" l="1"/>
  <c r="C1394" i="8"/>
  <c r="B1394" i="8"/>
  <c r="D1394" i="8" l="1"/>
  <c r="A1396" i="8"/>
  <c r="C1395" i="8"/>
  <c r="B1395" i="8"/>
  <c r="D1395" i="8" s="1"/>
  <c r="A1397" i="8" l="1"/>
  <c r="C1396" i="8"/>
  <c r="B1396" i="8"/>
  <c r="D1396" i="8" s="1"/>
  <c r="A1398" i="8" l="1"/>
  <c r="C1397" i="8"/>
  <c r="B1397" i="8"/>
  <c r="D1397" i="8" s="1"/>
  <c r="A1399" i="8" l="1"/>
  <c r="C1398" i="8"/>
  <c r="B1398" i="8"/>
  <c r="D1398" i="8" l="1"/>
  <c r="A1400" i="8"/>
  <c r="C1399" i="8"/>
  <c r="B1399" i="8"/>
  <c r="D1399" i="8" s="1"/>
  <c r="A1401" i="8" l="1"/>
  <c r="C1400" i="8"/>
  <c r="B1400" i="8"/>
  <c r="D1400" i="8" l="1"/>
  <c r="A1402" i="8"/>
  <c r="C1401" i="8"/>
  <c r="B1401" i="8"/>
  <c r="D1401" i="8" s="1"/>
  <c r="A1403" i="8" l="1"/>
  <c r="C1402" i="8"/>
  <c r="B1402" i="8"/>
  <c r="D1402" i="8" s="1"/>
  <c r="A1404" i="8" l="1"/>
  <c r="C1403" i="8"/>
  <c r="B1403" i="8"/>
  <c r="D1403" i="8" s="1"/>
  <c r="A1405" i="8" l="1"/>
  <c r="C1404" i="8"/>
  <c r="B1404" i="8"/>
  <c r="D1404" i="8" s="1"/>
  <c r="A1406" i="8" l="1"/>
  <c r="C1405" i="8"/>
  <c r="B1405" i="8"/>
  <c r="D1405" i="8" s="1"/>
  <c r="A1407" i="8" l="1"/>
  <c r="C1406" i="8"/>
  <c r="B1406" i="8"/>
  <c r="D1406" i="8" s="1"/>
  <c r="A1408" i="8" l="1"/>
  <c r="C1407" i="8"/>
  <c r="B1407" i="8"/>
  <c r="D1407" i="8" s="1"/>
  <c r="A1409" i="8" l="1"/>
  <c r="C1408" i="8"/>
  <c r="B1408" i="8"/>
  <c r="D1408" i="8" s="1"/>
  <c r="A1410" i="8" l="1"/>
  <c r="C1409" i="8"/>
  <c r="B1409" i="8"/>
  <c r="D1409" i="8" s="1"/>
  <c r="A1411" i="8" l="1"/>
  <c r="C1410" i="8"/>
  <c r="B1410" i="8"/>
  <c r="D1410" i="8" s="1"/>
  <c r="A1412" i="8" l="1"/>
  <c r="C1411" i="8"/>
  <c r="B1411" i="8"/>
  <c r="D1411" i="8" s="1"/>
  <c r="A1413" i="8" l="1"/>
  <c r="C1412" i="8"/>
  <c r="B1412" i="8"/>
  <c r="D1412" i="8" s="1"/>
  <c r="A1414" i="8" l="1"/>
  <c r="C1413" i="8"/>
  <c r="B1413" i="8"/>
  <c r="D1413" i="8" s="1"/>
  <c r="A1415" i="8" l="1"/>
  <c r="C1414" i="8"/>
  <c r="B1414" i="8"/>
  <c r="D1414" i="8" s="1"/>
  <c r="A1416" i="8" l="1"/>
  <c r="C1415" i="8"/>
  <c r="B1415" i="8"/>
  <c r="D1415" i="8" s="1"/>
  <c r="A1417" i="8" l="1"/>
  <c r="C1416" i="8"/>
  <c r="B1416" i="8"/>
  <c r="D1416" i="8" s="1"/>
  <c r="A1418" i="8" l="1"/>
  <c r="C1417" i="8"/>
  <c r="B1417" i="8"/>
  <c r="D1417" i="8" s="1"/>
  <c r="A1419" i="8" l="1"/>
  <c r="C1418" i="8"/>
  <c r="B1418" i="8"/>
  <c r="D1418" i="8" s="1"/>
  <c r="A1420" i="8" l="1"/>
  <c r="C1419" i="8"/>
  <c r="B1419" i="8"/>
  <c r="D1419" i="8" s="1"/>
  <c r="A1421" i="8" l="1"/>
  <c r="C1420" i="8"/>
  <c r="B1420" i="8"/>
  <c r="D1420" i="8" l="1"/>
  <c r="A1422" i="8"/>
  <c r="C1421" i="8"/>
  <c r="B1421" i="8"/>
  <c r="D1421" i="8" s="1"/>
  <c r="A1423" i="8" l="1"/>
  <c r="C1422" i="8"/>
  <c r="B1422" i="8"/>
  <c r="D1422" i="8" s="1"/>
  <c r="A1424" i="8" l="1"/>
  <c r="C1423" i="8"/>
  <c r="B1423" i="8"/>
  <c r="D1423" i="8" s="1"/>
  <c r="A1425" i="8" l="1"/>
  <c r="C1424" i="8"/>
  <c r="B1424" i="8"/>
  <c r="D1424" i="8" s="1"/>
  <c r="A1426" i="8" l="1"/>
  <c r="C1425" i="8"/>
  <c r="B1425" i="8"/>
  <c r="D1425" i="8" s="1"/>
  <c r="A1427" i="8" l="1"/>
  <c r="C1426" i="8"/>
  <c r="B1426" i="8"/>
  <c r="D1426" i="8" s="1"/>
  <c r="A1428" i="8" l="1"/>
  <c r="C1427" i="8"/>
  <c r="B1427" i="8"/>
  <c r="D1427" i="8" s="1"/>
  <c r="A1429" i="8" l="1"/>
  <c r="C1428" i="8"/>
  <c r="B1428" i="8"/>
  <c r="D1428" i="8" s="1"/>
  <c r="A1430" i="8" l="1"/>
  <c r="C1429" i="8"/>
  <c r="B1429" i="8"/>
  <c r="D1429" i="8" s="1"/>
  <c r="A1431" i="8" l="1"/>
  <c r="C1430" i="8"/>
  <c r="B1430" i="8"/>
  <c r="D1430" i="8" l="1"/>
  <c r="A1432" i="8"/>
  <c r="C1431" i="8"/>
  <c r="B1431" i="8"/>
  <c r="D1431" i="8" s="1"/>
  <c r="A1433" i="8" l="1"/>
  <c r="C1432" i="8"/>
  <c r="B1432" i="8"/>
  <c r="D1432" i="8" s="1"/>
  <c r="A1434" i="8" l="1"/>
  <c r="C1433" i="8"/>
  <c r="B1433" i="8"/>
  <c r="D1433" i="8" s="1"/>
  <c r="A1435" i="8" l="1"/>
  <c r="C1434" i="8"/>
  <c r="B1434" i="8"/>
  <c r="D1434" i="8" s="1"/>
  <c r="A1436" i="8" l="1"/>
  <c r="C1435" i="8"/>
  <c r="B1435" i="8"/>
  <c r="D1435" i="8" s="1"/>
  <c r="A1437" i="8" l="1"/>
  <c r="C1436" i="8"/>
  <c r="B1436" i="8"/>
  <c r="D1436" i="8" s="1"/>
  <c r="A1438" i="8" l="1"/>
  <c r="C1437" i="8"/>
  <c r="B1437" i="8"/>
  <c r="D1437" i="8" s="1"/>
  <c r="A1439" i="8" l="1"/>
  <c r="C1438" i="8"/>
  <c r="B1438" i="8"/>
  <c r="D1438" i="8" s="1"/>
  <c r="A1440" i="8" l="1"/>
  <c r="C1439" i="8"/>
  <c r="B1439" i="8"/>
  <c r="D1439" i="8" s="1"/>
  <c r="A1441" i="8" l="1"/>
  <c r="C1440" i="8"/>
  <c r="B1440" i="8"/>
  <c r="D1440" i="8" s="1"/>
  <c r="A1442" i="8" l="1"/>
  <c r="C1441" i="8"/>
  <c r="B1441" i="8"/>
  <c r="D1441" i="8" s="1"/>
  <c r="A1443" i="8" l="1"/>
  <c r="C1442" i="8"/>
  <c r="B1442" i="8"/>
  <c r="D1442" i="8" s="1"/>
  <c r="A1444" i="8" l="1"/>
  <c r="C1443" i="8"/>
  <c r="B1443" i="8"/>
  <c r="D1443" i="8" s="1"/>
  <c r="A1445" i="8" l="1"/>
  <c r="C1444" i="8"/>
  <c r="B1444" i="8"/>
  <c r="D1444" i="8" s="1"/>
  <c r="A1446" i="8" l="1"/>
  <c r="C1445" i="8"/>
  <c r="B1445" i="8"/>
  <c r="D1445" i="8" s="1"/>
  <c r="A1447" i="8" l="1"/>
  <c r="C1446" i="8"/>
  <c r="B1446" i="8"/>
  <c r="D1446" i="8" s="1"/>
  <c r="A1448" i="8" l="1"/>
  <c r="C1447" i="8"/>
  <c r="B1447" i="8"/>
  <c r="D1447" i="8" s="1"/>
  <c r="A1449" i="8" l="1"/>
  <c r="C1448" i="8"/>
  <c r="B1448" i="8"/>
  <c r="D1448" i="8" l="1"/>
  <c r="A1450" i="8"/>
  <c r="C1449" i="8"/>
  <c r="B1449" i="8"/>
  <c r="D1449" i="8" s="1"/>
  <c r="A1451" i="8" l="1"/>
  <c r="C1450" i="8"/>
  <c r="B1450" i="8"/>
  <c r="D1450" i="8" s="1"/>
  <c r="A1452" i="8" l="1"/>
  <c r="C1451" i="8"/>
  <c r="B1451" i="8"/>
  <c r="D1451" i="8" s="1"/>
  <c r="A1453" i="8" l="1"/>
  <c r="C1452" i="8"/>
  <c r="B1452" i="8"/>
  <c r="D1452" i="8" s="1"/>
  <c r="A1454" i="8" l="1"/>
  <c r="C1453" i="8"/>
  <c r="B1453" i="8"/>
  <c r="D1453" i="8" s="1"/>
  <c r="A1455" i="8" l="1"/>
  <c r="C1454" i="8"/>
  <c r="B1454" i="8"/>
  <c r="D1454" i="8" s="1"/>
  <c r="A1456" i="8" l="1"/>
  <c r="C1455" i="8"/>
  <c r="B1455" i="8"/>
  <c r="D1455" i="8" l="1"/>
  <c r="A1457" i="8"/>
  <c r="C1456" i="8"/>
  <c r="B1456" i="8"/>
  <c r="D1456" i="8" s="1"/>
  <c r="A1458" i="8" l="1"/>
  <c r="C1457" i="8"/>
  <c r="B1457" i="8"/>
  <c r="D1457" i="8" s="1"/>
  <c r="A1459" i="8" l="1"/>
  <c r="C1458" i="8"/>
  <c r="B1458" i="8"/>
  <c r="D1458" i="8" s="1"/>
  <c r="A1460" i="8" l="1"/>
  <c r="C1459" i="8"/>
  <c r="B1459" i="8"/>
  <c r="D1459" i="8" s="1"/>
  <c r="A1461" i="8" l="1"/>
  <c r="C1460" i="8"/>
  <c r="B1460" i="8"/>
  <c r="D1460" i="8" s="1"/>
  <c r="A1462" i="8" l="1"/>
  <c r="C1461" i="8"/>
  <c r="B1461" i="8"/>
  <c r="D1461" i="8" s="1"/>
  <c r="A1463" i="8" l="1"/>
  <c r="C1462" i="8"/>
  <c r="B1462" i="8"/>
  <c r="D1462" i="8" s="1"/>
  <c r="A1464" i="8" l="1"/>
  <c r="C1463" i="8"/>
  <c r="B1463" i="8"/>
  <c r="D1463" i="8" s="1"/>
  <c r="A1465" i="8" l="1"/>
  <c r="C1464" i="8"/>
  <c r="B1464" i="8"/>
  <c r="D1464" i="8" s="1"/>
  <c r="A1466" i="8" l="1"/>
  <c r="C1465" i="8"/>
  <c r="B1465" i="8"/>
  <c r="D1465" i="8" s="1"/>
  <c r="A1467" i="8" l="1"/>
  <c r="C1466" i="8"/>
  <c r="B1466" i="8"/>
  <c r="D1466" i="8" s="1"/>
  <c r="A1468" i="8" l="1"/>
  <c r="C1467" i="8"/>
  <c r="B1467" i="8"/>
  <c r="D1467" i="8" l="1"/>
  <c r="A1469" i="8"/>
  <c r="C1468" i="8"/>
  <c r="B1468" i="8"/>
  <c r="D1468" i="8" s="1"/>
  <c r="A1470" i="8" l="1"/>
  <c r="C1469" i="8"/>
  <c r="B1469" i="8"/>
  <c r="D1469" i="8" s="1"/>
  <c r="A1471" i="8" l="1"/>
  <c r="C1470" i="8"/>
  <c r="B1470" i="8"/>
  <c r="D1470" i="8" s="1"/>
  <c r="A1472" i="8" l="1"/>
  <c r="C1471" i="8"/>
  <c r="B1471" i="8"/>
  <c r="D1471" i="8" s="1"/>
  <c r="A1473" i="8" l="1"/>
  <c r="C1472" i="8"/>
  <c r="B1472" i="8"/>
  <c r="D1472" i="8" s="1"/>
  <c r="A1474" i="8" l="1"/>
  <c r="C1473" i="8"/>
  <c r="B1473" i="8"/>
  <c r="D1473" i="8" s="1"/>
  <c r="A1475" i="8" l="1"/>
  <c r="C1474" i="8"/>
  <c r="B1474" i="8"/>
  <c r="D1474" i="8" s="1"/>
  <c r="A1476" i="8" l="1"/>
  <c r="C1475" i="8"/>
  <c r="B1475" i="8"/>
  <c r="D1475" i="8" s="1"/>
  <c r="A1477" i="8" l="1"/>
  <c r="C1476" i="8"/>
  <c r="B1476" i="8"/>
  <c r="D1476" i="8" s="1"/>
  <c r="A1478" i="8" l="1"/>
  <c r="C1477" i="8"/>
  <c r="B1477" i="8"/>
  <c r="D1477" i="8" s="1"/>
  <c r="A1479" i="8" l="1"/>
  <c r="C1478" i="8"/>
  <c r="B1478" i="8"/>
  <c r="D1478" i="8" s="1"/>
  <c r="A1480" i="8" l="1"/>
  <c r="C1479" i="8"/>
  <c r="B1479" i="8"/>
  <c r="D1479" i="8" l="1"/>
  <c r="A1481" i="8"/>
  <c r="C1480" i="8"/>
  <c r="B1480" i="8"/>
  <c r="D1480" i="8" s="1"/>
  <c r="A1482" i="8" l="1"/>
  <c r="C1481" i="8"/>
  <c r="B1481" i="8"/>
  <c r="D1481" i="8" s="1"/>
  <c r="A1483" i="8" l="1"/>
  <c r="C1482" i="8"/>
  <c r="B1482" i="8"/>
  <c r="D1482" i="8" s="1"/>
  <c r="A1484" i="8" l="1"/>
  <c r="C1483" i="8"/>
  <c r="B1483" i="8"/>
  <c r="D1483" i="8" s="1"/>
  <c r="A1485" i="8" l="1"/>
  <c r="C1484" i="8"/>
  <c r="B1484" i="8"/>
  <c r="D1484" i="8" s="1"/>
  <c r="A1486" i="8" l="1"/>
  <c r="C1485" i="8"/>
  <c r="B1485" i="8"/>
  <c r="D1485" i="8" l="1"/>
  <c r="A1487" i="8"/>
  <c r="C1486" i="8"/>
  <c r="B1486" i="8"/>
  <c r="D1486" i="8" s="1"/>
  <c r="A1488" i="8" l="1"/>
  <c r="C1487" i="8"/>
  <c r="B1487" i="8"/>
  <c r="D1487" i="8" s="1"/>
  <c r="A1489" i="8" l="1"/>
  <c r="C1488" i="8"/>
  <c r="B1488" i="8"/>
  <c r="D1488" i="8" s="1"/>
  <c r="A1490" i="8" l="1"/>
  <c r="C1489" i="8"/>
  <c r="B1489" i="8"/>
  <c r="D1489" i="8" s="1"/>
  <c r="A1491" i="8" l="1"/>
  <c r="C1490" i="8"/>
  <c r="B1490" i="8"/>
  <c r="D1490" i="8" s="1"/>
  <c r="A1492" i="8" l="1"/>
  <c r="C1491" i="8"/>
  <c r="B1491" i="8"/>
  <c r="D1491" i="8" s="1"/>
  <c r="A1493" i="8" l="1"/>
  <c r="C1492" i="8"/>
  <c r="B1492" i="8"/>
  <c r="D1492" i="8" s="1"/>
  <c r="A1494" i="8" l="1"/>
  <c r="C1493" i="8"/>
  <c r="B1493" i="8"/>
  <c r="D1493" i="8" s="1"/>
  <c r="A1495" i="8" l="1"/>
  <c r="C1494" i="8"/>
  <c r="B1494" i="8"/>
  <c r="D1494" i="8" s="1"/>
  <c r="A1496" i="8" l="1"/>
  <c r="C1495" i="8"/>
  <c r="B1495" i="8"/>
  <c r="D1495" i="8" l="1"/>
  <c r="A1497" i="8"/>
  <c r="C1496" i="8"/>
  <c r="B1496" i="8"/>
  <c r="D1496" i="8" s="1"/>
  <c r="A1498" i="8" l="1"/>
  <c r="C1497" i="8"/>
  <c r="B1497" i="8"/>
  <c r="D1497" i="8" s="1"/>
  <c r="A1499" i="8" l="1"/>
  <c r="C1498" i="8"/>
  <c r="B1498" i="8"/>
  <c r="D1498" i="8" s="1"/>
  <c r="A1500" i="8" l="1"/>
  <c r="C1499" i="8"/>
  <c r="B1499" i="8"/>
  <c r="D1499" i="8" s="1"/>
  <c r="A1501" i="8" l="1"/>
  <c r="C1500" i="8"/>
  <c r="B1500" i="8"/>
  <c r="D1500" i="8" s="1"/>
  <c r="A1502" i="8" l="1"/>
  <c r="C1501" i="8"/>
  <c r="B1501" i="8"/>
  <c r="D1501" i="8" s="1"/>
  <c r="A1503" i="8" l="1"/>
  <c r="C1502" i="8"/>
  <c r="B1502" i="8"/>
  <c r="D1502" i="8" s="1"/>
  <c r="A1504" i="8" l="1"/>
  <c r="C1503" i="8"/>
  <c r="B1503" i="8"/>
  <c r="D1503" i="8" s="1"/>
  <c r="A1505" i="8" l="1"/>
  <c r="C1504" i="8"/>
  <c r="B1504" i="8"/>
  <c r="D1504" i="8" s="1"/>
  <c r="A1506" i="8" l="1"/>
  <c r="C1505" i="8"/>
  <c r="B1505" i="8"/>
  <c r="D1505" i="8" s="1"/>
  <c r="A1507" i="8" l="1"/>
  <c r="C1506" i="8"/>
  <c r="B1506" i="8"/>
  <c r="D1506" i="8" s="1"/>
  <c r="A1508" i="8" l="1"/>
  <c r="C1507" i="8"/>
  <c r="B1507" i="8"/>
  <c r="D1507" i="8" l="1"/>
  <c r="A1509" i="8"/>
  <c r="C1508" i="8"/>
  <c r="B1508" i="8"/>
  <c r="D1508" i="8" s="1"/>
  <c r="A1510" i="8" l="1"/>
  <c r="C1509" i="8"/>
  <c r="B1509" i="8"/>
  <c r="D1509" i="8" s="1"/>
  <c r="A1511" i="8" l="1"/>
  <c r="C1510" i="8"/>
  <c r="B1510" i="8"/>
  <c r="D1510" i="8" s="1"/>
  <c r="A1512" i="8" l="1"/>
  <c r="C1511" i="8"/>
  <c r="B1511" i="8"/>
  <c r="D1511" i="8" s="1"/>
  <c r="A1513" i="8" l="1"/>
  <c r="C1512" i="8"/>
  <c r="B1512" i="8"/>
  <c r="D1512" i="8" s="1"/>
  <c r="A1514" i="8" l="1"/>
  <c r="C1513" i="8"/>
  <c r="B1513" i="8"/>
  <c r="D1513" i="8" s="1"/>
  <c r="A1515" i="8" l="1"/>
  <c r="C1514" i="8"/>
  <c r="B1514" i="8"/>
  <c r="D1514" i="8" s="1"/>
  <c r="A1516" i="8" l="1"/>
  <c r="C1515" i="8"/>
  <c r="B1515" i="8"/>
  <c r="D1515" i="8" s="1"/>
  <c r="A1517" i="8" l="1"/>
  <c r="C1516" i="8"/>
  <c r="B1516" i="8"/>
  <c r="D1516" i="8" s="1"/>
  <c r="A1518" i="8" l="1"/>
  <c r="C1517" i="8"/>
  <c r="B1517" i="8"/>
  <c r="D1517" i="8" s="1"/>
  <c r="A1519" i="8" l="1"/>
  <c r="C1518" i="8"/>
  <c r="B1518" i="8"/>
  <c r="D1518" i="8" s="1"/>
  <c r="A1520" i="8" l="1"/>
  <c r="C1519" i="8"/>
  <c r="B1519" i="8"/>
  <c r="D1519" i="8" s="1"/>
  <c r="A1521" i="8" l="1"/>
  <c r="C1520" i="8"/>
  <c r="B1520" i="8"/>
  <c r="D1520" i="8" s="1"/>
  <c r="A1522" i="8" l="1"/>
  <c r="C1521" i="8"/>
  <c r="B1521" i="8"/>
  <c r="D1521" i="8" s="1"/>
  <c r="A1523" i="8" l="1"/>
  <c r="C1522" i="8"/>
  <c r="B1522" i="8"/>
  <c r="D1522" i="8" s="1"/>
  <c r="A1524" i="8" l="1"/>
  <c r="C1523" i="8"/>
  <c r="B1523" i="8"/>
  <c r="D1523" i="8" s="1"/>
  <c r="A1525" i="8" l="1"/>
  <c r="C1524" i="8"/>
  <c r="B1524" i="8"/>
  <c r="D1524" i="8" s="1"/>
  <c r="A1526" i="8" l="1"/>
  <c r="C1525" i="8"/>
  <c r="B1525" i="8"/>
  <c r="D1525" i="8" s="1"/>
  <c r="A1527" i="8" l="1"/>
  <c r="C1526" i="8"/>
  <c r="B1526" i="8"/>
  <c r="D1526" i="8" s="1"/>
  <c r="A1528" i="8" l="1"/>
  <c r="C1527" i="8"/>
  <c r="B1527" i="8"/>
  <c r="D1527" i="8" s="1"/>
  <c r="A1529" i="8" l="1"/>
  <c r="C1528" i="8"/>
  <c r="B1528" i="8"/>
  <c r="D1528" i="8" s="1"/>
  <c r="A1530" i="8" l="1"/>
  <c r="C1529" i="8"/>
  <c r="B1529" i="8"/>
  <c r="D1529" i="8" s="1"/>
  <c r="A1531" i="8" l="1"/>
  <c r="C1530" i="8"/>
  <c r="B1530" i="8"/>
  <c r="D1530" i="8" s="1"/>
  <c r="A1532" i="8" l="1"/>
  <c r="C1531" i="8"/>
  <c r="B1531" i="8"/>
  <c r="D1531" i="8" s="1"/>
  <c r="A1533" i="8" l="1"/>
  <c r="C1532" i="8"/>
  <c r="B1532" i="8"/>
  <c r="D1532" i="8" s="1"/>
  <c r="A1534" i="8" l="1"/>
  <c r="C1533" i="8"/>
  <c r="B1533" i="8"/>
  <c r="D1533" i="8" s="1"/>
  <c r="A1535" i="8" l="1"/>
  <c r="C1534" i="8"/>
  <c r="B1534" i="8"/>
  <c r="D1534" i="8" s="1"/>
  <c r="A1536" i="8" l="1"/>
  <c r="C1535" i="8"/>
  <c r="B1535" i="8"/>
  <c r="D1535" i="8" s="1"/>
  <c r="A1537" i="8" l="1"/>
  <c r="C1536" i="8"/>
  <c r="B1536" i="8"/>
  <c r="D1536" i="8" s="1"/>
  <c r="A1538" i="8" l="1"/>
  <c r="C1537" i="8"/>
  <c r="B1537" i="8"/>
  <c r="D1537" i="8" s="1"/>
  <c r="A1539" i="8" l="1"/>
  <c r="C1538" i="8"/>
  <c r="B1538" i="8"/>
  <c r="D1538" i="8" s="1"/>
  <c r="A1540" i="8" l="1"/>
  <c r="C1539" i="8"/>
  <c r="B1539" i="8"/>
  <c r="D1539" i="8" s="1"/>
  <c r="A1541" i="8" l="1"/>
  <c r="C1540" i="8"/>
  <c r="B1540" i="8"/>
  <c r="D1540" i="8" s="1"/>
  <c r="A1542" i="8" l="1"/>
  <c r="C1541" i="8"/>
  <c r="B1541" i="8"/>
  <c r="D1541" i="8" l="1"/>
  <c r="A1543" i="8"/>
  <c r="C1542" i="8"/>
  <c r="B1542" i="8"/>
  <c r="D1542" i="8" s="1"/>
  <c r="A1544" i="8" l="1"/>
  <c r="C1543" i="8"/>
  <c r="B1543" i="8"/>
  <c r="D1543" i="8" s="1"/>
  <c r="A1545" i="8" l="1"/>
  <c r="C1544" i="8"/>
  <c r="B1544" i="8"/>
  <c r="D1544" i="8" s="1"/>
  <c r="A1546" i="8" l="1"/>
  <c r="C1545" i="8"/>
  <c r="B1545" i="8"/>
  <c r="D1545" i="8" s="1"/>
  <c r="A1547" i="8" l="1"/>
  <c r="C1547" i="8" s="1"/>
  <c r="C1546" i="8"/>
  <c r="B1547" i="8"/>
  <c r="D1547" i="8" s="1"/>
  <c r="D9" i="8" s="1"/>
  <c r="D10" i="8" s="1"/>
  <c r="B1546" i="8"/>
  <c r="D1546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M2" authorId="0" shapeId="0" xr:uid="{93556A48-7F6F-4E59-A066-D71E4287D6B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地址打拍
数据打拍
Vld打拍</t>
        </r>
      </text>
    </comment>
    <comment ref="O2" authorId="0" shapeId="0" xr:uid="{724BAED8-2DCF-4409-8E53-422D44DB137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数据打拍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E5" authorId="0" shapeId="0" xr:uid="{625B7B2E-10E1-4C10-B28A-0BDE611566C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5" authorId="0" shapeId="0" xr:uid="{8B6A0EAD-A572-4E89-A930-DC48E4A6A1A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10" authorId="0" shapeId="0" xr:uid="{C985C5AF-712C-423B-9266-53F60EAFAA1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10" authorId="0" shapeId="0" xr:uid="{59F5F9E0-1354-405E-B6AD-92C8FC539F69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10" authorId="0" shapeId="0" xr:uid="{D66F1342-7F98-464F-AAFB-13F04B588DA0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10" authorId="0" shapeId="0" xr:uid="{0F6DBC94-3AE1-49A4-8B38-31200E4EF55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10" authorId="0" shapeId="0" xr:uid="{0589ECDB-FAED-4569-9BB6-F4AB4BF3BDD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10" authorId="0" shapeId="0" xr:uid="{B8DAA03A-1666-4D07-8F28-B957DEA8ED2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H15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15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15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20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20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25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25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G30" authorId="0" shapeId="0" xr:uid="{D9410E5A-14F6-4AB4-9226-B89B815CAFA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非零，则生成输入指针表。一般用于BDPA指针</t>
        </r>
      </text>
    </comment>
    <comment ref="P30" authorId="0" shapeId="0" xr:uid="{06FA3A83-4689-427F-A084-7348CCED063A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每个节点的最大
权重值.0表示无权重</t>
        </r>
      </text>
    </comment>
    <comment ref="E35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35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35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<sst xmlns="http://schemas.openxmlformats.org/spreadsheetml/2006/main" count="248" uniqueCount="168">
  <si>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</si>
  <si>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</si>
  <si>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</si>
  <si>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</si>
  <si>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</si>
  <si>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</si>
  <si>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</si>
  <si>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</si>
  <si>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</si>
  <si>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</si>
  <si>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</si>
  <si>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</si>
  <si>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</si>
  <si>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</si>
  <si>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</si>
  <si>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</si>
  <si>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</si>
  <si>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</si>
  <si>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</si>
  <si>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</si>
  <si>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</si>
  <si>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</si>
  <si>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</si>
  <si>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</si>
  <si>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</si>
  <si>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</si>
  <si>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</si>
  <si>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</si>
  <si>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</si>
  <si>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</si>
  <si>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</si>
  <si>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</si>
  <si>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</si>
  <si>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</si>
  <si>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</si>
  <si>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</si>
  <si>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</si>
  <si>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</si>
  <si>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</si>
  <si>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</si>
  <si>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</si>
  <si>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</si>
  <si>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</si>
  <si>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</si>
  <si>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CacheDepth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</si>
  <si>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</si>
  <si>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</si>
  <si>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</si>
  <si>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</si>
  <si>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</si>
  <si>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</si>
  <si>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</si>
  <si>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</si>
  <si>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</si>
  <si>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</si>
  <si>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</si>
  <si>
    <t>1. 模块被复位后，需要清空自己产生的反压状态</t>
    <phoneticPr fontId="1" type="noConversion"/>
  </si>
  <si>
    <t>BDPA</t>
  </si>
  <si>
    <t>tn</t>
    <phoneticPr fontId="1" type="noConversion"/>
  </si>
  <si>
    <t>d</t>
    <phoneticPr fontId="1" type="noConversion"/>
  </si>
  <si>
    <t>Weight</t>
    <phoneticPr fontId="1" type="noConversion"/>
  </si>
  <si>
    <t>Copy Num</t>
    <phoneticPr fontId="1" type="noConversion"/>
  </si>
  <si>
    <t>Name</t>
    <phoneticPr fontId="1" type="noConversion"/>
  </si>
  <si>
    <t>Id</t>
    <phoneticPr fontId="1" type="noConversion"/>
  </si>
  <si>
    <t>Pid</t>
    <phoneticPr fontId="1" type="noConversion"/>
  </si>
  <si>
    <t>镜像</t>
    <phoneticPr fontId="1" type="noConversion"/>
  </si>
  <si>
    <t>原始多播</t>
    <phoneticPr fontId="1" type="noConversion"/>
  </si>
  <si>
    <t>Mirror</t>
    <phoneticPr fontId="1" type="noConversion"/>
  </si>
  <si>
    <t>Sample</t>
    <phoneticPr fontId="1" type="noConversion"/>
  </si>
  <si>
    <t>Copy</t>
    <phoneticPr fontId="1" type="noConversion"/>
  </si>
  <si>
    <t>上环多播</t>
    <phoneticPr fontId="1" type="noConversion"/>
  </si>
  <si>
    <t>平面复制</t>
    <phoneticPr fontId="1" type="noConversion"/>
  </si>
  <si>
    <t>平面内复制</t>
    <phoneticPr fontId="1" type="noConversion"/>
  </si>
  <si>
    <t>FNUM bits</t>
    <phoneticPr fontId="1" type="noConversion"/>
  </si>
  <si>
    <t>FCNT bits</t>
    <phoneticPr fontId="1" type="noConversion"/>
  </si>
  <si>
    <t>Stage</t>
    <phoneticPr fontId="1" type="noConversion"/>
  </si>
  <si>
    <t>Stage</t>
    <phoneticPr fontId="1" type="noConversion"/>
  </si>
  <si>
    <t>Copy among SWP</t>
    <phoneticPr fontId="1" type="noConversion"/>
  </si>
  <si>
    <t>上环Mirror</t>
    <phoneticPr fontId="1" type="noConversion"/>
  </si>
  <si>
    <t>上环Mirror复制</t>
    <phoneticPr fontId="1" type="noConversion"/>
  </si>
  <si>
    <t>本地平面复制</t>
    <phoneticPr fontId="1" type="noConversion"/>
  </si>
  <si>
    <t>本地复制</t>
    <phoneticPr fontId="1" type="noConversion"/>
  </si>
  <si>
    <t>上环Sample</t>
    <phoneticPr fontId="1" type="noConversion"/>
  </si>
  <si>
    <t>上环Sample复制</t>
    <phoneticPr fontId="1" type="noConversion"/>
  </si>
  <si>
    <t>本地复制</t>
    <phoneticPr fontId="1" type="noConversion"/>
  </si>
  <si>
    <t>TSMC FF7</t>
    <phoneticPr fontId="1" type="noConversion"/>
  </si>
  <si>
    <t>Memory上走线密度</t>
    <phoneticPr fontId="1" type="noConversion"/>
  </si>
  <si>
    <t>Value</t>
    <phoneticPr fontId="1" type="noConversion"/>
  </si>
  <si>
    <t>lines/100u</t>
    <phoneticPr fontId="1" type="noConversion"/>
  </si>
  <si>
    <t>Fit Through走线密度</t>
    <phoneticPr fontId="1" type="noConversion"/>
  </si>
  <si>
    <t>穿线系数</t>
    <phoneticPr fontId="1" type="noConversion"/>
  </si>
  <si>
    <t>0.7~0.8</t>
    <phoneticPr fontId="1" type="noConversion"/>
  </si>
  <si>
    <t>寄存器驱动距离</t>
    <phoneticPr fontId="1" type="noConversion"/>
  </si>
  <si>
    <t>um</t>
    <phoneticPr fontId="1" type="noConversion"/>
  </si>
  <si>
    <t>700@1.35GHz</t>
    <phoneticPr fontId="1" type="noConversion"/>
  </si>
  <si>
    <t>IO密度</t>
    <phoneticPr fontId="1" type="noConversion"/>
  </si>
  <si>
    <t>IOs/100u</t>
    <phoneticPr fontId="1" type="noConversion"/>
  </si>
  <si>
    <t>Buf驱动距离</t>
    <phoneticPr fontId="1" type="noConversion"/>
  </si>
  <si>
    <t>2300@13layer</t>
    <phoneticPr fontId="1" type="noConversion"/>
  </si>
  <si>
    <t>1150@13layer</t>
    <phoneticPr fontId="1" type="noConversion"/>
  </si>
  <si>
    <t>Step</t>
    <phoneticPr fontId="1" type="noConversion"/>
  </si>
  <si>
    <t>Feature</t>
    <phoneticPr fontId="1" type="noConversion"/>
  </si>
  <si>
    <t>Scenario</t>
    <phoneticPr fontId="1" type="noConversion"/>
  </si>
  <si>
    <t>Latency</t>
    <phoneticPr fontId="1" type="noConversion"/>
  </si>
  <si>
    <t>xxx</t>
  </si>
  <si>
    <t>xxx</t>
    <phoneticPr fontId="1" type="noConversion"/>
  </si>
  <si>
    <t>Latency
(clocks)</t>
    <phoneticPr fontId="1" type="noConversion"/>
  </si>
  <si>
    <t>Scenario1</t>
    <phoneticPr fontId="1" type="noConversion"/>
  </si>
  <si>
    <t>Scenario2</t>
  </si>
  <si>
    <t>Scenario3</t>
  </si>
  <si>
    <t>Scenario4</t>
  </si>
  <si>
    <t>Scenario5</t>
  </si>
  <si>
    <t>Scenario6</t>
  </si>
  <si>
    <t>Scenario Names</t>
    <phoneticPr fontId="1" type="noConversion"/>
  </si>
  <si>
    <t>yyy</t>
    <phoneticPr fontId="1" type="noConversion"/>
  </si>
  <si>
    <t>Path</t>
    <phoneticPr fontId="1" type="noConversion"/>
  </si>
  <si>
    <t>Brach</t>
    <phoneticPr fontId="1" type="noConversion"/>
  </si>
  <si>
    <t>ID</t>
    <phoneticPr fontId="1" type="noConversion"/>
  </si>
  <si>
    <t>END</t>
    <phoneticPr fontId="1" type="noConversion"/>
  </si>
  <si>
    <t>hahah</t>
    <phoneticPr fontId="1" type="noConversion"/>
  </si>
  <si>
    <t>ttt</t>
    <phoneticPr fontId="1" type="noConversion"/>
  </si>
  <si>
    <t>Compensation</t>
    <phoneticPr fontId="1" type="noConversion"/>
  </si>
  <si>
    <t>寄存器面积/bit</t>
    <phoneticPr fontId="1" type="noConversion"/>
  </si>
  <si>
    <t>um^2/bit</t>
    <phoneticPr fontId="1" type="noConversion"/>
  </si>
  <si>
    <t>bwa</t>
    <phoneticPr fontId="1" type="noConversion"/>
  </si>
  <si>
    <t>test</t>
    <phoneticPr fontId="1" type="noConversion"/>
  </si>
  <si>
    <t>Packet Length
(Byte)</t>
    <phoneticPr fontId="1" type="noConversion"/>
  </si>
  <si>
    <t>IPG(Byte)</t>
    <phoneticPr fontId="1" type="noConversion"/>
  </si>
  <si>
    <t>BW(Gbps)</t>
    <phoneticPr fontId="1" type="noConversion"/>
  </si>
  <si>
    <t>Packet Rate
(GPPS)</t>
    <phoneticPr fontId="1" type="noConversion"/>
  </si>
  <si>
    <t>Step(Byte)</t>
    <phoneticPr fontId="1" type="noConversion"/>
  </si>
  <si>
    <t>Total(Byte)</t>
    <phoneticPr fontId="1" type="noConversion"/>
  </si>
  <si>
    <t>FCS</t>
    <phoneticPr fontId="1" type="noConversion"/>
  </si>
  <si>
    <t>NP2NP</t>
    <phoneticPr fontId="1" type="noConversion"/>
  </si>
  <si>
    <t>Receive
Packet
Length
(Byte)</t>
    <phoneticPr fontId="1" type="noConversion"/>
  </si>
  <si>
    <t>Slice(Byte)</t>
    <phoneticPr fontId="1" type="noConversion"/>
  </si>
  <si>
    <t>Freq(GHz)</t>
    <phoneticPr fontId="1" type="noConversion"/>
  </si>
  <si>
    <t>SpeedUp
(%)</t>
    <phoneticPr fontId="1" type="noConversion"/>
  </si>
  <si>
    <t>Depth</t>
    <phoneticPr fontId="1" type="noConversion"/>
  </si>
  <si>
    <t>Fold</t>
    <phoneticPr fontId="1" type="noConversion"/>
  </si>
  <si>
    <t>Fields</t>
    <phoneticPr fontId="1" type="noConversion"/>
  </si>
  <si>
    <t>寄存器:TP MEM面积比</t>
    <phoneticPr fontId="1" type="noConversion"/>
  </si>
  <si>
    <t>15：1</t>
    <phoneticPr fontId="1" type="noConversion"/>
  </si>
  <si>
    <t>Scheduler</t>
    <phoneticPr fontId="1" type="noConversion"/>
  </si>
  <si>
    <t>Channel</t>
    <phoneticPr fontId="1" type="noConversion"/>
  </si>
  <si>
    <t>Unit
(Byte)</t>
    <phoneticPr fontId="1" type="noConversion"/>
  </si>
  <si>
    <t>Overflow
(Byte)</t>
    <phoneticPr fontId="1" type="noConversion"/>
  </si>
  <si>
    <t>RTT
(ns)</t>
    <phoneticPr fontId="1" type="noConversion"/>
  </si>
  <si>
    <t>ACK
(ns)</t>
    <phoneticPr fontId="1" type="noConversion"/>
  </si>
  <si>
    <t>Quantity
(Byte)</t>
    <phoneticPr fontId="1" type="noConversion"/>
  </si>
  <si>
    <t>sdf</t>
    <phoneticPr fontId="1" type="noConversion"/>
  </si>
  <si>
    <t>REG</t>
    <phoneticPr fontId="1" type="noConversion"/>
  </si>
  <si>
    <t>R</t>
    <phoneticPr fontId="1" type="noConversion"/>
  </si>
  <si>
    <t>W</t>
    <phoneticPr fontId="1" type="noConversion"/>
  </si>
  <si>
    <t>Read</t>
    <phoneticPr fontId="1" type="noConversion"/>
  </si>
  <si>
    <t>Write</t>
    <phoneticPr fontId="1" type="noConversion"/>
  </si>
  <si>
    <t>Access</t>
    <phoneticPr fontId="1" type="noConversion"/>
  </si>
  <si>
    <t>Physic</t>
  </si>
  <si>
    <t>Memory Wraper</t>
    <phoneticPr fontId="1" type="noConversion"/>
  </si>
  <si>
    <t>I1</t>
    <phoneticPr fontId="1" type="noConversion"/>
  </si>
  <si>
    <t>O1</t>
    <phoneticPr fontId="1" type="noConversion"/>
  </si>
  <si>
    <t>ECC</t>
    <phoneticPr fontId="1" type="noConversion"/>
  </si>
  <si>
    <t>INIT</t>
    <phoneticPr fontId="1" type="noConversion"/>
  </si>
  <si>
    <t>CPU</t>
    <phoneticPr fontId="1" type="noConversion"/>
  </si>
  <si>
    <t>B2B</t>
    <phoneticPr fontId="1" type="noConversion"/>
  </si>
  <si>
    <t>Bits</t>
    <phoneticPr fontId="1" type="noConversion"/>
  </si>
  <si>
    <t>MEM</t>
    <phoneticPr fontId="1" type="noConversion"/>
  </si>
  <si>
    <t>Statistic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</si>
</sst>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0"/>
      <color theme="5" tint="0.59999389629810485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10" fillId="3" borderId="1" xfId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9" borderId="1" xfId="0" applyFill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2" fillId="8" borderId="1" xfId="0" applyNumberFormat="1" applyFont="1" applyFill="1" applyBorder="1" applyAlignment="1">
      <alignment horizontal="center" vertical="center"/>
    </xf>
    <xf numFmtId="0" fontId="3" fillId="3" borderId="5" xfId="0" applyFont="1" applyFill="1" applyBorder="1">
      <alignment vertical="center"/>
    </xf>
    <xf numFmtId="0" fontId="3" fillId="10" borderId="0" xfId="0" applyFont="1" applyFill="1" applyBorder="1">
      <alignment vertical="center"/>
    </xf>
    <xf numFmtId="0" fontId="11" fillId="8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1" fillId="8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4" fillId="0" borderId="1" xfId="0" applyFont="1" applyBorder="1">
      <alignment vertical="center"/>
    </xf>
    <xf numFmtId="0" fontId="2" fillId="2" borderId="6" xfId="0" applyFont="1" applyFill="1" applyBorder="1" applyAlignment="1">
      <alignment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Performance!$D$8</c:f>
              <c:strCache>
                <c:ptCount val="1"/>
                <c:pt idx="0">
                  <c:v>SpeedUp
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Performance!$A$11:$A$1548</c:f>
              <c:numCache>
                <c:formatCode>General</c:formatCode>
                <c:ptCount val="1538"/>
                <c:pt idx="0">
                  <c:v>64</c:v>
                </c:pt>
                <c:pt idx="1">
                  <c:v>65</c:v>
                </c:pt>
                <c:pt idx="2">
                  <c:v>66</c:v>
                </c:pt>
                <c:pt idx="3">
                  <c:v>67</c:v>
                </c:pt>
                <c:pt idx="4">
                  <c:v>68</c:v>
                </c:pt>
                <c:pt idx="5">
                  <c:v>69</c:v>
                </c:pt>
                <c:pt idx="6">
                  <c:v>70</c:v>
                </c:pt>
                <c:pt idx="7">
                  <c:v>71</c:v>
                </c:pt>
                <c:pt idx="8">
                  <c:v>72</c:v>
                </c:pt>
                <c:pt idx="9">
                  <c:v>73</c:v>
                </c:pt>
                <c:pt idx="10">
                  <c:v>74</c:v>
                </c:pt>
                <c:pt idx="11">
                  <c:v>75</c:v>
                </c:pt>
                <c:pt idx="12">
                  <c:v>76</c:v>
                </c:pt>
                <c:pt idx="13">
                  <c:v>77</c:v>
                </c:pt>
                <c:pt idx="14">
                  <c:v>78</c:v>
                </c:pt>
                <c:pt idx="15">
                  <c:v>79</c:v>
                </c:pt>
                <c:pt idx="16">
                  <c:v>80</c:v>
                </c:pt>
                <c:pt idx="17">
                  <c:v>81</c:v>
                </c:pt>
                <c:pt idx="18">
                  <c:v>82</c:v>
                </c:pt>
                <c:pt idx="19">
                  <c:v>83</c:v>
                </c:pt>
                <c:pt idx="20">
                  <c:v>84</c:v>
                </c:pt>
                <c:pt idx="21">
                  <c:v>85</c:v>
                </c:pt>
                <c:pt idx="22">
                  <c:v>86</c:v>
                </c:pt>
                <c:pt idx="23">
                  <c:v>87</c:v>
                </c:pt>
                <c:pt idx="24">
                  <c:v>88</c:v>
                </c:pt>
                <c:pt idx="25">
                  <c:v>89</c:v>
                </c:pt>
                <c:pt idx="26">
                  <c:v>90</c:v>
                </c:pt>
                <c:pt idx="27">
                  <c:v>91</c:v>
                </c:pt>
                <c:pt idx="28">
                  <c:v>92</c:v>
                </c:pt>
                <c:pt idx="29">
                  <c:v>93</c:v>
                </c:pt>
                <c:pt idx="30">
                  <c:v>94</c:v>
                </c:pt>
                <c:pt idx="31">
                  <c:v>95</c:v>
                </c:pt>
                <c:pt idx="32">
                  <c:v>96</c:v>
                </c:pt>
                <c:pt idx="33">
                  <c:v>97</c:v>
                </c:pt>
                <c:pt idx="34">
                  <c:v>98</c:v>
                </c:pt>
                <c:pt idx="35">
                  <c:v>99</c:v>
                </c:pt>
                <c:pt idx="36">
                  <c:v>100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104</c:v>
                </c:pt>
                <c:pt idx="41">
                  <c:v>105</c:v>
                </c:pt>
                <c:pt idx="42">
                  <c:v>106</c:v>
                </c:pt>
                <c:pt idx="43">
                  <c:v>107</c:v>
                </c:pt>
                <c:pt idx="44">
                  <c:v>108</c:v>
                </c:pt>
                <c:pt idx="45">
                  <c:v>109</c:v>
                </c:pt>
                <c:pt idx="46">
                  <c:v>110</c:v>
                </c:pt>
                <c:pt idx="47">
                  <c:v>111</c:v>
                </c:pt>
                <c:pt idx="48">
                  <c:v>112</c:v>
                </c:pt>
                <c:pt idx="49">
                  <c:v>113</c:v>
                </c:pt>
                <c:pt idx="50">
                  <c:v>114</c:v>
                </c:pt>
                <c:pt idx="51">
                  <c:v>115</c:v>
                </c:pt>
                <c:pt idx="52">
                  <c:v>116</c:v>
                </c:pt>
                <c:pt idx="53">
                  <c:v>117</c:v>
                </c:pt>
                <c:pt idx="54">
                  <c:v>118</c:v>
                </c:pt>
                <c:pt idx="55">
                  <c:v>119</c:v>
                </c:pt>
                <c:pt idx="56">
                  <c:v>120</c:v>
                </c:pt>
                <c:pt idx="57">
                  <c:v>121</c:v>
                </c:pt>
                <c:pt idx="58">
                  <c:v>122</c:v>
                </c:pt>
                <c:pt idx="59">
                  <c:v>123</c:v>
                </c:pt>
                <c:pt idx="60">
                  <c:v>124</c:v>
                </c:pt>
                <c:pt idx="61">
                  <c:v>125</c:v>
                </c:pt>
                <c:pt idx="62">
                  <c:v>126</c:v>
                </c:pt>
                <c:pt idx="63">
                  <c:v>127</c:v>
                </c:pt>
                <c:pt idx="64">
                  <c:v>128</c:v>
                </c:pt>
                <c:pt idx="65">
                  <c:v>129</c:v>
                </c:pt>
                <c:pt idx="66">
                  <c:v>130</c:v>
                </c:pt>
                <c:pt idx="67">
                  <c:v>131</c:v>
                </c:pt>
                <c:pt idx="68">
                  <c:v>132</c:v>
                </c:pt>
                <c:pt idx="69">
                  <c:v>133</c:v>
                </c:pt>
                <c:pt idx="70">
                  <c:v>134</c:v>
                </c:pt>
                <c:pt idx="71">
                  <c:v>135</c:v>
                </c:pt>
                <c:pt idx="72">
                  <c:v>136</c:v>
                </c:pt>
                <c:pt idx="73">
                  <c:v>137</c:v>
                </c:pt>
                <c:pt idx="74">
                  <c:v>138</c:v>
                </c:pt>
                <c:pt idx="75">
                  <c:v>139</c:v>
                </c:pt>
                <c:pt idx="76">
                  <c:v>140</c:v>
                </c:pt>
                <c:pt idx="77">
                  <c:v>141</c:v>
                </c:pt>
                <c:pt idx="78">
                  <c:v>142</c:v>
                </c:pt>
                <c:pt idx="79">
                  <c:v>143</c:v>
                </c:pt>
                <c:pt idx="80">
                  <c:v>144</c:v>
                </c:pt>
                <c:pt idx="81">
                  <c:v>145</c:v>
                </c:pt>
                <c:pt idx="82">
                  <c:v>146</c:v>
                </c:pt>
                <c:pt idx="83">
                  <c:v>147</c:v>
                </c:pt>
                <c:pt idx="84">
                  <c:v>148</c:v>
                </c:pt>
                <c:pt idx="85">
                  <c:v>149</c:v>
                </c:pt>
                <c:pt idx="86">
                  <c:v>150</c:v>
                </c:pt>
                <c:pt idx="87">
                  <c:v>151</c:v>
                </c:pt>
                <c:pt idx="88">
                  <c:v>152</c:v>
                </c:pt>
                <c:pt idx="89">
                  <c:v>153</c:v>
                </c:pt>
                <c:pt idx="90">
                  <c:v>154</c:v>
                </c:pt>
                <c:pt idx="91">
                  <c:v>155</c:v>
                </c:pt>
                <c:pt idx="92">
                  <c:v>156</c:v>
                </c:pt>
                <c:pt idx="93">
                  <c:v>157</c:v>
                </c:pt>
                <c:pt idx="94">
                  <c:v>158</c:v>
                </c:pt>
                <c:pt idx="95">
                  <c:v>159</c:v>
                </c:pt>
                <c:pt idx="96">
                  <c:v>160</c:v>
                </c:pt>
                <c:pt idx="97">
                  <c:v>161</c:v>
                </c:pt>
                <c:pt idx="98">
                  <c:v>162</c:v>
                </c:pt>
                <c:pt idx="99">
                  <c:v>163</c:v>
                </c:pt>
                <c:pt idx="100">
                  <c:v>164</c:v>
                </c:pt>
                <c:pt idx="101">
                  <c:v>165</c:v>
                </c:pt>
                <c:pt idx="102">
                  <c:v>166</c:v>
                </c:pt>
                <c:pt idx="103">
                  <c:v>167</c:v>
                </c:pt>
                <c:pt idx="104">
                  <c:v>168</c:v>
                </c:pt>
                <c:pt idx="105">
                  <c:v>169</c:v>
                </c:pt>
                <c:pt idx="106">
                  <c:v>170</c:v>
                </c:pt>
                <c:pt idx="107">
                  <c:v>171</c:v>
                </c:pt>
                <c:pt idx="108">
                  <c:v>172</c:v>
                </c:pt>
                <c:pt idx="109">
                  <c:v>173</c:v>
                </c:pt>
                <c:pt idx="110">
                  <c:v>174</c:v>
                </c:pt>
                <c:pt idx="111">
                  <c:v>175</c:v>
                </c:pt>
                <c:pt idx="112">
                  <c:v>176</c:v>
                </c:pt>
                <c:pt idx="113">
                  <c:v>177</c:v>
                </c:pt>
                <c:pt idx="114">
                  <c:v>178</c:v>
                </c:pt>
                <c:pt idx="115">
                  <c:v>179</c:v>
                </c:pt>
                <c:pt idx="116">
                  <c:v>180</c:v>
                </c:pt>
                <c:pt idx="117">
                  <c:v>181</c:v>
                </c:pt>
                <c:pt idx="118">
                  <c:v>182</c:v>
                </c:pt>
                <c:pt idx="119">
                  <c:v>183</c:v>
                </c:pt>
                <c:pt idx="120">
                  <c:v>184</c:v>
                </c:pt>
                <c:pt idx="121">
                  <c:v>185</c:v>
                </c:pt>
                <c:pt idx="122">
                  <c:v>186</c:v>
                </c:pt>
                <c:pt idx="123">
                  <c:v>187</c:v>
                </c:pt>
                <c:pt idx="124">
                  <c:v>188</c:v>
                </c:pt>
                <c:pt idx="125">
                  <c:v>189</c:v>
                </c:pt>
                <c:pt idx="126">
                  <c:v>190</c:v>
                </c:pt>
                <c:pt idx="127">
                  <c:v>191</c:v>
                </c:pt>
                <c:pt idx="128">
                  <c:v>192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  <c:pt idx="136">
                  <c:v>200</c:v>
                </c:pt>
                <c:pt idx="137">
                  <c:v>201</c:v>
                </c:pt>
                <c:pt idx="138">
                  <c:v>202</c:v>
                </c:pt>
                <c:pt idx="139">
                  <c:v>203</c:v>
                </c:pt>
                <c:pt idx="140">
                  <c:v>204</c:v>
                </c:pt>
                <c:pt idx="141">
                  <c:v>205</c:v>
                </c:pt>
                <c:pt idx="142">
                  <c:v>206</c:v>
                </c:pt>
                <c:pt idx="143">
                  <c:v>207</c:v>
                </c:pt>
                <c:pt idx="144">
                  <c:v>208</c:v>
                </c:pt>
                <c:pt idx="145">
                  <c:v>209</c:v>
                </c:pt>
                <c:pt idx="146">
                  <c:v>210</c:v>
                </c:pt>
                <c:pt idx="147">
                  <c:v>211</c:v>
                </c:pt>
                <c:pt idx="148">
                  <c:v>212</c:v>
                </c:pt>
                <c:pt idx="149">
                  <c:v>213</c:v>
                </c:pt>
                <c:pt idx="150">
                  <c:v>214</c:v>
                </c:pt>
                <c:pt idx="151">
                  <c:v>215</c:v>
                </c:pt>
                <c:pt idx="152">
                  <c:v>216</c:v>
                </c:pt>
                <c:pt idx="153">
                  <c:v>217</c:v>
                </c:pt>
                <c:pt idx="154">
                  <c:v>218</c:v>
                </c:pt>
                <c:pt idx="155">
                  <c:v>219</c:v>
                </c:pt>
                <c:pt idx="156">
                  <c:v>220</c:v>
                </c:pt>
                <c:pt idx="157">
                  <c:v>221</c:v>
                </c:pt>
                <c:pt idx="158">
                  <c:v>222</c:v>
                </c:pt>
                <c:pt idx="159">
                  <c:v>223</c:v>
                </c:pt>
                <c:pt idx="160">
                  <c:v>224</c:v>
                </c:pt>
                <c:pt idx="161">
                  <c:v>225</c:v>
                </c:pt>
                <c:pt idx="162">
                  <c:v>226</c:v>
                </c:pt>
                <c:pt idx="163">
                  <c:v>227</c:v>
                </c:pt>
                <c:pt idx="164">
                  <c:v>228</c:v>
                </c:pt>
                <c:pt idx="165">
                  <c:v>229</c:v>
                </c:pt>
                <c:pt idx="166">
                  <c:v>230</c:v>
                </c:pt>
                <c:pt idx="167">
                  <c:v>231</c:v>
                </c:pt>
                <c:pt idx="168">
                  <c:v>232</c:v>
                </c:pt>
                <c:pt idx="169">
                  <c:v>233</c:v>
                </c:pt>
                <c:pt idx="170">
                  <c:v>234</c:v>
                </c:pt>
                <c:pt idx="171">
                  <c:v>235</c:v>
                </c:pt>
                <c:pt idx="172">
                  <c:v>236</c:v>
                </c:pt>
                <c:pt idx="173">
                  <c:v>237</c:v>
                </c:pt>
                <c:pt idx="174">
                  <c:v>238</c:v>
                </c:pt>
                <c:pt idx="175">
                  <c:v>239</c:v>
                </c:pt>
                <c:pt idx="176">
                  <c:v>240</c:v>
                </c:pt>
                <c:pt idx="177">
                  <c:v>241</c:v>
                </c:pt>
                <c:pt idx="178">
                  <c:v>242</c:v>
                </c:pt>
                <c:pt idx="179">
                  <c:v>243</c:v>
                </c:pt>
                <c:pt idx="180">
                  <c:v>244</c:v>
                </c:pt>
                <c:pt idx="181">
                  <c:v>245</c:v>
                </c:pt>
                <c:pt idx="182">
                  <c:v>246</c:v>
                </c:pt>
                <c:pt idx="183">
                  <c:v>247</c:v>
                </c:pt>
                <c:pt idx="184">
                  <c:v>248</c:v>
                </c:pt>
                <c:pt idx="185">
                  <c:v>249</c:v>
                </c:pt>
                <c:pt idx="186">
                  <c:v>250</c:v>
                </c:pt>
                <c:pt idx="187">
                  <c:v>251</c:v>
                </c:pt>
                <c:pt idx="188">
                  <c:v>252</c:v>
                </c:pt>
                <c:pt idx="189">
                  <c:v>253</c:v>
                </c:pt>
                <c:pt idx="190">
                  <c:v>254</c:v>
                </c:pt>
                <c:pt idx="191">
                  <c:v>255</c:v>
                </c:pt>
                <c:pt idx="192">
                  <c:v>256</c:v>
                </c:pt>
                <c:pt idx="193">
                  <c:v>257</c:v>
                </c:pt>
                <c:pt idx="194">
                  <c:v>258</c:v>
                </c:pt>
                <c:pt idx="195">
                  <c:v>259</c:v>
                </c:pt>
                <c:pt idx="196">
                  <c:v>260</c:v>
                </c:pt>
                <c:pt idx="197">
                  <c:v>261</c:v>
                </c:pt>
                <c:pt idx="198">
                  <c:v>262</c:v>
                </c:pt>
                <c:pt idx="199">
                  <c:v>263</c:v>
                </c:pt>
                <c:pt idx="200">
                  <c:v>264</c:v>
                </c:pt>
                <c:pt idx="201">
                  <c:v>265</c:v>
                </c:pt>
                <c:pt idx="202">
                  <c:v>266</c:v>
                </c:pt>
                <c:pt idx="203">
                  <c:v>267</c:v>
                </c:pt>
                <c:pt idx="204">
                  <c:v>268</c:v>
                </c:pt>
                <c:pt idx="205">
                  <c:v>269</c:v>
                </c:pt>
                <c:pt idx="206">
                  <c:v>270</c:v>
                </c:pt>
                <c:pt idx="207">
                  <c:v>271</c:v>
                </c:pt>
                <c:pt idx="208">
                  <c:v>272</c:v>
                </c:pt>
                <c:pt idx="209">
                  <c:v>273</c:v>
                </c:pt>
                <c:pt idx="210">
                  <c:v>274</c:v>
                </c:pt>
                <c:pt idx="211">
                  <c:v>275</c:v>
                </c:pt>
                <c:pt idx="212">
                  <c:v>276</c:v>
                </c:pt>
                <c:pt idx="213">
                  <c:v>277</c:v>
                </c:pt>
                <c:pt idx="214">
                  <c:v>278</c:v>
                </c:pt>
                <c:pt idx="215">
                  <c:v>279</c:v>
                </c:pt>
                <c:pt idx="216">
                  <c:v>280</c:v>
                </c:pt>
                <c:pt idx="217">
                  <c:v>281</c:v>
                </c:pt>
                <c:pt idx="218">
                  <c:v>282</c:v>
                </c:pt>
                <c:pt idx="219">
                  <c:v>283</c:v>
                </c:pt>
                <c:pt idx="220">
                  <c:v>284</c:v>
                </c:pt>
                <c:pt idx="221">
                  <c:v>285</c:v>
                </c:pt>
                <c:pt idx="222">
                  <c:v>286</c:v>
                </c:pt>
                <c:pt idx="223">
                  <c:v>287</c:v>
                </c:pt>
                <c:pt idx="224">
                  <c:v>288</c:v>
                </c:pt>
                <c:pt idx="225">
                  <c:v>289</c:v>
                </c:pt>
                <c:pt idx="226">
                  <c:v>290</c:v>
                </c:pt>
                <c:pt idx="227">
                  <c:v>291</c:v>
                </c:pt>
                <c:pt idx="228">
                  <c:v>292</c:v>
                </c:pt>
                <c:pt idx="229">
                  <c:v>293</c:v>
                </c:pt>
                <c:pt idx="230">
                  <c:v>294</c:v>
                </c:pt>
                <c:pt idx="231">
                  <c:v>295</c:v>
                </c:pt>
                <c:pt idx="232">
                  <c:v>296</c:v>
                </c:pt>
                <c:pt idx="233">
                  <c:v>297</c:v>
                </c:pt>
                <c:pt idx="234">
                  <c:v>298</c:v>
                </c:pt>
                <c:pt idx="235">
                  <c:v>299</c:v>
                </c:pt>
                <c:pt idx="236">
                  <c:v>300</c:v>
                </c:pt>
                <c:pt idx="237">
                  <c:v>301</c:v>
                </c:pt>
                <c:pt idx="238">
                  <c:v>302</c:v>
                </c:pt>
                <c:pt idx="239">
                  <c:v>303</c:v>
                </c:pt>
                <c:pt idx="240">
                  <c:v>304</c:v>
                </c:pt>
                <c:pt idx="241">
                  <c:v>305</c:v>
                </c:pt>
                <c:pt idx="242">
                  <c:v>306</c:v>
                </c:pt>
                <c:pt idx="243">
                  <c:v>307</c:v>
                </c:pt>
                <c:pt idx="244">
                  <c:v>308</c:v>
                </c:pt>
                <c:pt idx="245">
                  <c:v>309</c:v>
                </c:pt>
                <c:pt idx="246">
                  <c:v>310</c:v>
                </c:pt>
                <c:pt idx="247">
                  <c:v>311</c:v>
                </c:pt>
                <c:pt idx="248">
                  <c:v>312</c:v>
                </c:pt>
                <c:pt idx="249">
                  <c:v>313</c:v>
                </c:pt>
                <c:pt idx="250">
                  <c:v>314</c:v>
                </c:pt>
                <c:pt idx="251">
                  <c:v>315</c:v>
                </c:pt>
                <c:pt idx="252">
                  <c:v>316</c:v>
                </c:pt>
                <c:pt idx="253">
                  <c:v>317</c:v>
                </c:pt>
                <c:pt idx="254">
                  <c:v>318</c:v>
                </c:pt>
                <c:pt idx="255">
                  <c:v>319</c:v>
                </c:pt>
                <c:pt idx="256">
                  <c:v>320</c:v>
                </c:pt>
                <c:pt idx="257">
                  <c:v>321</c:v>
                </c:pt>
                <c:pt idx="258">
                  <c:v>322</c:v>
                </c:pt>
                <c:pt idx="259">
                  <c:v>323</c:v>
                </c:pt>
                <c:pt idx="260">
                  <c:v>324</c:v>
                </c:pt>
                <c:pt idx="261">
                  <c:v>325</c:v>
                </c:pt>
                <c:pt idx="262">
                  <c:v>326</c:v>
                </c:pt>
                <c:pt idx="263">
                  <c:v>327</c:v>
                </c:pt>
                <c:pt idx="264">
                  <c:v>328</c:v>
                </c:pt>
                <c:pt idx="265">
                  <c:v>329</c:v>
                </c:pt>
                <c:pt idx="266">
                  <c:v>330</c:v>
                </c:pt>
                <c:pt idx="267">
                  <c:v>331</c:v>
                </c:pt>
                <c:pt idx="268">
                  <c:v>332</c:v>
                </c:pt>
                <c:pt idx="269">
                  <c:v>333</c:v>
                </c:pt>
                <c:pt idx="270">
                  <c:v>334</c:v>
                </c:pt>
                <c:pt idx="271">
                  <c:v>335</c:v>
                </c:pt>
                <c:pt idx="272">
                  <c:v>336</c:v>
                </c:pt>
                <c:pt idx="273">
                  <c:v>337</c:v>
                </c:pt>
                <c:pt idx="274">
                  <c:v>338</c:v>
                </c:pt>
                <c:pt idx="275">
                  <c:v>339</c:v>
                </c:pt>
                <c:pt idx="276">
                  <c:v>340</c:v>
                </c:pt>
                <c:pt idx="277">
                  <c:v>341</c:v>
                </c:pt>
                <c:pt idx="278">
                  <c:v>342</c:v>
                </c:pt>
                <c:pt idx="279">
                  <c:v>343</c:v>
                </c:pt>
                <c:pt idx="280">
                  <c:v>344</c:v>
                </c:pt>
                <c:pt idx="281">
                  <c:v>345</c:v>
                </c:pt>
                <c:pt idx="282">
                  <c:v>346</c:v>
                </c:pt>
                <c:pt idx="283">
                  <c:v>347</c:v>
                </c:pt>
                <c:pt idx="284">
                  <c:v>348</c:v>
                </c:pt>
                <c:pt idx="285">
                  <c:v>349</c:v>
                </c:pt>
                <c:pt idx="286">
                  <c:v>350</c:v>
                </c:pt>
                <c:pt idx="287">
                  <c:v>351</c:v>
                </c:pt>
                <c:pt idx="288">
                  <c:v>352</c:v>
                </c:pt>
                <c:pt idx="289">
                  <c:v>353</c:v>
                </c:pt>
                <c:pt idx="290">
                  <c:v>354</c:v>
                </c:pt>
                <c:pt idx="291">
                  <c:v>355</c:v>
                </c:pt>
                <c:pt idx="292">
                  <c:v>356</c:v>
                </c:pt>
                <c:pt idx="293">
                  <c:v>357</c:v>
                </c:pt>
                <c:pt idx="294">
                  <c:v>358</c:v>
                </c:pt>
                <c:pt idx="295">
                  <c:v>359</c:v>
                </c:pt>
                <c:pt idx="296">
                  <c:v>360</c:v>
                </c:pt>
                <c:pt idx="297">
                  <c:v>361</c:v>
                </c:pt>
                <c:pt idx="298">
                  <c:v>362</c:v>
                </c:pt>
                <c:pt idx="299">
                  <c:v>363</c:v>
                </c:pt>
                <c:pt idx="300">
                  <c:v>364</c:v>
                </c:pt>
                <c:pt idx="301">
                  <c:v>365</c:v>
                </c:pt>
                <c:pt idx="302">
                  <c:v>366</c:v>
                </c:pt>
                <c:pt idx="303">
                  <c:v>367</c:v>
                </c:pt>
                <c:pt idx="304">
                  <c:v>368</c:v>
                </c:pt>
                <c:pt idx="305">
                  <c:v>369</c:v>
                </c:pt>
                <c:pt idx="306">
                  <c:v>370</c:v>
                </c:pt>
                <c:pt idx="307">
                  <c:v>371</c:v>
                </c:pt>
                <c:pt idx="308">
                  <c:v>372</c:v>
                </c:pt>
                <c:pt idx="309">
                  <c:v>373</c:v>
                </c:pt>
                <c:pt idx="310">
                  <c:v>374</c:v>
                </c:pt>
                <c:pt idx="311">
                  <c:v>375</c:v>
                </c:pt>
                <c:pt idx="312">
                  <c:v>376</c:v>
                </c:pt>
                <c:pt idx="313">
                  <c:v>377</c:v>
                </c:pt>
                <c:pt idx="314">
                  <c:v>378</c:v>
                </c:pt>
                <c:pt idx="315">
                  <c:v>379</c:v>
                </c:pt>
                <c:pt idx="316">
                  <c:v>380</c:v>
                </c:pt>
                <c:pt idx="317">
                  <c:v>381</c:v>
                </c:pt>
                <c:pt idx="318">
                  <c:v>382</c:v>
                </c:pt>
                <c:pt idx="319">
                  <c:v>383</c:v>
                </c:pt>
                <c:pt idx="320">
                  <c:v>384</c:v>
                </c:pt>
                <c:pt idx="321">
                  <c:v>385</c:v>
                </c:pt>
                <c:pt idx="322">
                  <c:v>386</c:v>
                </c:pt>
                <c:pt idx="323">
                  <c:v>387</c:v>
                </c:pt>
                <c:pt idx="324">
                  <c:v>388</c:v>
                </c:pt>
                <c:pt idx="325">
                  <c:v>389</c:v>
                </c:pt>
                <c:pt idx="326">
                  <c:v>390</c:v>
                </c:pt>
                <c:pt idx="327">
                  <c:v>391</c:v>
                </c:pt>
                <c:pt idx="328">
                  <c:v>392</c:v>
                </c:pt>
                <c:pt idx="329">
                  <c:v>393</c:v>
                </c:pt>
                <c:pt idx="330">
                  <c:v>394</c:v>
                </c:pt>
                <c:pt idx="331">
                  <c:v>395</c:v>
                </c:pt>
                <c:pt idx="332">
                  <c:v>396</c:v>
                </c:pt>
                <c:pt idx="333">
                  <c:v>397</c:v>
                </c:pt>
                <c:pt idx="334">
                  <c:v>398</c:v>
                </c:pt>
                <c:pt idx="335">
                  <c:v>399</c:v>
                </c:pt>
                <c:pt idx="336">
                  <c:v>400</c:v>
                </c:pt>
                <c:pt idx="337">
                  <c:v>401</c:v>
                </c:pt>
                <c:pt idx="338">
                  <c:v>402</c:v>
                </c:pt>
                <c:pt idx="339">
                  <c:v>403</c:v>
                </c:pt>
                <c:pt idx="340">
                  <c:v>404</c:v>
                </c:pt>
                <c:pt idx="341">
                  <c:v>405</c:v>
                </c:pt>
                <c:pt idx="342">
                  <c:v>406</c:v>
                </c:pt>
                <c:pt idx="343">
                  <c:v>407</c:v>
                </c:pt>
                <c:pt idx="344">
                  <c:v>408</c:v>
                </c:pt>
                <c:pt idx="345">
                  <c:v>409</c:v>
                </c:pt>
                <c:pt idx="346">
                  <c:v>410</c:v>
                </c:pt>
                <c:pt idx="347">
                  <c:v>411</c:v>
                </c:pt>
                <c:pt idx="348">
                  <c:v>412</c:v>
                </c:pt>
                <c:pt idx="349">
                  <c:v>413</c:v>
                </c:pt>
                <c:pt idx="350">
                  <c:v>414</c:v>
                </c:pt>
                <c:pt idx="351">
                  <c:v>415</c:v>
                </c:pt>
                <c:pt idx="352">
                  <c:v>416</c:v>
                </c:pt>
                <c:pt idx="353">
                  <c:v>417</c:v>
                </c:pt>
                <c:pt idx="354">
                  <c:v>418</c:v>
                </c:pt>
                <c:pt idx="355">
                  <c:v>419</c:v>
                </c:pt>
                <c:pt idx="356">
                  <c:v>420</c:v>
                </c:pt>
                <c:pt idx="357">
                  <c:v>421</c:v>
                </c:pt>
                <c:pt idx="358">
                  <c:v>422</c:v>
                </c:pt>
                <c:pt idx="359">
                  <c:v>423</c:v>
                </c:pt>
                <c:pt idx="360">
                  <c:v>424</c:v>
                </c:pt>
                <c:pt idx="361">
                  <c:v>425</c:v>
                </c:pt>
                <c:pt idx="362">
                  <c:v>426</c:v>
                </c:pt>
                <c:pt idx="363">
                  <c:v>427</c:v>
                </c:pt>
                <c:pt idx="364">
                  <c:v>428</c:v>
                </c:pt>
                <c:pt idx="365">
                  <c:v>429</c:v>
                </c:pt>
                <c:pt idx="366">
                  <c:v>430</c:v>
                </c:pt>
                <c:pt idx="367">
                  <c:v>431</c:v>
                </c:pt>
                <c:pt idx="368">
                  <c:v>432</c:v>
                </c:pt>
                <c:pt idx="369">
                  <c:v>433</c:v>
                </c:pt>
                <c:pt idx="370">
                  <c:v>434</c:v>
                </c:pt>
                <c:pt idx="371">
                  <c:v>435</c:v>
                </c:pt>
                <c:pt idx="372">
                  <c:v>436</c:v>
                </c:pt>
                <c:pt idx="373">
                  <c:v>437</c:v>
                </c:pt>
                <c:pt idx="374">
                  <c:v>438</c:v>
                </c:pt>
                <c:pt idx="375">
                  <c:v>439</c:v>
                </c:pt>
                <c:pt idx="376">
                  <c:v>440</c:v>
                </c:pt>
                <c:pt idx="377">
                  <c:v>441</c:v>
                </c:pt>
                <c:pt idx="378">
                  <c:v>442</c:v>
                </c:pt>
                <c:pt idx="379">
                  <c:v>443</c:v>
                </c:pt>
                <c:pt idx="380">
                  <c:v>444</c:v>
                </c:pt>
                <c:pt idx="381">
                  <c:v>445</c:v>
                </c:pt>
                <c:pt idx="382">
                  <c:v>446</c:v>
                </c:pt>
                <c:pt idx="383">
                  <c:v>447</c:v>
                </c:pt>
                <c:pt idx="384">
                  <c:v>448</c:v>
                </c:pt>
                <c:pt idx="385">
                  <c:v>449</c:v>
                </c:pt>
                <c:pt idx="386">
                  <c:v>450</c:v>
                </c:pt>
                <c:pt idx="387">
                  <c:v>451</c:v>
                </c:pt>
                <c:pt idx="388">
                  <c:v>452</c:v>
                </c:pt>
                <c:pt idx="389">
                  <c:v>453</c:v>
                </c:pt>
                <c:pt idx="390">
                  <c:v>454</c:v>
                </c:pt>
                <c:pt idx="391">
                  <c:v>455</c:v>
                </c:pt>
                <c:pt idx="392">
                  <c:v>456</c:v>
                </c:pt>
                <c:pt idx="393">
                  <c:v>457</c:v>
                </c:pt>
                <c:pt idx="394">
                  <c:v>458</c:v>
                </c:pt>
                <c:pt idx="395">
                  <c:v>459</c:v>
                </c:pt>
                <c:pt idx="396">
                  <c:v>460</c:v>
                </c:pt>
                <c:pt idx="397">
                  <c:v>461</c:v>
                </c:pt>
                <c:pt idx="398">
                  <c:v>462</c:v>
                </c:pt>
                <c:pt idx="399">
                  <c:v>463</c:v>
                </c:pt>
                <c:pt idx="400">
                  <c:v>464</c:v>
                </c:pt>
                <c:pt idx="401">
                  <c:v>465</c:v>
                </c:pt>
                <c:pt idx="402">
                  <c:v>466</c:v>
                </c:pt>
                <c:pt idx="403">
                  <c:v>467</c:v>
                </c:pt>
                <c:pt idx="404">
                  <c:v>468</c:v>
                </c:pt>
                <c:pt idx="405">
                  <c:v>469</c:v>
                </c:pt>
                <c:pt idx="406">
                  <c:v>470</c:v>
                </c:pt>
                <c:pt idx="407">
                  <c:v>471</c:v>
                </c:pt>
                <c:pt idx="408">
                  <c:v>472</c:v>
                </c:pt>
                <c:pt idx="409">
                  <c:v>473</c:v>
                </c:pt>
                <c:pt idx="410">
                  <c:v>474</c:v>
                </c:pt>
                <c:pt idx="411">
                  <c:v>475</c:v>
                </c:pt>
                <c:pt idx="412">
                  <c:v>476</c:v>
                </c:pt>
                <c:pt idx="413">
                  <c:v>477</c:v>
                </c:pt>
                <c:pt idx="414">
                  <c:v>478</c:v>
                </c:pt>
                <c:pt idx="415">
                  <c:v>479</c:v>
                </c:pt>
                <c:pt idx="416">
                  <c:v>480</c:v>
                </c:pt>
                <c:pt idx="417">
                  <c:v>481</c:v>
                </c:pt>
                <c:pt idx="418">
                  <c:v>482</c:v>
                </c:pt>
                <c:pt idx="419">
                  <c:v>483</c:v>
                </c:pt>
                <c:pt idx="420">
                  <c:v>484</c:v>
                </c:pt>
                <c:pt idx="421">
                  <c:v>485</c:v>
                </c:pt>
                <c:pt idx="422">
                  <c:v>486</c:v>
                </c:pt>
                <c:pt idx="423">
                  <c:v>487</c:v>
                </c:pt>
                <c:pt idx="424">
                  <c:v>488</c:v>
                </c:pt>
                <c:pt idx="425">
                  <c:v>489</c:v>
                </c:pt>
                <c:pt idx="426">
                  <c:v>490</c:v>
                </c:pt>
                <c:pt idx="427">
                  <c:v>491</c:v>
                </c:pt>
                <c:pt idx="428">
                  <c:v>492</c:v>
                </c:pt>
                <c:pt idx="429">
                  <c:v>493</c:v>
                </c:pt>
                <c:pt idx="430">
                  <c:v>494</c:v>
                </c:pt>
                <c:pt idx="431">
                  <c:v>495</c:v>
                </c:pt>
                <c:pt idx="432">
                  <c:v>496</c:v>
                </c:pt>
                <c:pt idx="433">
                  <c:v>497</c:v>
                </c:pt>
                <c:pt idx="434">
                  <c:v>498</c:v>
                </c:pt>
                <c:pt idx="435">
                  <c:v>499</c:v>
                </c:pt>
                <c:pt idx="436">
                  <c:v>500</c:v>
                </c:pt>
                <c:pt idx="437">
                  <c:v>501</c:v>
                </c:pt>
                <c:pt idx="438">
                  <c:v>502</c:v>
                </c:pt>
                <c:pt idx="439">
                  <c:v>503</c:v>
                </c:pt>
                <c:pt idx="440">
                  <c:v>504</c:v>
                </c:pt>
                <c:pt idx="441">
                  <c:v>505</c:v>
                </c:pt>
                <c:pt idx="442">
                  <c:v>506</c:v>
                </c:pt>
                <c:pt idx="443">
                  <c:v>507</c:v>
                </c:pt>
                <c:pt idx="444">
                  <c:v>508</c:v>
                </c:pt>
                <c:pt idx="445">
                  <c:v>509</c:v>
                </c:pt>
                <c:pt idx="446">
                  <c:v>510</c:v>
                </c:pt>
                <c:pt idx="447">
                  <c:v>511</c:v>
                </c:pt>
                <c:pt idx="448">
                  <c:v>512</c:v>
                </c:pt>
                <c:pt idx="449">
                  <c:v>513</c:v>
                </c:pt>
                <c:pt idx="450">
                  <c:v>514</c:v>
                </c:pt>
                <c:pt idx="451">
                  <c:v>515</c:v>
                </c:pt>
                <c:pt idx="452">
                  <c:v>516</c:v>
                </c:pt>
                <c:pt idx="453">
                  <c:v>517</c:v>
                </c:pt>
                <c:pt idx="454">
                  <c:v>518</c:v>
                </c:pt>
                <c:pt idx="455">
                  <c:v>519</c:v>
                </c:pt>
                <c:pt idx="456">
                  <c:v>520</c:v>
                </c:pt>
                <c:pt idx="457">
                  <c:v>521</c:v>
                </c:pt>
                <c:pt idx="458">
                  <c:v>522</c:v>
                </c:pt>
                <c:pt idx="459">
                  <c:v>523</c:v>
                </c:pt>
                <c:pt idx="460">
                  <c:v>524</c:v>
                </c:pt>
                <c:pt idx="461">
                  <c:v>525</c:v>
                </c:pt>
                <c:pt idx="462">
                  <c:v>526</c:v>
                </c:pt>
                <c:pt idx="463">
                  <c:v>527</c:v>
                </c:pt>
                <c:pt idx="464">
                  <c:v>528</c:v>
                </c:pt>
                <c:pt idx="465">
                  <c:v>529</c:v>
                </c:pt>
                <c:pt idx="466">
                  <c:v>530</c:v>
                </c:pt>
                <c:pt idx="467">
                  <c:v>531</c:v>
                </c:pt>
                <c:pt idx="468">
                  <c:v>532</c:v>
                </c:pt>
                <c:pt idx="469">
                  <c:v>533</c:v>
                </c:pt>
                <c:pt idx="470">
                  <c:v>534</c:v>
                </c:pt>
                <c:pt idx="471">
                  <c:v>535</c:v>
                </c:pt>
                <c:pt idx="472">
                  <c:v>536</c:v>
                </c:pt>
                <c:pt idx="473">
                  <c:v>537</c:v>
                </c:pt>
                <c:pt idx="474">
                  <c:v>538</c:v>
                </c:pt>
                <c:pt idx="475">
                  <c:v>539</c:v>
                </c:pt>
                <c:pt idx="476">
                  <c:v>540</c:v>
                </c:pt>
                <c:pt idx="477">
                  <c:v>541</c:v>
                </c:pt>
                <c:pt idx="478">
                  <c:v>542</c:v>
                </c:pt>
                <c:pt idx="479">
                  <c:v>543</c:v>
                </c:pt>
                <c:pt idx="480">
                  <c:v>544</c:v>
                </c:pt>
                <c:pt idx="481">
                  <c:v>545</c:v>
                </c:pt>
                <c:pt idx="482">
                  <c:v>546</c:v>
                </c:pt>
                <c:pt idx="483">
                  <c:v>547</c:v>
                </c:pt>
                <c:pt idx="484">
                  <c:v>548</c:v>
                </c:pt>
                <c:pt idx="485">
                  <c:v>549</c:v>
                </c:pt>
                <c:pt idx="486">
                  <c:v>550</c:v>
                </c:pt>
                <c:pt idx="487">
                  <c:v>551</c:v>
                </c:pt>
                <c:pt idx="488">
                  <c:v>552</c:v>
                </c:pt>
                <c:pt idx="489">
                  <c:v>553</c:v>
                </c:pt>
                <c:pt idx="490">
                  <c:v>554</c:v>
                </c:pt>
                <c:pt idx="491">
                  <c:v>555</c:v>
                </c:pt>
                <c:pt idx="492">
                  <c:v>556</c:v>
                </c:pt>
                <c:pt idx="493">
                  <c:v>557</c:v>
                </c:pt>
                <c:pt idx="494">
                  <c:v>558</c:v>
                </c:pt>
                <c:pt idx="495">
                  <c:v>559</c:v>
                </c:pt>
                <c:pt idx="496">
                  <c:v>560</c:v>
                </c:pt>
                <c:pt idx="497">
                  <c:v>561</c:v>
                </c:pt>
                <c:pt idx="498">
                  <c:v>562</c:v>
                </c:pt>
                <c:pt idx="499">
                  <c:v>563</c:v>
                </c:pt>
                <c:pt idx="500">
                  <c:v>564</c:v>
                </c:pt>
                <c:pt idx="501">
                  <c:v>565</c:v>
                </c:pt>
                <c:pt idx="502">
                  <c:v>566</c:v>
                </c:pt>
                <c:pt idx="503">
                  <c:v>567</c:v>
                </c:pt>
                <c:pt idx="504">
                  <c:v>568</c:v>
                </c:pt>
                <c:pt idx="505">
                  <c:v>569</c:v>
                </c:pt>
                <c:pt idx="506">
                  <c:v>570</c:v>
                </c:pt>
                <c:pt idx="507">
                  <c:v>571</c:v>
                </c:pt>
                <c:pt idx="508">
                  <c:v>572</c:v>
                </c:pt>
                <c:pt idx="509">
                  <c:v>573</c:v>
                </c:pt>
                <c:pt idx="510">
                  <c:v>574</c:v>
                </c:pt>
                <c:pt idx="511">
                  <c:v>575</c:v>
                </c:pt>
                <c:pt idx="512">
                  <c:v>576</c:v>
                </c:pt>
                <c:pt idx="513">
                  <c:v>577</c:v>
                </c:pt>
                <c:pt idx="514">
                  <c:v>578</c:v>
                </c:pt>
                <c:pt idx="515">
                  <c:v>579</c:v>
                </c:pt>
                <c:pt idx="516">
                  <c:v>580</c:v>
                </c:pt>
                <c:pt idx="517">
                  <c:v>581</c:v>
                </c:pt>
                <c:pt idx="518">
                  <c:v>582</c:v>
                </c:pt>
                <c:pt idx="519">
                  <c:v>583</c:v>
                </c:pt>
                <c:pt idx="520">
                  <c:v>584</c:v>
                </c:pt>
                <c:pt idx="521">
                  <c:v>585</c:v>
                </c:pt>
                <c:pt idx="522">
                  <c:v>586</c:v>
                </c:pt>
                <c:pt idx="523">
                  <c:v>587</c:v>
                </c:pt>
                <c:pt idx="524">
                  <c:v>588</c:v>
                </c:pt>
                <c:pt idx="525">
                  <c:v>589</c:v>
                </c:pt>
                <c:pt idx="526">
                  <c:v>590</c:v>
                </c:pt>
                <c:pt idx="527">
                  <c:v>591</c:v>
                </c:pt>
                <c:pt idx="528">
                  <c:v>592</c:v>
                </c:pt>
                <c:pt idx="529">
                  <c:v>593</c:v>
                </c:pt>
                <c:pt idx="530">
                  <c:v>594</c:v>
                </c:pt>
                <c:pt idx="531">
                  <c:v>595</c:v>
                </c:pt>
                <c:pt idx="532">
                  <c:v>596</c:v>
                </c:pt>
                <c:pt idx="533">
                  <c:v>597</c:v>
                </c:pt>
                <c:pt idx="534">
                  <c:v>598</c:v>
                </c:pt>
                <c:pt idx="535">
                  <c:v>599</c:v>
                </c:pt>
                <c:pt idx="536">
                  <c:v>600</c:v>
                </c:pt>
                <c:pt idx="537">
                  <c:v>601</c:v>
                </c:pt>
                <c:pt idx="538">
                  <c:v>602</c:v>
                </c:pt>
                <c:pt idx="539">
                  <c:v>603</c:v>
                </c:pt>
                <c:pt idx="540">
                  <c:v>604</c:v>
                </c:pt>
                <c:pt idx="541">
                  <c:v>605</c:v>
                </c:pt>
                <c:pt idx="542">
                  <c:v>606</c:v>
                </c:pt>
                <c:pt idx="543">
                  <c:v>607</c:v>
                </c:pt>
                <c:pt idx="544">
                  <c:v>608</c:v>
                </c:pt>
                <c:pt idx="545">
                  <c:v>609</c:v>
                </c:pt>
                <c:pt idx="546">
                  <c:v>610</c:v>
                </c:pt>
                <c:pt idx="547">
                  <c:v>611</c:v>
                </c:pt>
                <c:pt idx="548">
                  <c:v>612</c:v>
                </c:pt>
                <c:pt idx="549">
                  <c:v>613</c:v>
                </c:pt>
                <c:pt idx="550">
                  <c:v>614</c:v>
                </c:pt>
                <c:pt idx="551">
                  <c:v>615</c:v>
                </c:pt>
                <c:pt idx="552">
                  <c:v>616</c:v>
                </c:pt>
                <c:pt idx="553">
                  <c:v>617</c:v>
                </c:pt>
                <c:pt idx="554">
                  <c:v>618</c:v>
                </c:pt>
                <c:pt idx="555">
                  <c:v>619</c:v>
                </c:pt>
                <c:pt idx="556">
                  <c:v>620</c:v>
                </c:pt>
                <c:pt idx="557">
                  <c:v>621</c:v>
                </c:pt>
                <c:pt idx="558">
                  <c:v>622</c:v>
                </c:pt>
                <c:pt idx="559">
                  <c:v>623</c:v>
                </c:pt>
                <c:pt idx="560">
                  <c:v>624</c:v>
                </c:pt>
                <c:pt idx="561">
                  <c:v>625</c:v>
                </c:pt>
                <c:pt idx="562">
                  <c:v>626</c:v>
                </c:pt>
                <c:pt idx="563">
                  <c:v>627</c:v>
                </c:pt>
                <c:pt idx="564">
                  <c:v>628</c:v>
                </c:pt>
                <c:pt idx="565">
                  <c:v>629</c:v>
                </c:pt>
                <c:pt idx="566">
                  <c:v>630</c:v>
                </c:pt>
                <c:pt idx="567">
                  <c:v>631</c:v>
                </c:pt>
                <c:pt idx="568">
                  <c:v>632</c:v>
                </c:pt>
                <c:pt idx="569">
                  <c:v>633</c:v>
                </c:pt>
                <c:pt idx="570">
                  <c:v>634</c:v>
                </c:pt>
                <c:pt idx="571">
                  <c:v>635</c:v>
                </c:pt>
                <c:pt idx="572">
                  <c:v>636</c:v>
                </c:pt>
                <c:pt idx="573">
                  <c:v>637</c:v>
                </c:pt>
                <c:pt idx="574">
                  <c:v>638</c:v>
                </c:pt>
                <c:pt idx="575">
                  <c:v>639</c:v>
                </c:pt>
                <c:pt idx="576">
                  <c:v>640</c:v>
                </c:pt>
                <c:pt idx="577">
                  <c:v>641</c:v>
                </c:pt>
                <c:pt idx="578">
                  <c:v>642</c:v>
                </c:pt>
                <c:pt idx="579">
                  <c:v>643</c:v>
                </c:pt>
                <c:pt idx="580">
                  <c:v>644</c:v>
                </c:pt>
                <c:pt idx="581">
                  <c:v>645</c:v>
                </c:pt>
                <c:pt idx="582">
                  <c:v>646</c:v>
                </c:pt>
                <c:pt idx="583">
                  <c:v>647</c:v>
                </c:pt>
                <c:pt idx="584">
                  <c:v>648</c:v>
                </c:pt>
                <c:pt idx="585">
                  <c:v>649</c:v>
                </c:pt>
                <c:pt idx="586">
                  <c:v>650</c:v>
                </c:pt>
                <c:pt idx="587">
                  <c:v>651</c:v>
                </c:pt>
                <c:pt idx="588">
                  <c:v>652</c:v>
                </c:pt>
                <c:pt idx="589">
                  <c:v>653</c:v>
                </c:pt>
                <c:pt idx="590">
                  <c:v>654</c:v>
                </c:pt>
                <c:pt idx="591">
                  <c:v>655</c:v>
                </c:pt>
                <c:pt idx="592">
                  <c:v>656</c:v>
                </c:pt>
                <c:pt idx="593">
                  <c:v>657</c:v>
                </c:pt>
                <c:pt idx="594">
                  <c:v>658</c:v>
                </c:pt>
                <c:pt idx="595">
                  <c:v>659</c:v>
                </c:pt>
                <c:pt idx="596">
                  <c:v>660</c:v>
                </c:pt>
                <c:pt idx="597">
                  <c:v>661</c:v>
                </c:pt>
                <c:pt idx="598">
                  <c:v>662</c:v>
                </c:pt>
                <c:pt idx="599">
                  <c:v>663</c:v>
                </c:pt>
                <c:pt idx="600">
                  <c:v>664</c:v>
                </c:pt>
                <c:pt idx="601">
                  <c:v>665</c:v>
                </c:pt>
                <c:pt idx="602">
                  <c:v>666</c:v>
                </c:pt>
                <c:pt idx="603">
                  <c:v>667</c:v>
                </c:pt>
                <c:pt idx="604">
                  <c:v>668</c:v>
                </c:pt>
                <c:pt idx="605">
                  <c:v>669</c:v>
                </c:pt>
                <c:pt idx="606">
                  <c:v>670</c:v>
                </c:pt>
                <c:pt idx="607">
                  <c:v>671</c:v>
                </c:pt>
                <c:pt idx="608">
                  <c:v>672</c:v>
                </c:pt>
                <c:pt idx="609">
                  <c:v>673</c:v>
                </c:pt>
                <c:pt idx="610">
                  <c:v>674</c:v>
                </c:pt>
                <c:pt idx="611">
                  <c:v>675</c:v>
                </c:pt>
                <c:pt idx="612">
                  <c:v>676</c:v>
                </c:pt>
                <c:pt idx="613">
                  <c:v>677</c:v>
                </c:pt>
                <c:pt idx="614">
                  <c:v>678</c:v>
                </c:pt>
                <c:pt idx="615">
                  <c:v>679</c:v>
                </c:pt>
                <c:pt idx="616">
                  <c:v>680</c:v>
                </c:pt>
                <c:pt idx="617">
                  <c:v>681</c:v>
                </c:pt>
                <c:pt idx="618">
                  <c:v>682</c:v>
                </c:pt>
                <c:pt idx="619">
                  <c:v>683</c:v>
                </c:pt>
                <c:pt idx="620">
                  <c:v>684</c:v>
                </c:pt>
                <c:pt idx="621">
                  <c:v>685</c:v>
                </c:pt>
                <c:pt idx="622">
                  <c:v>686</c:v>
                </c:pt>
                <c:pt idx="623">
                  <c:v>687</c:v>
                </c:pt>
                <c:pt idx="624">
                  <c:v>688</c:v>
                </c:pt>
                <c:pt idx="625">
                  <c:v>689</c:v>
                </c:pt>
                <c:pt idx="626">
                  <c:v>690</c:v>
                </c:pt>
                <c:pt idx="627">
                  <c:v>691</c:v>
                </c:pt>
                <c:pt idx="628">
                  <c:v>692</c:v>
                </c:pt>
                <c:pt idx="629">
                  <c:v>693</c:v>
                </c:pt>
                <c:pt idx="630">
                  <c:v>694</c:v>
                </c:pt>
                <c:pt idx="631">
                  <c:v>695</c:v>
                </c:pt>
                <c:pt idx="632">
                  <c:v>696</c:v>
                </c:pt>
                <c:pt idx="633">
                  <c:v>697</c:v>
                </c:pt>
                <c:pt idx="634">
                  <c:v>698</c:v>
                </c:pt>
                <c:pt idx="635">
                  <c:v>699</c:v>
                </c:pt>
                <c:pt idx="636">
                  <c:v>700</c:v>
                </c:pt>
                <c:pt idx="637">
                  <c:v>701</c:v>
                </c:pt>
                <c:pt idx="638">
                  <c:v>702</c:v>
                </c:pt>
                <c:pt idx="639">
                  <c:v>703</c:v>
                </c:pt>
                <c:pt idx="640">
                  <c:v>704</c:v>
                </c:pt>
                <c:pt idx="641">
                  <c:v>705</c:v>
                </c:pt>
                <c:pt idx="642">
                  <c:v>706</c:v>
                </c:pt>
                <c:pt idx="643">
                  <c:v>707</c:v>
                </c:pt>
                <c:pt idx="644">
                  <c:v>708</c:v>
                </c:pt>
                <c:pt idx="645">
                  <c:v>709</c:v>
                </c:pt>
                <c:pt idx="646">
                  <c:v>710</c:v>
                </c:pt>
                <c:pt idx="647">
                  <c:v>711</c:v>
                </c:pt>
                <c:pt idx="648">
                  <c:v>712</c:v>
                </c:pt>
                <c:pt idx="649">
                  <c:v>713</c:v>
                </c:pt>
                <c:pt idx="650">
                  <c:v>714</c:v>
                </c:pt>
                <c:pt idx="651">
                  <c:v>715</c:v>
                </c:pt>
                <c:pt idx="652">
                  <c:v>716</c:v>
                </c:pt>
                <c:pt idx="653">
                  <c:v>717</c:v>
                </c:pt>
                <c:pt idx="654">
                  <c:v>718</c:v>
                </c:pt>
                <c:pt idx="655">
                  <c:v>719</c:v>
                </c:pt>
                <c:pt idx="656">
                  <c:v>720</c:v>
                </c:pt>
                <c:pt idx="657">
                  <c:v>721</c:v>
                </c:pt>
                <c:pt idx="658">
                  <c:v>722</c:v>
                </c:pt>
                <c:pt idx="659">
                  <c:v>723</c:v>
                </c:pt>
                <c:pt idx="660">
                  <c:v>724</c:v>
                </c:pt>
                <c:pt idx="661">
                  <c:v>725</c:v>
                </c:pt>
                <c:pt idx="662">
                  <c:v>726</c:v>
                </c:pt>
                <c:pt idx="663">
                  <c:v>727</c:v>
                </c:pt>
                <c:pt idx="664">
                  <c:v>728</c:v>
                </c:pt>
                <c:pt idx="665">
                  <c:v>729</c:v>
                </c:pt>
                <c:pt idx="666">
                  <c:v>730</c:v>
                </c:pt>
                <c:pt idx="667">
                  <c:v>731</c:v>
                </c:pt>
                <c:pt idx="668">
                  <c:v>732</c:v>
                </c:pt>
                <c:pt idx="669">
                  <c:v>733</c:v>
                </c:pt>
                <c:pt idx="670">
                  <c:v>734</c:v>
                </c:pt>
                <c:pt idx="671">
                  <c:v>735</c:v>
                </c:pt>
                <c:pt idx="672">
                  <c:v>736</c:v>
                </c:pt>
                <c:pt idx="673">
                  <c:v>737</c:v>
                </c:pt>
                <c:pt idx="674">
                  <c:v>738</c:v>
                </c:pt>
                <c:pt idx="675">
                  <c:v>739</c:v>
                </c:pt>
                <c:pt idx="676">
                  <c:v>740</c:v>
                </c:pt>
                <c:pt idx="677">
                  <c:v>741</c:v>
                </c:pt>
                <c:pt idx="678">
                  <c:v>742</c:v>
                </c:pt>
                <c:pt idx="679">
                  <c:v>743</c:v>
                </c:pt>
                <c:pt idx="680">
                  <c:v>744</c:v>
                </c:pt>
                <c:pt idx="681">
                  <c:v>745</c:v>
                </c:pt>
                <c:pt idx="682">
                  <c:v>746</c:v>
                </c:pt>
                <c:pt idx="683">
                  <c:v>747</c:v>
                </c:pt>
                <c:pt idx="684">
                  <c:v>748</c:v>
                </c:pt>
                <c:pt idx="685">
                  <c:v>749</c:v>
                </c:pt>
                <c:pt idx="686">
                  <c:v>750</c:v>
                </c:pt>
                <c:pt idx="687">
                  <c:v>751</c:v>
                </c:pt>
                <c:pt idx="688">
                  <c:v>752</c:v>
                </c:pt>
                <c:pt idx="689">
                  <c:v>753</c:v>
                </c:pt>
                <c:pt idx="690">
                  <c:v>754</c:v>
                </c:pt>
                <c:pt idx="691">
                  <c:v>755</c:v>
                </c:pt>
                <c:pt idx="692">
                  <c:v>756</c:v>
                </c:pt>
                <c:pt idx="693">
                  <c:v>757</c:v>
                </c:pt>
                <c:pt idx="694">
                  <c:v>758</c:v>
                </c:pt>
                <c:pt idx="695">
                  <c:v>759</c:v>
                </c:pt>
                <c:pt idx="696">
                  <c:v>760</c:v>
                </c:pt>
                <c:pt idx="697">
                  <c:v>761</c:v>
                </c:pt>
                <c:pt idx="698">
                  <c:v>762</c:v>
                </c:pt>
                <c:pt idx="699">
                  <c:v>763</c:v>
                </c:pt>
                <c:pt idx="700">
                  <c:v>764</c:v>
                </c:pt>
                <c:pt idx="701">
                  <c:v>765</c:v>
                </c:pt>
                <c:pt idx="702">
                  <c:v>766</c:v>
                </c:pt>
                <c:pt idx="703">
                  <c:v>767</c:v>
                </c:pt>
                <c:pt idx="704">
                  <c:v>768</c:v>
                </c:pt>
                <c:pt idx="705">
                  <c:v>769</c:v>
                </c:pt>
                <c:pt idx="706">
                  <c:v>770</c:v>
                </c:pt>
                <c:pt idx="707">
                  <c:v>771</c:v>
                </c:pt>
                <c:pt idx="708">
                  <c:v>772</c:v>
                </c:pt>
                <c:pt idx="709">
                  <c:v>773</c:v>
                </c:pt>
                <c:pt idx="710">
                  <c:v>774</c:v>
                </c:pt>
                <c:pt idx="711">
                  <c:v>775</c:v>
                </c:pt>
                <c:pt idx="712">
                  <c:v>776</c:v>
                </c:pt>
                <c:pt idx="713">
                  <c:v>777</c:v>
                </c:pt>
                <c:pt idx="714">
                  <c:v>778</c:v>
                </c:pt>
                <c:pt idx="715">
                  <c:v>779</c:v>
                </c:pt>
                <c:pt idx="716">
                  <c:v>780</c:v>
                </c:pt>
                <c:pt idx="717">
                  <c:v>781</c:v>
                </c:pt>
                <c:pt idx="718">
                  <c:v>782</c:v>
                </c:pt>
                <c:pt idx="719">
                  <c:v>783</c:v>
                </c:pt>
                <c:pt idx="720">
                  <c:v>784</c:v>
                </c:pt>
                <c:pt idx="721">
                  <c:v>785</c:v>
                </c:pt>
                <c:pt idx="722">
                  <c:v>786</c:v>
                </c:pt>
                <c:pt idx="723">
                  <c:v>787</c:v>
                </c:pt>
                <c:pt idx="724">
                  <c:v>788</c:v>
                </c:pt>
                <c:pt idx="725">
                  <c:v>789</c:v>
                </c:pt>
                <c:pt idx="726">
                  <c:v>790</c:v>
                </c:pt>
                <c:pt idx="727">
                  <c:v>791</c:v>
                </c:pt>
                <c:pt idx="728">
                  <c:v>792</c:v>
                </c:pt>
                <c:pt idx="729">
                  <c:v>793</c:v>
                </c:pt>
                <c:pt idx="730">
                  <c:v>794</c:v>
                </c:pt>
                <c:pt idx="731">
                  <c:v>795</c:v>
                </c:pt>
                <c:pt idx="732">
                  <c:v>796</c:v>
                </c:pt>
                <c:pt idx="733">
                  <c:v>797</c:v>
                </c:pt>
                <c:pt idx="734">
                  <c:v>798</c:v>
                </c:pt>
                <c:pt idx="735">
                  <c:v>799</c:v>
                </c:pt>
                <c:pt idx="736">
                  <c:v>800</c:v>
                </c:pt>
                <c:pt idx="737">
                  <c:v>801</c:v>
                </c:pt>
                <c:pt idx="738">
                  <c:v>802</c:v>
                </c:pt>
                <c:pt idx="739">
                  <c:v>803</c:v>
                </c:pt>
                <c:pt idx="740">
                  <c:v>804</c:v>
                </c:pt>
                <c:pt idx="741">
                  <c:v>805</c:v>
                </c:pt>
                <c:pt idx="742">
                  <c:v>806</c:v>
                </c:pt>
                <c:pt idx="743">
                  <c:v>807</c:v>
                </c:pt>
                <c:pt idx="744">
                  <c:v>808</c:v>
                </c:pt>
                <c:pt idx="745">
                  <c:v>809</c:v>
                </c:pt>
                <c:pt idx="746">
                  <c:v>810</c:v>
                </c:pt>
                <c:pt idx="747">
                  <c:v>811</c:v>
                </c:pt>
                <c:pt idx="748">
                  <c:v>812</c:v>
                </c:pt>
                <c:pt idx="749">
                  <c:v>813</c:v>
                </c:pt>
                <c:pt idx="750">
                  <c:v>814</c:v>
                </c:pt>
                <c:pt idx="751">
                  <c:v>815</c:v>
                </c:pt>
                <c:pt idx="752">
                  <c:v>816</c:v>
                </c:pt>
                <c:pt idx="753">
                  <c:v>817</c:v>
                </c:pt>
                <c:pt idx="754">
                  <c:v>818</c:v>
                </c:pt>
                <c:pt idx="755">
                  <c:v>819</c:v>
                </c:pt>
                <c:pt idx="756">
                  <c:v>820</c:v>
                </c:pt>
                <c:pt idx="757">
                  <c:v>821</c:v>
                </c:pt>
                <c:pt idx="758">
                  <c:v>822</c:v>
                </c:pt>
                <c:pt idx="759">
                  <c:v>823</c:v>
                </c:pt>
                <c:pt idx="760">
                  <c:v>824</c:v>
                </c:pt>
                <c:pt idx="761">
                  <c:v>825</c:v>
                </c:pt>
                <c:pt idx="762">
                  <c:v>826</c:v>
                </c:pt>
                <c:pt idx="763">
                  <c:v>827</c:v>
                </c:pt>
                <c:pt idx="764">
                  <c:v>828</c:v>
                </c:pt>
                <c:pt idx="765">
                  <c:v>829</c:v>
                </c:pt>
                <c:pt idx="766">
                  <c:v>830</c:v>
                </c:pt>
                <c:pt idx="767">
                  <c:v>831</c:v>
                </c:pt>
                <c:pt idx="768">
                  <c:v>832</c:v>
                </c:pt>
                <c:pt idx="769">
                  <c:v>833</c:v>
                </c:pt>
                <c:pt idx="770">
                  <c:v>834</c:v>
                </c:pt>
                <c:pt idx="771">
                  <c:v>835</c:v>
                </c:pt>
                <c:pt idx="772">
                  <c:v>836</c:v>
                </c:pt>
                <c:pt idx="773">
                  <c:v>837</c:v>
                </c:pt>
                <c:pt idx="774">
                  <c:v>838</c:v>
                </c:pt>
                <c:pt idx="775">
                  <c:v>839</c:v>
                </c:pt>
                <c:pt idx="776">
                  <c:v>840</c:v>
                </c:pt>
                <c:pt idx="777">
                  <c:v>841</c:v>
                </c:pt>
                <c:pt idx="778">
                  <c:v>842</c:v>
                </c:pt>
                <c:pt idx="779">
                  <c:v>843</c:v>
                </c:pt>
                <c:pt idx="780">
                  <c:v>844</c:v>
                </c:pt>
                <c:pt idx="781">
                  <c:v>845</c:v>
                </c:pt>
                <c:pt idx="782">
                  <c:v>846</c:v>
                </c:pt>
                <c:pt idx="783">
                  <c:v>847</c:v>
                </c:pt>
                <c:pt idx="784">
                  <c:v>848</c:v>
                </c:pt>
                <c:pt idx="785">
                  <c:v>849</c:v>
                </c:pt>
                <c:pt idx="786">
                  <c:v>850</c:v>
                </c:pt>
                <c:pt idx="787">
                  <c:v>851</c:v>
                </c:pt>
                <c:pt idx="788">
                  <c:v>852</c:v>
                </c:pt>
                <c:pt idx="789">
                  <c:v>853</c:v>
                </c:pt>
                <c:pt idx="790">
                  <c:v>854</c:v>
                </c:pt>
                <c:pt idx="791">
                  <c:v>855</c:v>
                </c:pt>
                <c:pt idx="792">
                  <c:v>856</c:v>
                </c:pt>
                <c:pt idx="793">
                  <c:v>857</c:v>
                </c:pt>
                <c:pt idx="794">
                  <c:v>858</c:v>
                </c:pt>
                <c:pt idx="795">
                  <c:v>859</c:v>
                </c:pt>
                <c:pt idx="796">
                  <c:v>860</c:v>
                </c:pt>
                <c:pt idx="797">
                  <c:v>861</c:v>
                </c:pt>
                <c:pt idx="798">
                  <c:v>862</c:v>
                </c:pt>
                <c:pt idx="799">
                  <c:v>863</c:v>
                </c:pt>
                <c:pt idx="800">
                  <c:v>864</c:v>
                </c:pt>
                <c:pt idx="801">
                  <c:v>865</c:v>
                </c:pt>
                <c:pt idx="802">
                  <c:v>866</c:v>
                </c:pt>
                <c:pt idx="803">
                  <c:v>867</c:v>
                </c:pt>
                <c:pt idx="804">
                  <c:v>868</c:v>
                </c:pt>
                <c:pt idx="805">
                  <c:v>869</c:v>
                </c:pt>
                <c:pt idx="806">
                  <c:v>870</c:v>
                </c:pt>
                <c:pt idx="807">
                  <c:v>871</c:v>
                </c:pt>
                <c:pt idx="808">
                  <c:v>872</c:v>
                </c:pt>
                <c:pt idx="809">
                  <c:v>873</c:v>
                </c:pt>
                <c:pt idx="810">
                  <c:v>874</c:v>
                </c:pt>
                <c:pt idx="811">
                  <c:v>875</c:v>
                </c:pt>
                <c:pt idx="812">
                  <c:v>876</c:v>
                </c:pt>
                <c:pt idx="813">
                  <c:v>877</c:v>
                </c:pt>
                <c:pt idx="814">
                  <c:v>878</c:v>
                </c:pt>
                <c:pt idx="815">
                  <c:v>879</c:v>
                </c:pt>
                <c:pt idx="816">
                  <c:v>880</c:v>
                </c:pt>
                <c:pt idx="817">
                  <c:v>881</c:v>
                </c:pt>
                <c:pt idx="818">
                  <c:v>882</c:v>
                </c:pt>
                <c:pt idx="819">
                  <c:v>883</c:v>
                </c:pt>
                <c:pt idx="820">
                  <c:v>884</c:v>
                </c:pt>
                <c:pt idx="821">
                  <c:v>885</c:v>
                </c:pt>
                <c:pt idx="822">
                  <c:v>886</c:v>
                </c:pt>
                <c:pt idx="823">
                  <c:v>887</c:v>
                </c:pt>
                <c:pt idx="824">
                  <c:v>888</c:v>
                </c:pt>
                <c:pt idx="825">
                  <c:v>889</c:v>
                </c:pt>
                <c:pt idx="826">
                  <c:v>890</c:v>
                </c:pt>
                <c:pt idx="827">
                  <c:v>891</c:v>
                </c:pt>
                <c:pt idx="828">
                  <c:v>892</c:v>
                </c:pt>
                <c:pt idx="829">
                  <c:v>893</c:v>
                </c:pt>
                <c:pt idx="830">
                  <c:v>894</c:v>
                </c:pt>
                <c:pt idx="831">
                  <c:v>895</c:v>
                </c:pt>
                <c:pt idx="832">
                  <c:v>896</c:v>
                </c:pt>
                <c:pt idx="833">
                  <c:v>897</c:v>
                </c:pt>
                <c:pt idx="834">
                  <c:v>898</c:v>
                </c:pt>
                <c:pt idx="835">
                  <c:v>899</c:v>
                </c:pt>
                <c:pt idx="836">
                  <c:v>900</c:v>
                </c:pt>
                <c:pt idx="837">
                  <c:v>901</c:v>
                </c:pt>
                <c:pt idx="838">
                  <c:v>902</c:v>
                </c:pt>
                <c:pt idx="839">
                  <c:v>903</c:v>
                </c:pt>
                <c:pt idx="840">
                  <c:v>904</c:v>
                </c:pt>
                <c:pt idx="841">
                  <c:v>905</c:v>
                </c:pt>
                <c:pt idx="842">
                  <c:v>906</c:v>
                </c:pt>
                <c:pt idx="843">
                  <c:v>907</c:v>
                </c:pt>
                <c:pt idx="844">
                  <c:v>908</c:v>
                </c:pt>
                <c:pt idx="845">
                  <c:v>909</c:v>
                </c:pt>
                <c:pt idx="846">
                  <c:v>910</c:v>
                </c:pt>
                <c:pt idx="847">
                  <c:v>911</c:v>
                </c:pt>
                <c:pt idx="848">
                  <c:v>912</c:v>
                </c:pt>
                <c:pt idx="849">
                  <c:v>913</c:v>
                </c:pt>
                <c:pt idx="850">
                  <c:v>914</c:v>
                </c:pt>
                <c:pt idx="851">
                  <c:v>915</c:v>
                </c:pt>
                <c:pt idx="852">
                  <c:v>916</c:v>
                </c:pt>
                <c:pt idx="853">
                  <c:v>917</c:v>
                </c:pt>
                <c:pt idx="854">
                  <c:v>918</c:v>
                </c:pt>
                <c:pt idx="855">
                  <c:v>919</c:v>
                </c:pt>
                <c:pt idx="856">
                  <c:v>920</c:v>
                </c:pt>
                <c:pt idx="857">
                  <c:v>921</c:v>
                </c:pt>
                <c:pt idx="858">
                  <c:v>922</c:v>
                </c:pt>
                <c:pt idx="859">
                  <c:v>923</c:v>
                </c:pt>
                <c:pt idx="860">
                  <c:v>924</c:v>
                </c:pt>
                <c:pt idx="861">
                  <c:v>925</c:v>
                </c:pt>
                <c:pt idx="862">
                  <c:v>926</c:v>
                </c:pt>
                <c:pt idx="863">
                  <c:v>927</c:v>
                </c:pt>
                <c:pt idx="864">
                  <c:v>928</c:v>
                </c:pt>
                <c:pt idx="865">
                  <c:v>929</c:v>
                </c:pt>
                <c:pt idx="866">
                  <c:v>930</c:v>
                </c:pt>
                <c:pt idx="867">
                  <c:v>931</c:v>
                </c:pt>
                <c:pt idx="868">
                  <c:v>932</c:v>
                </c:pt>
                <c:pt idx="869">
                  <c:v>933</c:v>
                </c:pt>
                <c:pt idx="870">
                  <c:v>934</c:v>
                </c:pt>
                <c:pt idx="871">
                  <c:v>935</c:v>
                </c:pt>
                <c:pt idx="872">
                  <c:v>936</c:v>
                </c:pt>
                <c:pt idx="873">
                  <c:v>937</c:v>
                </c:pt>
                <c:pt idx="874">
                  <c:v>938</c:v>
                </c:pt>
                <c:pt idx="875">
                  <c:v>939</c:v>
                </c:pt>
                <c:pt idx="876">
                  <c:v>940</c:v>
                </c:pt>
                <c:pt idx="877">
                  <c:v>941</c:v>
                </c:pt>
                <c:pt idx="878">
                  <c:v>942</c:v>
                </c:pt>
                <c:pt idx="879">
                  <c:v>943</c:v>
                </c:pt>
                <c:pt idx="880">
                  <c:v>944</c:v>
                </c:pt>
                <c:pt idx="881">
                  <c:v>945</c:v>
                </c:pt>
                <c:pt idx="882">
                  <c:v>946</c:v>
                </c:pt>
                <c:pt idx="883">
                  <c:v>947</c:v>
                </c:pt>
                <c:pt idx="884">
                  <c:v>948</c:v>
                </c:pt>
                <c:pt idx="885">
                  <c:v>949</c:v>
                </c:pt>
                <c:pt idx="886">
                  <c:v>950</c:v>
                </c:pt>
                <c:pt idx="887">
                  <c:v>951</c:v>
                </c:pt>
                <c:pt idx="888">
                  <c:v>952</c:v>
                </c:pt>
                <c:pt idx="889">
                  <c:v>953</c:v>
                </c:pt>
                <c:pt idx="890">
                  <c:v>954</c:v>
                </c:pt>
                <c:pt idx="891">
                  <c:v>955</c:v>
                </c:pt>
                <c:pt idx="892">
                  <c:v>956</c:v>
                </c:pt>
                <c:pt idx="893">
                  <c:v>957</c:v>
                </c:pt>
                <c:pt idx="894">
                  <c:v>958</c:v>
                </c:pt>
                <c:pt idx="895">
                  <c:v>959</c:v>
                </c:pt>
                <c:pt idx="896">
                  <c:v>960</c:v>
                </c:pt>
                <c:pt idx="897">
                  <c:v>961</c:v>
                </c:pt>
                <c:pt idx="898">
                  <c:v>962</c:v>
                </c:pt>
                <c:pt idx="899">
                  <c:v>963</c:v>
                </c:pt>
                <c:pt idx="900">
                  <c:v>964</c:v>
                </c:pt>
                <c:pt idx="901">
                  <c:v>965</c:v>
                </c:pt>
                <c:pt idx="902">
                  <c:v>966</c:v>
                </c:pt>
                <c:pt idx="903">
                  <c:v>967</c:v>
                </c:pt>
                <c:pt idx="904">
                  <c:v>968</c:v>
                </c:pt>
                <c:pt idx="905">
                  <c:v>969</c:v>
                </c:pt>
                <c:pt idx="906">
                  <c:v>970</c:v>
                </c:pt>
                <c:pt idx="907">
                  <c:v>971</c:v>
                </c:pt>
                <c:pt idx="908">
                  <c:v>972</c:v>
                </c:pt>
                <c:pt idx="909">
                  <c:v>973</c:v>
                </c:pt>
                <c:pt idx="910">
                  <c:v>974</c:v>
                </c:pt>
                <c:pt idx="911">
                  <c:v>975</c:v>
                </c:pt>
                <c:pt idx="912">
                  <c:v>976</c:v>
                </c:pt>
                <c:pt idx="913">
                  <c:v>977</c:v>
                </c:pt>
                <c:pt idx="914">
                  <c:v>978</c:v>
                </c:pt>
                <c:pt idx="915">
                  <c:v>979</c:v>
                </c:pt>
                <c:pt idx="916">
                  <c:v>980</c:v>
                </c:pt>
                <c:pt idx="917">
                  <c:v>981</c:v>
                </c:pt>
                <c:pt idx="918">
                  <c:v>982</c:v>
                </c:pt>
                <c:pt idx="919">
                  <c:v>983</c:v>
                </c:pt>
                <c:pt idx="920">
                  <c:v>984</c:v>
                </c:pt>
                <c:pt idx="921">
                  <c:v>985</c:v>
                </c:pt>
                <c:pt idx="922">
                  <c:v>986</c:v>
                </c:pt>
                <c:pt idx="923">
                  <c:v>987</c:v>
                </c:pt>
                <c:pt idx="924">
                  <c:v>988</c:v>
                </c:pt>
                <c:pt idx="925">
                  <c:v>989</c:v>
                </c:pt>
                <c:pt idx="926">
                  <c:v>990</c:v>
                </c:pt>
                <c:pt idx="927">
                  <c:v>991</c:v>
                </c:pt>
                <c:pt idx="928">
                  <c:v>992</c:v>
                </c:pt>
                <c:pt idx="929">
                  <c:v>993</c:v>
                </c:pt>
                <c:pt idx="930">
                  <c:v>994</c:v>
                </c:pt>
                <c:pt idx="931">
                  <c:v>995</c:v>
                </c:pt>
                <c:pt idx="932">
                  <c:v>996</c:v>
                </c:pt>
                <c:pt idx="933">
                  <c:v>997</c:v>
                </c:pt>
                <c:pt idx="934">
                  <c:v>998</c:v>
                </c:pt>
                <c:pt idx="935">
                  <c:v>999</c:v>
                </c:pt>
                <c:pt idx="936">
                  <c:v>1000</c:v>
                </c:pt>
                <c:pt idx="937">
                  <c:v>1001</c:v>
                </c:pt>
                <c:pt idx="938">
                  <c:v>1002</c:v>
                </c:pt>
                <c:pt idx="939">
                  <c:v>1003</c:v>
                </c:pt>
                <c:pt idx="940">
                  <c:v>1004</c:v>
                </c:pt>
                <c:pt idx="941">
                  <c:v>1005</c:v>
                </c:pt>
                <c:pt idx="942">
                  <c:v>1006</c:v>
                </c:pt>
                <c:pt idx="943">
                  <c:v>1007</c:v>
                </c:pt>
                <c:pt idx="944">
                  <c:v>1008</c:v>
                </c:pt>
                <c:pt idx="945">
                  <c:v>1009</c:v>
                </c:pt>
                <c:pt idx="946">
                  <c:v>1010</c:v>
                </c:pt>
                <c:pt idx="947">
                  <c:v>1011</c:v>
                </c:pt>
                <c:pt idx="948">
                  <c:v>1012</c:v>
                </c:pt>
                <c:pt idx="949">
                  <c:v>1013</c:v>
                </c:pt>
                <c:pt idx="950">
                  <c:v>1014</c:v>
                </c:pt>
                <c:pt idx="951">
                  <c:v>1015</c:v>
                </c:pt>
                <c:pt idx="952">
                  <c:v>1016</c:v>
                </c:pt>
                <c:pt idx="953">
                  <c:v>1017</c:v>
                </c:pt>
                <c:pt idx="954">
                  <c:v>1018</c:v>
                </c:pt>
                <c:pt idx="955">
                  <c:v>1019</c:v>
                </c:pt>
                <c:pt idx="956">
                  <c:v>1020</c:v>
                </c:pt>
                <c:pt idx="957">
                  <c:v>1021</c:v>
                </c:pt>
                <c:pt idx="958">
                  <c:v>1022</c:v>
                </c:pt>
                <c:pt idx="959">
                  <c:v>1023</c:v>
                </c:pt>
                <c:pt idx="960">
                  <c:v>1024</c:v>
                </c:pt>
                <c:pt idx="961">
                  <c:v>1025</c:v>
                </c:pt>
                <c:pt idx="962">
                  <c:v>1026</c:v>
                </c:pt>
                <c:pt idx="963">
                  <c:v>1027</c:v>
                </c:pt>
                <c:pt idx="964">
                  <c:v>1028</c:v>
                </c:pt>
                <c:pt idx="965">
                  <c:v>1029</c:v>
                </c:pt>
                <c:pt idx="966">
                  <c:v>1030</c:v>
                </c:pt>
                <c:pt idx="967">
                  <c:v>1031</c:v>
                </c:pt>
                <c:pt idx="968">
                  <c:v>1032</c:v>
                </c:pt>
                <c:pt idx="969">
                  <c:v>1033</c:v>
                </c:pt>
                <c:pt idx="970">
                  <c:v>1034</c:v>
                </c:pt>
                <c:pt idx="971">
                  <c:v>1035</c:v>
                </c:pt>
                <c:pt idx="972">
                  <c:v>1036</c:v>
                </c:pt>
                <c:pt idx="973">
                  <c:v>1037</c:v>
                </c:pt>
                <c:pt idx="974">
                  <c:v>1038</c:v>
                </c:pt>
                <c:pt idx="975">
                  <c:v>1039</c:v>
                </c:pt>
                <c:pt idx="976">
                  <c:v>1040</c:v>
                </c:pt>
                <c:pt idx="977">
                  <c:v>1041</c:v>
                </c:pt>
                <c:pt idx="978">
                  <c:v>1042</c:v>
                </c:pt>
                <c:pt idx="979">
                  <c:v>1043</c:v>
                </c:pt>
                <c:pt idx="980">
                  <c:v>1044</c:v>
                </c:pt>
                <c:pt idx="981">
                  <c:v>1045</c:v>
                </c:pt>
                <c:pt idx="982">
                  <c:v>1046</c:v>
                </c:pt>
                <c:pt idx="983">
                  <c:v>1047</c:v>
                </c:pt>
                <c:pt idx="984">
                  <c:v>1048</c:v>
                </c:pt>
                <c:pt idx="985">
                  <c:v>1049</c:v>
                </c:pt>
                <c:pt idx="986">
                  <c:v>1050</c:v>
                </c:pt>
                <c:pt idx="987">
                  <c:v>1051</c:v>
                </c:pt>
                <c:pt idx="988">
                  <c:v>1052</c:v>
                </c:pt>
                <c:pt idx="989">
                  <c:v>1053</c:v>
                </c:pt>
                <c:pt idx="990">
                  <c:v>1054</c:v>
                </c:pt>
                <c:pt idx="991">
                  <c:v>1055</c:v>
                </c:pt>
                <c:pt idx="992">
                  <c:v>1056</c:v>
                </c:pt>
                <c:pt idx="993">
                  <c:v>1057</c:v>
                </c:pt>
                <c:pt idx="994">
                  <c:v>1058</c:v>
                </c:pt>
                <c:pt idx="995">
                  <c:v>1059</c:v>
                </c:pt>
                <c:pt idx="996">
                  <c:v>1060</c:v>
                </c:pt>
                <c:pt idx="997">
                  <c:v>1061</c:v>
                </c:pt>
                <c:pt idx="998">
                  <c:v>1062</c:v>
                </c:pt>
                <c:pt idx="999">
                  <c:v>1063</c:v>
                </c:pt>
                <c:pt idx="1000">
                  <c:v>1064</c:v>
                </c:pt>
                <c:pt idx="1001">
                  <c:v>1065</c:v>
                </c:pt>
                <c:pt idx="1002">
                  <c:v>1066</c:v>
                </c:pt>
                <c:pt idx="1003">
                  <c:v>1067</c:v>
                </c:pt>
                <c:pt idx="1004">
                  <c:v>1068</c:v>
                </c:pt>
                <c:pt idx="1005">
                  <c:v>1069</c:v>
                </c:pt>
                <c:pt idx="1006">
                  <c:v>1070</c:v>
                </c:pt>
                <c:pt idx="1007">
                  <c:v>1071</c:v>
                </c:pt>
                <c:pt idx="1008">
                  <c:v>1072</c:v>
                </c:pt>
                <c:pt idx="1009">
                  <c:v>1073</c:v>
                </c:pt>
                <c:pt idx="1010">
                  <c:v>1074</c:v>
                </c:pt>
                <c:pt idx="1011">
                  <c:v>1075</c:v>
                </c:pt>
                <c:pt idx="1012">
                  <c:v>1076</c:v>
                </c:pt>
                <c:pt idx="1013">
                  <c:v>1077</c:v>
                </c:pt>
                <c:pt idx="1014">
                  <c:v>1078</c:v>
                </c:pt>
                <c:pt idx="1015">
                  <c:v>1079</c:v>
                </c:pt>
                <c:pt idx="1016">
                  <c:v>1080</c:v>
                </c:pt>
                <c:pt idx="1017">
                  <c:v>1081</c:v>
                </c:pt>
                <c:pt idx="1018">
                  <c:v>1082</c:v>
                </c:pt>
                <c:pt idx="1019">
                  <c:v>1083</c:v>
                </c:pt>
                <c:pt idx="1020">
                  <c:v>1084</c:v>
                </c:pt>
                <c:pt idx="1021">
                  <c:v>1085</c:v>
                </c:pt>
                <c:pt idx="1022">
                  <c:v>1086</c:v>
                </c:pt>
                <c:pt idx="1023">
                  <c:v>1087</c:v>
                </c:pt>
                <c:pt idx="1024">
                  <c:v>1088</c:v>
                </c:pt>
                <c:pt idx="1025">
                  <c:v>1089</c:v>
                </c:pt>
                <c:pt idx="1026">
                  <c:v>1090</c:v>
                </c:pt>
                <c:pt idx="1027">
                  <c:v>1091</c:v>
                </c:pt>
                <c:pt idx="1028">
                  <c:v>1092</c:v>
                </c:pt>
                <c:pt idx="1029">
                  <c:v>1093</c:v>
                </c:pt>
                <c:pt idx="1030">
                  <c:v>1094</c:v>
                </c:pt>
                <c:pt idx="1031">
                  <c:v>1095</c:v>
                </c:pt>
                <c:pt idx="1032">
                  <c:v>1096</c:v>
                </c:pt>
                <c:pt idx="1033">
                  <c:v>1097</c:v>
                </c:pt>
                <c:pt idx="1034">
                  <c:v>1098</c:v>
                </c:pt>
                <c:pt idx="1035">
                  <c:v>1099</c:v>
                </c:pt>
                <c:pt idx="1036">
                  <c:v>1100</c:v>
                </c:pt>
                <c:pt idx="1037">
                  <c:v>1101</c:v>
                </c:pt>
                <c:pt idx="1038">
                  <c:v>1102</c:v>
                </c:pt>
                <c:pt idx="1039">
                  <c:v>1103</c:v>
                </c:pt>
                <c:pt idx="1040">
                  <c:v>1104</c:v>
                </c:pt>
                <c:pt idx="1041">
                  <c:v>1105</c:v>
                </c:pt>
                <c:pt idx="1042">
                  <c:v>1106</c:v>
                </c:pt>
                <c:pt idx="1043">
                  <c:v>1107</c:v>
                </c:pt>
                <c:pt idx="1044">
                  <c:v>1108</c:v>
                </c:pt>
                <c:pt idx="1045">
                  <c:v>1109</c:v>
                </c:pt>
                <c:pt idx="1046">
                  <c:v>1110</c:v>
                </c:pt>
                <c:pt idx="1047">
                  <c:v>1111</c:v>
                </c:pt>
                <c:pt idx="1048">
                  <c:v>1112</c:v>
                </c:pt>
                <c:pt idx="1049">
                  <c:v>1113</c:v>
                </c:pt>
                <c:pt idx="1050">
                  <c:v>1114</c:v>
                </c:pt>
                <c:pt idx="1051">
                  <c:v>1115</c:v>
                </c:pt>
                <c:pt idx="1052">
                  <c:v>1116</c:v>
                </c:pt>
                <c:pt idx="1053">
                  <c:v>1117</c:v>
                </c:pt>
                <c:pt idx="1054">
                  <c:v>1118</c:v>
                </c:pt>
                <c:pt idx="1055">
                  <c:v>1119</c:v>
                </c:pt>
                <c:pt idx="1056">
                  <c:v>1120</c:v>
                </c:pt>
                <c:pt idx="1057">
                  <c:v>1121</c:v>
                </c:pt>
                <c:pt idx="1058">
                  <c:v>1122</c:v>
                </c:pt>
                <c:pt idx="1059">
                  <c:v>1123</c:v>
                </c:pt>
                <c:pt idx="1060">
                  <c:v>1124</c:v>
                </c:pt>
                <c:pt idx="1061">
                  <c:v>1125</c:v>
                </c:pt>
                <c:pt idx="1062">
                  <c:v>1126</c:v>
                </c:pt>
                <c:pt idx="1063">
                  <c:v>1127</c:v>
                </c:pt>
                <c:pt idx="1064">
                  <c:v>1128</c:v>
                </c:pt>
                <c:pt idx="1065">
                  <c:v>1129</c:v>
                </c:pt>
                <c:pt idx="1066">
                  <c:v>1130</c:v>
                </c:pt>
                <c:pt idx="1067">
                  <c:v>1131</c:v>
                </c:pt>
                <c:pt idx="1068">
                  <c:v>1132</c:v>
                </c:pt>
                <c:pt idx="1069">
                  <c:v>1133</c:v>
                </c:pt>
                <c:pt idx="1070">
                  <c:v>1134</c:v>
                </c:pt>
                <c:pt idx="1071">
                  <c:v>1135</c:v>
                </c:pt>
                <c:pt idx="1072">
                  <c:v>1136</c:v>
                </c:pt>
                <c:pt idx="1073">
                  <c:v>1137</c:v>
                </c:pt>
                <c:pt idx="1074">
                  <c:v>1138</c:v>
                </c:pt>
                <c:pt idx="1075">
                  <c:v>1139</c:v>
                </c:pt>
                <c:pt idx="1076">
                  <c:v>1140</c:v>
                </c:pt>
                <c:pt idx="1077">
                  <c:v>1141</c:v>
                </c:pt>
                <c:pt idx="1078">
                  <c:v>1142</c:v>
                </c:pt>
                <c:pt idx="1079">
                  <c:v>1143</c:v>
                </c:pt>
                <c:pt idx="1080">
                  <c:v>1144</c:v>
                </c:pt>
                <c:pt idx="1081">
                  <c:v>1145</c:v>
                </c:pt>
                <c:pt idx="1082">
                  <c:v>1146</c:v>
                </c:pt>
                <c:pt idx="1083">
                  <c:v>1147</c:v>
                </c:pt>
                <c:pt idx="1084">
                  <c:v>1148</c:v>
                </c:pt>
                <c:pt idx="1085">
                  <c:v>1149</c:v>
                </c:pt>
                <c:pt idx="1086">
                  <c:v>1150</c:v>
                </c:pt>
                <c:pt idx="1087">
                  <c:v>1151</c:v>
                </c:pt>
                <c:pt idx="1088">
                  <c:v>1152</c:v>
                </c:pt>
                <c:pt idx="1089">
                  <c:v>1153</c:v>
                </c:pt>
                <c:pt idx="1090">
                  <c:v>1154</c:v>
                </c:pt>
                <c:pt idx="1091">
                  <c:v>1155</c:v>
                </c:pt>
                <c:pt idx="1092">
                  <c:v>1156</c:v>
                </c:pt>
                <c:pt idx="1093">
                  <c:v>1157</c:v>
                </c:pt>
                <c:pt idx="1094">
                  <c:v>1158</c:v>
                </c:pt>
                <c:pt idx="1095">
                  <c:v>1159</c:v>
                </c:pt>
                <c:pt idx="1096">
                  <c:v>1160</c:v>
                </c:pt>
                <c:pt idx="1097">
                  <c:v>1161</c:v>
                </c:pt>
                <c:pt idx="1098">
                  <c:v>1162</c:v>
                </c:pt>
                <c:pt idx="1099">
                  <c:v>1163</c:v>
                </c:pt>
                <c:pt idx="1100">
                  <c:v>1164</c:v>
                </c:pt>
                <c:pt idx="1101">
                  <c:v>1165</c:v>
                </c:pt>
                <c:pt idx="1102">
                  <c:v>1166</c:v>
                </c:pt>
                <c:pt idx="1103">
                  <c:v>1167</c:v>
                </c:pt>
                <c:pt idx="1104">
                  <c:v>1168</c:v>
                </c:pt>
                <c:pt idx="1105">
                  <c:v>1169</c:v>
                </c:pt>
                <c:pt idx="1106">
                  <c:v>1170</c:v>
                </c:pt>
                <c:pt idx="1107">
                  <c:v>1171</c:v>
                </c:pt>
                <c:pt idx="1108">
                  <c:v>1172</c:v>
                </c:pt>
                <c:pt idx="1109">
                  <c:v>1173</c:v>
                </c:pt>
                <c:pt idx="1110">
                  <c:v>1174</c:v>
                </c:pt>
                <c:pt idx="1111">
                  <c:v>1175</c:v>
                </c:pt>
                <c:pt idx="1112">
                  <c:v>1176</c:v>
                </c:pt>
                <c:pt idx="1113">
                  <c:v>1177</c:v>
                </c:pt>
                <c:pt idx="1114">
                  <c:v>1178</c:v>
                </c:pt>
                <c:pt idx="1115">
                  <c:v>1179</c:v>
                </c:pt>
                <c:pt idx="1116">
                  <c:v>1180</c:v>
                </c:pt>
                <c:pt idx="1117">
                  <c:v>1181</c:v>
                </c:pt>
                <c:pt idx="1118">
                  <c:v>1182</c:v>
                </c:pt>
                <c:pt idx="1119">
                  <c:v>1183</c:v>
                </c:pt>
                <c:pt idx="1120">
                  <c:v>1184</c:v>
                </c:pt>
                <c:pt idx="1121">
                  <c:v>1185</c:v>
                </c:pt>
                <c:pt idx="1122">
                  <c:v>1186</c:v>
                </c:pt>
                <c:pt idx="1123">
                  <c:v>1187</c:v>
                </c:pt>
                <c:pt idx="1124">
                  <c:v>1188</c:v>
                </c:pt>
                <c:pt idx="1125">
                  <c:v>1189</c:v>
                </c:pt>
                <c:pt idx="1126">
                  <c:v>1190</c:v>
                </c:pt>
                <c:pt idx="1127">
                  <c:v>1191</c:v>
                </c:pt>
                <c:pt idx="1128">
                  <c:v>1192</c:v>
                </c:pt>
                <c:pt idx="1129">
                  <c:v>1193</c:v>
                </c:pt>
                <c:pt idx="1130">
                  <c:v>1194</c:v>
                </c:pt>
                <c:pt idx="1131">
                  <c:v>1195</c:v>
                </c:pt>
                <c:pt idx="1132">
                  <c:v>1196</c:v>
                </c:pt>
                <c:pt idx="1133">
                  <c:v>1197</c:v>
                </c:pt>
                <c:pt idx="1134">
                  <c:v>1198</c:v>
                </c:pt>
                <c:pt idx="1135">
                  <c:v>1199</c:v>
                </c:pt>
                <c:pt idx="1136">
                  <c:v>1200</c:v>
                </c:pt>
                <c:pt idx="1137">
                  <c:v>1201</c:v>
                </c:pt>
                <c:pt idx="1138">
                  <c:v>1202</c:v>
                </c:pt>
                <c:pt idx="1139">
                  <c:v>1203</c:v>
                </c:pt>
                <c:pt idx="1140">
                  <c:v>1204</c:v>
                </c:pt>
                <c:pt idx="1141">
                  <c:v>1205</c:v>
                </c:pt>
                <c:pt idx="1142">
                  <c:v>1206</c:v>
                </c:pt>
                <c:pt idx="1143">
                  <c:v>1207</c:v>
                </c:pt>
                <c:pt idx="1144">
                  <c:v>1208</c:v>
                </c:pt>
                <c:pt idx="1145">
                  <c:v>1209</c:v>
                </c:pt>
                <c:pt idx="1146">
                  <c:v>1210</c:v>
                </c:pt>
                <c:pt idx="1147">
                  <c:v>1211</c:v>
                </c:pt>
                <c:pt idx="1148">
                  <c:v>1212</c:v>
                </c:pt>
                <c:pt idx="1149">
                  <c:v>1213</c:v>
                </c:pt>
                <c:pt idx="1150">
                  <c:v>1214</c:v>
                </c:pt>
                <c:pt idx="1151">
                  <c:v>1215</c:v>
                </c:pt>
                <c:pt idx="1152">
                  <c:v>1216</c:v>
                </c:pt>
                <c:pt idx="1153">
                  <c:v>1217</c:v>
                </c:pt>
                <c:pt idx="1154">
                  <c:v>1218</c:v>
                </c:pt>
                <c:pt idx="1155">
                  <c:v>1219</c:v>
                </c:pt>
                <c:pt idx="1156">
                  <c:v>1220</c:v>
                </c:pt>
                <c:pt idx="1157">
                  <c:v>1221</c:v>
                </c:pt>
                <c:pt idx="1158">
                  <c:v>1222</c:v>
                </c:pt>
                <c:pt idx="1159">
                  <c:v>1223</c:v>
                </c:pt>
                <c:pt idx="1160">
                  <c:v>1224</c:v>
                </c:pt>
                <c:pt idx="1161">
                  <c:v>1225</c:v>
                </c:pt>
                <c:pt idx="1162">
                  <c:v>1226</c:v>
                </c:pt>
                <c:pt idx="1163">
                  <c:v>1227</c:v>
                </c:pt>
                <c:pt idx="1164">
                  <c:v>1228</c:v>
                </c:pt>
                <c:pt idx="1165">
                  <c:v>1229</c:v>
                </c:pt>
                <c:pt idx="1166">
                  <c:v>1230</c:v>
                </c:pt>
                <c:pt idx="1167">
                  <c:v>1231</c:v>
                </c:pt>
                <c:pt idx="1168">
                  <c:v>1232</c:v>
                </c:pt>
                <c:pt idx="1169">
                  <c:v>1233</c:v>
                </c:pt>
                <c:pt idx="1170">
                  <c:v>1234</c:v>
                </c:pt>
                <c:pt idx="1171">
                  <c:v>1235</c:v>
                </c:pt>
                <c:pt idx="1172">
                  <c:v>1236</c:v>
                </c:pt>
                <c:pt idx="1173">
                  <c:v>1237</c:v>
                </c:pt>
                <c:pt idx="1174">
                  <c:v>1238</c:v>
                </c:pt>
                <c:pt idx="1175">
                  <c:v>1239</c:v>
                </c:pt>
                <c:pt idx="1176">
                  <c:v>1240</c:v>
                </c:pt>
                <c:pt idx="1177">
                  <c:v>1241</c:v>
                </c:pt>
                <c:pt idx="1178">
                  <c:v>1242</c:v>
                </c:pt>
                <c:pt idx="1179">
                  <c:v>1243</c:v>
                </c:pt>
                <c:pt idx="1180">
                  <c:v>1244</c:v>
                </c:pt>
                <c:pt idx="1181">
                  <c:v>1245</c:v>
                </c:pt>
                <c:pt idx="1182">
                  <c:v>1246</c:v>
                </c:pt>
                <c:pt idx="1183">
                  <c:v>1247</c:v>
                </c:pt>
                <c:pt idx="1184">
                  <c:v>1248</c:v>
                </c:pt>
                <c:pt idx="1185">
                  <c:v>1249</c:v>
                </c:pt>
                <c:pt idx="1186">
                  <c:v>1250</c:v>
                </c:pt>
                <c:pt idx="1187">
                  <c:v>1251</c:v>
                </c:pt>
                <c:pt idx="1188">
                  <c:v>1252</c:v>
                </c:pt>
                <c:pt idx="1189">
                  <c:v>1253</c:v>
                </c:pt>
                <c:pt idx="1190">
                  <c:v>1254</c:v>
                </c:pt>
                <c:pt idx="1191">
                  <c:v>1255</c:v>
                </c:pt>
                <c:pt idx="1192">
                  <c:v>1256</c:v>
                </c:pt>
                <c:pt idx="1193">
                  <c:v>1257</c:v>
                </c:pt>
                <c:pt idx="1194">
                  <c:v>1258</c:v>
                </c:pt>
                <c:pt idx="1195">
                  <c:v>1259</c:v>
                </c:pt>
                <c:pt idx="1196">
                  <c:v>1260</c:v>
                </c:pt>
                <c:pt idx="1197">
                  <c:v>1261</c:v>
                </c:pt>
                <c:pt idx="1198">
                  <c:v>1262</c:v>
                </c:pt>
                <c:pt idx="1199">
                  <c:v>1263</c:v>
                </c:pt>
                <c:pt idx="1200">
                  <c:v>1264</c:v>
                </c:pt>
                <c:pt idx="1201">
                  <c:v>1265</c:v>
                </c:pt>
                <c:pt idx="1202">
                  <c:v>1266</c:v>
                </c:pt>
                <c:pt idx="1203">
                  <c:v>1267</c:v>
                </c:pt>
                <c:pt idx="1204">
                  <c:v>1268</c:v>
                </c:pt>
                <c:pt idx="1205">
                  <c:v>1269</c:v>
                </c:pt>
                <c:pt idx="1206">
                  <c:v>1270</c:v>
                </c:pt>
                <c:pt idx="1207">
                  <c:v>1271</c:v>
                </c:pt>
                <c:pt idx="1208">
                  <c:v>1272</c:v>
                </c:pt>
                <c:pt idx="1209">
                  <c:v>1273</c:v>
                </c:pt>
                <c:pt idx="1210">
                  <c:v>1274</c:v>
                </c:pt>
                <c:pt idx="1211">
                  <c:v>1275</c:v>
                </c:pt>
                <c:pt idx="1212">
                  <c:v>1276</c:v>
                </c:pt>
                <c:pt idx="1213">
                  <c:v>1277</c:v>
                </c:pt>
                <c:pt idx="1214">
                  <c:v>1278</c:v>
                </c:pt>
                <c:pt idx="1215">
                  <c:v>1279</c:v>
                </c:pt>
                <c:pt idx="1216">
                  <c:v>1280</c:v>
                </c:pt>
                <c:pt idx="1217">
                  <c:v>1281</c:v>
                </c:pt>
                <c:pt idx="1218">
                  <c:v>1282</c:v>
                </c:pt>
                <c:pt idx="1219">
                  <c:v>1283</c:v>
                </c:pt>
                <c:pt idx="1220">
                  <c:v>1284</c:v>
                </c:pt>
                <c:pt idx="1221">
                  <c:v>1285</c:v>
                </c:pt>
                <c:pt idx="1222">
                  <c:v>1286</c:v>
                </c:pt>
                <c:pt idx="1223">
                  <c:v>1287</c:v>
                </c:pt>
                <c:pt idx="1224">
                  <c:v>1288</c:v>
                </c:pt>
                <c:pt idx="1225">
                  <c:v>1289</c:v>
                </c:pt>
                <c:pt idx="1226">
                  <c:v>1290</c:v>
                </c:pt>
                <c:pt idx="1227">
                  <c:v>1291</c:v>
                </c:pt>
                <c:pt idx="1228">
                  <c:v>1292</c:v>
                </c:pt>
                <c:pt idx="1229">
                  <c:v>1293</c:v>
                </c:pt>
                <c:pt idx="1230">
                  <c:v>1294</c:v>
                </c:pt>
                <c:pt idx="1231">
                  <c:v>1295</c:v>
                </c:pt>
                <c:pt idx="1232">
                  <c:v>1296</c:v>
                </c:pt>
                <c:pt idx="1233">
                  <c:v>1297</c:v>
                </c:pt>
                <c:pt idx="1234">
                  <c:v>1298</c:v>
                </c:pt>
                <c:pt idx="1235">
                  <c:v>1299</c:v>
                </c:pt>
                <c:pt idx="1236">
                  <c:v>1300</c:v>
                </c:pt>
                <c:pt idx="1237">
                  <c:v>1301</c:v>
                </c:pt>
                <c:pt idx="1238">
                  <c:v>1302</c:v>
                </c:pt>
                <c:pt idx="1239">
                  <c:v>1303</c:v>
                </c:pt>
                <c:pt idx="1240">
                  <c:v>1304</c:v>
                </c:pt>
                <c:pt idx="1241">
                  <c:v>1305</c:v>
                </c:pt>
                <c:pt idx="1242">
                  <c:v>1306</c:v>
                </c:pt>
                <c:pt idx="1243">
                  <c:v>1307</c:v>
                </c:pt>
                <c:pt idx="1244">
                  <c:v>1308</c:v>
                </c:pt>
                <c:pt idx="1245">
                  <c:v>1309</c:v>
                </c:pt>
                <c:pt idx="1246">
                  <c:v>1310</c:v>
                </c:pt>
                <c:pt idx="1247">
                  <c:v>1311</c:v>
                </c:pt>
                <c:pt idx="1248">
                  <c:v>1312</c:v>
                </c:pt>
                <c:pt idx="1249">
                  <c:v>1313</c:v>
                </c:pt>
                <c:pt idx="1250">
                  <c:v>1314</c:v>
                </c:pt>
                <c:pt idx="1251">
                  <c:v>1315</c:v>
                </c:pt>
                <c:pt idx="1252">
                  <c:v>1316</c:v>
                </c:pt>
                <c:pt idx="1253">
                  <c:v>1317</c:v>
                </c:pt>
                <c:pt idx="1254">
                  <c:v>1318</c:v>
                </c:pt>
                <c:pt idx="1255">
                  <c:v>1319</c:v>
                </c:pt>
                <c:pt idx="1256">
                  <c:v>1320</c:v>
                </c:pt>
                <c:pt idx="1257">
                  <c:v>1321</c:v>
                </c:pt>
                <c:pt idx="1258">
                  <c:v>1322</c:v>
                </c:pt>
                <c:pt idx="1259">
                  <c:v>1323</c:v>
                </c:pt>
                <c:pt idx="1260">
                  <c:v>1324</c:v>
                </c:pt>
                <c:pt idx="1261">
                  <c:v>1325</c:v>
                </c:pt>
                <c:pt idx="1262">
                  <c:v>1326</c:v>
                </c:pt>
                <c:pt idx="1263">
                  <c:v>1327</c:v>
                </c:pt>
                <c:pt idx="1264">
                  <c:v>1328</c:v>
                </c:pt>
                <c:pt idx="1265">
                  <c:v>1329</c:v>
                </c:pt>
                <c:pt idx="1266">
                  <c:v>1330</c:v>
                </c:pt>
                <c:pt idx="1267">
                  <c:v>1331</c:v>
                </c:pt>
                <c:pt idx="1268">
                  <c:v>1332</c:v>
                </c:pt>
                <c:pt idx="1269">
                  <c:v>1333</c:v>
                </c:pt>
                <c:pt idx="1270">
                  <c:v>1334</c:v>
                </c:pt>
                <c:pt idx="1271">
                  <c:v>1335</c:v>
                </c:pt>
                <c:pt idx="1272">
                  <c:v>1336</c:v>
                </c:pt>
                <c:pt idx="1273">
                  <c:v>1337</c:v>
                </c:pt>
                <c:pt idx="1274">
                  <c:v>1338</c:v>
                </c:pt>
                <c:pt idx="1275">
                  <c:v>1339</c:v>
                </c:pt>
                <c:pt idx="1276">
                  <c:v>1340</c:v>
                </c:pt>
                <c:pt idx="1277">
                  <c:v>1341</c:v>
                </c:pt>
                <c:pt idx="1278">
                  <c:v>1342</c:v>
                </c:pt>
                <c:pt idx="1279">
                  <c:v>1343</c:v>
                </c:pt>
                <c:pt idx="1280">
                  <c:v>1344</c:v>
                </c:pt>
                <c:pt idx="1281">
                  <c:v>1345</c:v>
                </c:pt>
                <c:pt idx="1282">
                  <c:v>1346</c:v>
                </c:pt>
                <c:pt idx="1283">
                  <c:v>1347</c:v>
                </c:pt>
                <c:pt idx="1284">
                  <c:v>1348</c:v>
                </c:pt>
                <c:pt idx="1285">
                  <c:v>1349</c:v>
                </c:pt>
                <c:pt idx="1286">
                  <c:v>1350</c:v>
                </c:pt>
                <c:pt idx="1287">
                  <c:v>1351</c:v>
                </c:pt>
                <c:pt idx="1288">
                  <c:v>1352</c:v>
                </c:pt>
                <c:pt idx="1289">
                  <c:v>1353</c:v>
                </c:pt>
                <c:pt idx="1290">
                  <c:v>1354</c:v>
                </c:pt>
                <c:pt idx="1291">
                  <c:v>1355</c:v>
                </c:pt>
                <c:pt idx="1292">
                  <c:v>1356</c:v>
                </c:pt>
                <c:pt idx="1293">
                  <c:v>1357</c:v>
                </c:pt>
                <c:pt idx="1294">
                  <c:v>1358</c:v>
                </c:pt>
                <c:pt idx="1295">
                  <c:v>1359</c:v>
                </c:pt>
                <c:pt idx="1296">
                  <c:v>1360</c:v>
                </c:pt>
                <c:pt idx="1297">
                  <c:v>1361</c:v>
                </c:pt>
                <c:pt idx="1298">
                  <c:v>1362</c:v>
                </c:pt>
                <c:pt idx="1299">
                  <c:v>1363</c:v>
                </c:pt>
                <c:pt idx="1300">
                  <c:v>1364</c:v>
                </c:pt>
                <c:pt idx="1301">
                  <c:v>1365</c:v>
                </c:pt>
                <c:pt idx="1302">
                  <c:v>1366</c:v>
                </c:pt>
                <c:pt idx="1303">
                  <c:v>1367</c:v>
                </c:pt>
                <c:pt idx="1304">
                  <c:v>1368</c:v>
                </c:pt>
                <c:pt idx="1305">
                  <c:v>1369</c:v>
                </c:pt>
                <c:pt idx="1306">
                  <c:v>1370</c:v>
                </c:pt>
                <c:pt idx="1307">
                  <c:v>1371</c:v>
                </c:pt>
                <c:pt idx="1308">
                  <c:v>1372</c:v>
                </c:pt>
                <c:pt idx="1309">
                  <c:v>1373</c:v>
                </c:pt>
                <c:pt idx="1310">
                  <c:v>1374</c:v>
                </c:pt>
                <c:pt idx="1311">
                  <c:v>1375</c:v>
                </c:pt>
                <c:pt idx="1312">
                  <c:v>1376</c:v>
                </c:pt>
                <c:pt idx="1313">
                  <c:v>1377</c:v>
                </c:pt>
                <c:pt idx="1314">
                  <c:v>1378</c:v>
                </c:pt>
                <c:pt idx="1315">
                  <c:v>1379</c:v>
                </c:pt>
                <c:pt idx="1316">
                  <c:v>1380</c:v>
                </c:pt>
                <c:pt idx="1317">
                  <c:v>1381</c:v>
                </c:pt>
                <c:pt idx="1318">
                  <c:v>1382</c:v>
                </c:pt>
                <c:pt idx="1319">
                  <c:v>1383</c:v>
                </c:pt>
                <c:pt idx="1320">
                  <c:v>1384</c:v>
                </c:pt>
                <c:pt idx="1321">
                  <c:v>1385</c:v>
                </c:pt>
                <c:pt idx="1322">
                  <c:v>1386</c:v>
                </c:pt>
                <c:pt idx="1323">
                  <c:v>1387</c:v>
                </c:pt>
                <c:pt idx="1324">
                  <c:v>1388</c:v>
                </c:pt>
                <c:pt idx="1325">
                  <c:v>1389</c:v>
                </c:pt>
                <c:pt idx="1326">
                  <c:v>1390</c:v>
                </c:pt>
                <c:pt idx="1327">
                  <c:v>1391</c:v>
                </c:pt>
                <c:pt idx="1328">
                  <c:v>1392</c:v>
                </c:pt>
                <c:pt idx="1329">
                  <c:v>1393</c:v>
                </c:pt>
                <c:pt idx="1330">
                  <c:v>1394</c:v>
                </c:pt>
                <c:pt idx="1331">
                  <c:v>1395</c:v>
                </c:pt>
                <c:pt idx="1332">
                  <c:v>1396</c:v>
                </c:pt>
                <c:pt idx="1333">
                  <c:v>1397</c:v>
                </c:pt>
                <c:pt idx="1334">
                  <c:v>1398</c:v>
                </c:pt>
                <c:pt idx="1335">
                  <c:v>1399</c:v>
                </c:pt>
                <c:pt idx="1336">
                  <c:v>1400</c:v>
                </c:pt>
                <c:pt idx="1337">
                  <c:v>1401</c:v>
                </c:pt>
                <c:pt idx="1338">
                  <c:v>1402</c:v>
                </c:pt>
                <c:pt idx="1339">
                  <c:v>1403</c:v>
                </c:pt>
                <c:pt idx="1340">
                  <c:v>1404</c:v>
                </c:pt>
                <c:pt idx="1341">
                  <c:v>1405</c:v>
                </c:pt>
                <c:pt idx="1342">
                  <c:v>1406</c:v>
                </c:pt>
                <c:pt idx="1343">
                  <c:v>1407</c:v>
                </c:pt>
                <c:pt idx="1344">
                  <c:v>1408</c:v>
                </c:pt>
                <c:pt idx="1345">
                  <c:v>1409</c:v>
                </c:pt>
                <c:pt idx="1346">
                  <c:v>1410</c:v>
                </c:pt>
                <c:pt idx="1347">
                  <c:v>1411</c:v>
                </c:pt>
                <c:pt idx="1348">
                  <c:v>1412</c:v>
                </c:pt>
                <c:pt idx="1349">
                  <c:v>1413</c:v>
                </c:pt>
                <c:pt idx="1350">
                  <c:v>1414</c:v>
                </c:pt>
                <c:pt idx="1351">
                  <c:v>1415</c:v>
                </c:pt>
                <c:pt idx="1352">
                  <c:v>1416</c:v>
                </c:pt>
                <c:pt idx="1353">
                  <c:v>1417</c:v>
                </c:pt>
                <c:pt idx="1354">
                  <c:v>1418</c:v>
                </c:pt>
                <c:pt idx="1355">
                  <c:v>1419</c:v>
                </c:pt>
                <c:pt idx="1356">
                  <c:v>1420</c:v>
                </c:pt>
                <c:pt idx="1357">
                  <c:v>1421</c:v>
                </c:pt>
                <c:pt idx="1358">
                  <c:v>1422</c:v>
                </c:pt>
                <c:pt idx="1359">
                  <c:v>1423</c:v>
                </c:pt>
                <c:pt idx="1360">
                  <c:v>1424</c:v>
                </c:pt>
                <c:pt idx="1361">
                  <c:v>1425</c:v>
                </c:pt>
                <c:pt idx="1362">
                  <c:v>1426</c:v>
                </c:pt>
                <c:pt idx="1363">
                  <c:v>1427</c:v>
                </c:pt>
                <c:pt idx="1364">
                  <c:v>1428</c:v>
                </c:pt>
                <c:pt idx="1365">
                  <c:v>1429</c:v>
                </c:pt>
                <c:pt idx="1366">
                  <c:v>1430</c:v>
                </c:pt>
                <c:pt idx="1367">
                  <c:v>1431</c:v>
                </c:pt>
                <c:pt idx="1368">
                  <c:v>1432</c:v>
                </c:pt>
                <c:pt idx="1369">
                  <c:v>1433</c:v>
                </c:pt>
                <c:pt idx="1370">
                  <c:v>1434</c:v>
                </c:pt>
                <c:pt idx="1371">
                  <c:v>1435</c:v>
                </c:pt>
                <c:pt idx="1372">
                  <c:v>1436</c:v>
                </c:pt>
                <c:pt idx="1373">
                  <c:v>1437</c:v>
                </c:pt>
                <c:pt idx="1374">
                  <c:v>1438</c:v>
                </c:pt>
                <c:pt idx="1375">
                  <c:v>1439</c:v>
                </c:pt>
                <c:pt idx="1376">
                  <c:v>1440</c:v>
                </c:pt>
                <c:pt idx="1377">
                  <c:v>1441</c:v>
                </c:pt>
                <c:pt idx="1378">
                  <c:v>1442</c:v>
                </c:pt>
                <c:pt idx="1379">
                  <c:v>1443</c:v>
                </c:pt>
                <c:pt idx="1380">
                  <c:v>1444</c:v>
                </c:pt>
                <c:pt idx="1381">
                  <c:v>1445</c:v>
                </c:pt>
                <c:pt idx="1382">
                  <c:v>1446</c:v>
                </c:pt>
                <c:pt idx="1383">
                  <c:v>1447</c:v>
                </c:pt>
                <c:pt idx="1384">
                  <c:v>1448</c:v>
                </c:pt>
                <c:pt idx="1385">
                  <c:v>1449</c:v>
                </c:pt>
                <c:pt idx="1386">
                  <c:v>1450</c:v>
                </c:pt>
                <c:pt idx="1387">
                  <c:v>1451</c:v>
                </c:pt>
                <c:pt idx="1388">
                  <c:v>1452</c:v>
                </c:pt>
                <c:pt idx="1389">
                  <c:v>1453</c:v>
                </c:pt>
                <c:pt idx="1390">
                  <c:v>1454</c:v>
                </c:pt>
                <c:pt idx="1391">
                  <c:v>1455</c:v>
                </c:pt>
                <c:pt idx="1392">
                  <c:v>1456</c:v>
                </c:pt>
                <c:pt idx="1393">
                  <c:v>1457</c:v>
                </c:pt>
                <c:pt idx="1394">
                  <c:v>1458</c:v>
                </c:pt>
                <c:pt idx="1395">
                  <c:v>1459</c:v>
                </c:pt>
                <c:pt idx="1396">
                  <c:v>1460</c:v>
                </c:pt>
                <c:pt idx="1397">
                  <c:v>1461</c:v>
                </c:pt>
                <c:pt idx="1398">
                  <c:v>1462</c:v>
                </c:pt>
                <c:pt idx="1399">
                  <c:v>1463</c:v>
                </c:pt>
                <c:pt idx="1400">
                  <c:v>1464</c:v>
                </c:pt>
                <c:pt idx="1401">
                  <c:v>1465</c:v>
                </c:pt>
                <c:pt idx="1402">
                  <c:v>1466</c:v>
                </c:pt>
                <c:pt idx="1403">
                  <c:v>1467</c:v>
                </c:pt>
                <c:pt idx="1404">
                  <c:v>1468</c:v>
                </c:pt>
                <c:pt idx="1405">
                  <c:v>1469</c:v>
                </c:pt>
                <c:pt idx="1406">
                  <c:v>1470</c:v>
                </c:pt>
                <c:pt idx="1407">
                  <c:v>1471</c:v>
                </c:pt>
                <c:pt idx="1408">
                  <c:v>1472</c:v>
                </c:pt>
                <c:pt idx="1409">
                  <c:v>1473</c:v>
                </c:pt>
                <c:pt idx="1410">
                  <c:v>1474</c:v>
                </c:pt>
                <c:pt idx="1411">
                  <c:v>1475</c:v>
                </c:pt>
                <c:pt idx="1412">
                  <c:v>1476</c:v>
                </c:pt>
                <c:pt idx="1413">
                  <c:v>1477</c:v>
                </c:pt>
                <c:pt idx="1414">
                  <c:v>1478</c:v>
                </c:pt>
                <c:pt idx="1415">
                  <c:v>1479</c:v>
                </c:pt>
                <c:pt idx="1416">
                  <c:v>1480</c:v>
                </c:pt>
                <c:pt idx="1417">
                  <c:v>1481</c:v>
                </c:pt>
                <c:pt idx="1418">
                  <c:v>1482</c:v>
                </c:pt>
                <c:pt idx="1419">
                  <c:v>1483</c:v>
                </c:pt>
                <c:pt idx="1420">
                  <c:v>1484</c:v>
                </c:pt>
                <c:pt idx="1421">
                  <c:v>1485</c:v>
                </c:pt>
                <c:pt idx="1422">
                  <c:v>1486</c:v>
                </c:pt>
                <c:pt idx="1423">
                  <c:v>1487</c:v>
                </c:pt>
                <c:pt idx="1424">
                  <c:v>1488</c:v>
                </c:pt>
                <c:pt idx="1425">
                  <c:v>1489</c:v>
                </c:pt>
                <c:pt idx="1426">
                  <c:v>1490</c:v>
                </c:pt>
                <c:pt idx="1427">
                  <c:v>1491</c:v>
                </c:pt>
                <c:pt idx="1428">
                  <c:v>1492</c:v>
                </c:pt>
                <c:pt idx="1429">
                  <c:v>1493</c:v>
                </c:pt>
                <c:pt idx="1430">
                  <c:v>1494</c:v>
                </c:pt>
                <c:pt idx="1431">
                  <c:v>1495</c:v>
                </c:pt>
                <c:pt idx="1432">
                  <c:v>1496</c:v>
                </c:pt>
                <c:pt idx="1433">
                  <c:v>1497</c:v>
                </c:pt>
                <c:pt idx="1434">
                  <c:v>1498</c:v>
                </c:pt>
                <c:pt idx="1435">
                  <c:v>1499</c:v>
                </c:pt>
                <c:pt idx="1436">
                  <c:v>1500</c:v>
                </c:pt>
                <c:pt idx="1437">
                  <c:v>1501</c:v>
                </c:pt>
                <c:pt idx="1438">
                  <c:v>1502</c:v>
                </c:pt>
                <c:pt idx="1439">
                  <c:v>1503</c:v>
                </c:pt>
                <c:pt idx="1440">
                  <c:v>1504</c:v>
                </c:pt>
                <c:pt idx="1441">
                  <c:v>1505</c:v>
                </c:pt>
                <c:pt idx="1442">
                  <c:v>1506</c:v>
                </c:pt>
                <c:pt idx="1443">
                  <c:v>1507</c:v>
                </c:pt>
                <c:pt idx="1444">
                  <c:v>1508</c:v>
                </c:pt>
                <c:pt idx="1445">
                  <c:v>1509</c:v>
                </c:pt>
                <c:pt idx="1446">
                  <c:v>1510</c:v>
                </c:pt>
                <c:pt idx="1447">
                  <c:v>1511</c:v>
                </c:pt>
                <c:pt idx="1448">
                  <c:v>1512</c:v>
                </c:pt>
                <c:pt idx="1449">
                  <c:v>1513</c:v>
                </c:pt>
                <c:pt idx="1450">
                  <c:v>1514</c:v>
                </c:pt>
                <c:pt idx="1451">
                  <c:v>1515</c:v>
                </c:pt>
                <c:pt idx="1452">
                  <c:v>1516</c:v>
                </c:pt>
                <c:pt idx="1453">
                  <c:v>1517</c:v>
                </c:pt>
                <c:pt idx="1454">
                  <c:v>1518</c:v>
                </c:pt>
                <c:pt idx="1455">
                  <c:v>1519</c:v>
                </c:pt>
                <c:pt idx="1456">
                  <c:v>1520</c:v>
                </c:pt>
                <c:pt idx="1457">
                  <c:v>1521</c:v>
                </c:pt>
                <c:pt idx="1458">
                  <c:v>1522</c:v>
                </c:pt>
                <c:pt idx="1459">
                  <c:v>1523</c:v>
                </c:pt>
                <c:pt idx="1460">
                  <c:v>1524</c:v>
                </c:pt>
                <c:pt idx="1461">
                  <c:v>1525</c:v>
                </c:pt>
                <c:pt idx="1462">
                  <c:v>1526</c:v>
                </c:pt>
                <c:pt idx="1463">
                  <c:v>1527</c:v>
                </c:pt>
                <c:pt idx="1464">
                  <c:v>1528</c:v>
                </c:pt>
                <c:pt idx="1465">
                  <c:v>1529</c:v>
                </c:pt>
                <c:pt idx="1466">
                  <c:v>1530</c:v>
                </c:pt>
                <c:pt idx="1467">
                  <c:v>1531</c:v>
                </c:pt>
                <c:pt idx="1468">
                  <c:v>1532</c:v>
                </c:pt>
                <c:pt idx="1469">
                  <c:v>1533</c:v>
                </c:pt>
                <c:pt idx="1470">
                  <c:v>1534</c:v>
                </c:pt>
                <c:pt idx="1471">
                  <c:v>1535</c:v>
                </c:pt>
                <c:pt idx="1472">
                  <c:v>1536</c:v>
                </c:pt>
                <c:pt idx="1473">
                  <c:v>1537</c:v>
                </c:pt>
                <c:pt idx="1474">
                  <c:v>1538</c:v>
                </c:pt>
                <c:pt idx="1475">
                  <c:v>1539</c:v>
                </c:pt>
                <c:pt idx="1476">
                  <c:v>1540</c:v>
                </c:pt>
                <c:pt idx="1477">
                  <c:v>1541</c:v>
                </c:pt>
                <c:pt idx="1478">
                  <c:v>1542</c:v>
                </c:pt>
                <c:pt idx="1479">
                  <c:v>1543</c:v>
                </c:pt>
                <c:pt idx="1480">
                  <c:v>1544</c:v>
                </c:pt>
                <c:pt idx="1481">
                  <c:v>1545</c:v>
                </c:pt>
                <c:pt idx="1482">
                  <c:v>1546</c:v>
                </c:pt>
                <c:pt idx="1483">
                  <c:v>1547</c:v>
                </c:pt>
                <c:pt idx="1484">
                  <c:v>1548</c:v>
                </c:pt>
                <c:pt idx="1485">
                  <c:v>1549</c:v>
                </c:pt>
                <c:pt idx="1486">
                  <c:v>1550</c:v>
                </c:pt>
                <c:pt idx="1487">
                  <c:v>1551</c:v>
                </c:pt>
                <c:pt idx="1488">
                  <c:v>1552</c:v>
                </c:pt>
                <c:pt idx="1489">
                  <c:v>1553</c:v>
                </c:pt>
                <c:pt idx="1490">
                  <c:v>1554</c:v>
                </c:pt>
                <c:pt idx="1491">
                  <c:v>1555</c:v>
                </c:pt>
                <c:pt idx="1492">
                  <c:v>1556</c:v>
                </c:pt>
                <c:pt idx="1493">
                  <c:v>1557</c:v>
                </c:pt>
                <c:pt idx="1494">
                  <c:v>1558</c:v>
                </c:pt>
                <c:pt idx="1495">
                  <c:v>1559</c:v>
                </c:pt>
                <c:pt idx="1496">
                  <c:v>1560</c:v>
                </c:pt>
                <c:pt idx="1497">
                  <c:v>1561</c:v>
                </c:pt>
                <c:pt idx="1498">
                  <c:v>1562</c:v>
                </c:pt>
                <c:pt idx="1499">
                  <c:v>1563</c:v>
                </c:pt>
                <c:pt idx="1500">
                  <c:v>1564</c:v>
                </c:pt>
                <c:pt idx="1501">
                  <c:v>1565</c:v>
                </c:pt>
                <c:pt idx="1502">
                  <c:v>1566</c:v>
                </c:pt>
                <c:pt idx="1503">
                  <c:v>1567</c:v>
                </c:pt>
                <c:pt idx="1504">
                  <c:v>1568</c:v>
                </c:pt>
                <c:pt idx="1505">
                  <c:v>1569</c:v>
                </c:pt>
                <c:pt idx="1506">
                  <c:v>1570</c:v>
                </c:pt>
                <c:pt idx="1507">
                  <c:v>1571</c:v>
                </c:pt>
                <c:pt idx="1508">
                  <c:v>1572</c:v>
                </c:pt>
                <c:pt idx="1509">
                  <c:v>1573</c:v>
                </c:pt>
                <c:pt idx="1510">
                  <c:v>1574</c:v>
                </c:pt>
                <c:pt idx="1511">
                  <c:v>1575</c:v>
                </c:pt>
                <c:pt idx="1512">
                  <c:v>1576</c:v>
                </c:pt>
                <c:pt idx="1513">
                  <c:v>1577</c:v>
                </c:pt>
                <c:pt idx="1514">
                  <c:v>1578</c:v>
                </c:pt>
                <c:pt idx="1515">
                  <c:v>1579</c:v>
                </c:pt>
                <c:pt idx="1516">
                  <c:v>1580</c:v>
                </c:pt>
                <c:pt idx="1517">
                  <c:v>1581</c:v>
                </c:pt>
                <c:pt idx="1518">
                  <c:v>1582</c:v>
                </c:pt>
                <c:pt idx="1519">
                  <c:v>1583</c:v>
                </c:pt>
                <c:pt idx="1520">
                  <c:v>1584</c:v>
                </c:pt>
                <c:pt idx="1521">
                  <c:v>1585</c:v>
                </c:pt>
                <c:pt idx="1522">
                  <c:v>1586</c:v>
                </c:pt>
                <c:pt idx="1523">
                  <c:v>1587</c:v>
                </c:pt>
                <c:pt idx="1524">
                  <c:v>1588</c:v>
                </c:pt>
                <c:pt idx="1525">
                  <c:v>1589</c:v>
                </c:pt>
                <c:pt idx="1526">
                  <c:v>1590</c:v>
                </c:pt>
                <c:pt idx="1527">
                  <c:v>1591</c:v>
                </c:pt>
                <c:pt idx="1528">
                  <c:v>1592</c:v>
                </c:pt>
                <c:pt idx="1529">
                  <c:v>1593</c:v>
                </c:pt>
                <c:pt idx="1530">
                  <c:v>1594</c:v>
                </c:pt>
                <c:pt idx="1531">
                  <c:v>1595</c:v>
                </c:pt>
                <c:pt idx="1532">
                  <c:v>1596</c:v>
                </c:pt>
                <c:pt idx="1533">
                  <c:v>1597</c:v>
                </c:pt>
                <c:pt idx="1534">
                  <c:v>1598</c:v>
                </c:pt>
                <c:pt idx="1535">
                  <c:v>1599</c:v>
                </c:pt>
                <c:pt idx="1536">
                  <c:v>1600</c:v>
                </c:pt>
              </c:numCache>
            </c:numRef>
          </c:cat>
          <c:val>
            <c:numRef>
              <c:f>Performance!$D$11:$D$1548</c:f>
              <c:numCache>
                <c:formatCode>General</c:formatCode>
                <c:ptCount val="1538"/>
                <c:pt idx="0">
                  <c:v>0.56700000000000006</c:v>
                </c:pt>
                <c:pt idx="1">
                  <c:v>0.57374999999999998</c:v>
                </c:pt>
                <c:pt idx="2">
                  <c:v>0.58050000000000002</c:v>
                </c:pt>
                <c:pt idx="3">
                  <c:v>0.58725000000000005</c:v>
                </c:pt>
                <c:pt idx="4">
                  <c:v>0.59399999999999997</c:v>
                </c:pt>
                <c:pt idx="5">
                  <c:v>0.60075000000000001</c:v>
                </c:pt>
                <c:pt idx="6">
                  <c:v>0.60750000000000004</c:v>
                </c:pt>
                <c:pt idx="7">
                  <c:v>0.61424999999999996</c:v>
                </c:pt>
                <c:pt idx="8">
                  <c:v>0.62100000000000011</c:v>
                </c:pt>
                <c:pt idx="9">
                  <c:v>0.62775000000000003</c:v>
                </c:pt>
                <c:pt idx="10">
                  <c:v>0.63450000000000006</c:v>
                </c:pt>
                <c:pt idx="11">
                  <c:v>0.6412500000000001</c:v>
                </c:pt>
                <c:pt idx="12">
                  <c:v>0.64800000000000002</c:v>
                </c:pt>
                <c:pt idx="13">
                  <c:v>0.65475000000000017</c:v>
                </c:pt>
                <c:pt idx="14">
                  <c:v>0.66149999999999998</c:v>
                </c:pt>
                <c:pt idx="15">
                  <c:v>0.66825000000000001</c:v>
                </c:pt>
                <c:pt idx="16">
                  <c:v>0.67500000000000004</c:v>
                </c:pt>
                <c:pt idx="17">
                  <c:v>0.68175000000000008</c:v>
                </c:pt>
                <c:pt idx="18">
                  <c:v>0.68850000000000011</c:v>
                </c:pt>
                <c:pt idx="19">
                  <c:v>0.69525000000000003</c:v>
                </c:pt>
                <c:pt idx="20">
                  <c:v>0.70200000000000007</c:v>
                </c:pt>
                <c:pt idx="21">
                  <c:v>0.7087500000000001</c:v>
                </c:pt>
                <c:pt idx="22">
                  <c:v>0.71550000000000002</c:v>
                </c:pt>
                <c:pt idx="23">
                  <c:v>0.72225000000000006</c:v>
                </c:pt>
                <c:pt idx="24">
                  <c:v>0.72900000000000009</c:v>
                </c:pt>
                <c:pt idx="25">
                  <c:v>0.73575000000000002</c:v>
                </c:pt>
                <c:pt idx="26">
                  <c:v>0.74250000000000005</c:v>
                </c:pt>
                <c:pt idx="27">
                  <c:v>0.74925000000000008</c:v>
                </c:pt>
                <c:pt idx="28">
                  <c:v>0.75600000000000001</c:v>
                </c:pt>
                <c:pt idx="29">
                  <c:v>0.76275000000000004</c:v>
                </c:pt>
                <c:pt idx="30">
                  <c:v>0.76950000000000007</c:v>
                </c:pt>
                <c:pt idx="31">
                  <c:v>0.77625000000000011</c:v>
                </c:pt>
                <c:pt idx="32">
                  <c:v>0.78300000000000014</c:v>
                </c:pt>
                <c:pt idx="33">
                  <c:v>0.78975000000000006</c:v>
                </c:pt>
                <c:pt idx="34">
                  <c:v>0.7965000000000001</c:v>
                </c:pt>
                <c:pt idx="35">
                  <c:v>0.80325000000000002</c:v>
                </c:pt>
                <c:pt idx="36">
                  <c:v>0.81</c:v>
                </c:pt>
                <c:pt idx="37">
                  <c:v>0.81674999999999998</c:v>
                </c:pt>
                <c:pt idx="38">
                  <c:v>0.82350000000000001</c:v>
                </c:pt>
                <c:pt idx="39">
                  <c:v>0.83025000000000004</c:v>
                </c:pt>
                <c:pt idx="40">
                  <c:v>0.83700000000000008</c:v>
                </c:pt>
                <c:pt idx="41">
                  <c:v>0.84375</c:v>
                </c:pt>
                <c:pt idx="42">
                  <c:v>0.85050000000000014</c:v>
                </c:pt>
                <c:pt idx="43">
                  <c:v>0.85724999999999996</c:v>
                </c:pt>
                <c:pt idx="44">
                  <c:v>0.8640000000000001</c:v>
                </c:pt>
                <c:pt idx="45">
                  <c:v>0.87075000000000002</c:v>
                </c:pt>
                <c:pt idx="46">
                  <c:v>0.87750000000000006</c:v>
                </c:pt>
                <c:pt idx="47">
                  <c:v>0.88424999999999998</c:v>
                </c:pt>
                <c:pt idx="48">
                  <c:v>0.89100000000000001</c:v>
                </c:pt>
                <c:pt idx="49">
                  <c:v>0.89775000000000016</c:v>
                </c:pt>
                <c:pt idx="50">
                  <c:v>0.90449999999999997</c:v>
                </c:pt>
                <c:pt idx="51">
                  <c:v>0.91125000000000012</c:v>
                </c:pt>
                <c:pt idx="52">
                  <c:v>0.91800000000000004</c:v>
                </c:pt>
                <c:pt idx="53">
                  <c:v>0.92475000000000007</c:v>
                </c:pt>
                <c:pt idx="54">
                  <c:v>0.93150000000000011</c:v>
                </c:pt>
                <c:pt idx="55">
                  <c:v>0.93825000000000014</c:v>
                </c:pt>
                <c:pt idx="56">
                  <c:v>0.94500000000000006</c:v>
                </c:pt>
                <c:pt idx="57">
                  <c:v>0.95174999999999998</c:v>
                </c:pt>
                <c:pt idx="58">
                  <c:v>0.95850000000000013</c:v>
                </c:pt>
                <c:pt idx="59">
                  <c:v>0.96525000000000005</c:v>
                </c:pt>
                <c:pt idx="60">
                  <c:v>0.97200000000000009</c:v>
                </c:pt>
                <c:pt idx="61">
                  <c:v>0.97875000000000001</c:v>
                </c:pt>
                <c:pt idx="62">
                  <c:v>0.98550000000000015</c:v>
                </c:pt>
                <c:pt idx="63">
                  <c:v>0.99225000000000008</c:v>
                </c:pt>
                <c:pt idx="64">
                  <c:v>0.99900000000000011</c:v>
                </c:pt>
                <c:pt idx="65">
                  <c:v>1.0057499999999999</c:v>
                </c:pt>
                <c:pt idx="66">
                  <c:v>1.0125000000000002</c:v>
                </c:pt>
                <c:pt idx="67">
                  <c:v>1.01925</c:v>
                </c:pt>
                <c:pt idx="68">
                  <c:v>1.026</c:v>
                </c:pt>
                <c:pt idx="69">
                  <c:v>1.0327500000000001</c:v>
                </c:pt>
                <c:pt idx="70">
                  <c:v>1.0395000000000001</c:v>
                </c:pt>
                <c:pt idx="71">
                  <c:v>1.0462500000000001</c:v>
                </c:pt>
                <c:pt idx="72">
                  <c:v>1.0529999999999999</c:v>
                </c:pt>
                <c:pt idx="73">
                  <c:v>1.0597500000000002</c:v>
                </c:pt>
                <c:pt idx="74">
                  <c:v>1.0665</c:v>
                </c:pt>
                <c:pt idx="75">
                  <c:v>1.07325</c:v>
                </c:pt>
                <c:pt idx="76">
                  <c:v>1.08</c:v>
                </c:pt>
                <c:pt idx="77">
                  <c:v>1.0867500000000001</c:v>
                </c:pt>
                <c:pt idx="78">
                  <c:v>1.0935000000000001</c:v>
                </c:pt>
                <c:pt idx="79">
                  <c:v>1.10025</c:v>
                </c:pt>
                <c:pt idx="80">
                  <c:v>1.1070000000000002</c:v>
                </c:pt>
                <c:pt idx="81">
                  <c:v>1.11375</c:v>
                </c:pt>
                <c:pt idx="82">
                  <c:v>1.1205000000000001</c:v>
                </c:pt>
                <c:pt idx="83">
                  <c:v>1.1272500000000001</c:v>
                </c:pt>
                <c:pt idx="84">
                  <c:v>1.1340000000000001</c:v>
                </c:pt>
                <c:pt idx="85">
                  <c:v>1.1407499999999999</c:v>
                </c:pt>
                <c:pt idx="86">
                  <c:v>1.1475</c:v>
                </c:pt>
                <c:pt idx="87">
                  <c:v>1.1542500000000002</c:v>
                </c:pt>
                <c:pt idx="88">
                  <c:v>1.161</c:v>
                </c:pt>
                <c:pt idx="89">
                  <c:v>1.1677500000000001</c:v>
                </c:pt>
                <c:pt idx="90">
                  <c:v>1.1745000000000001</c:v>
                </c:pt>
                <c:pt idx="91">
                  <c:v>1.1812500000000001</c:v>
                </c:pt>
                <c:pt idx="92">
                  <c:v>1.1879999999999999</c:v>
                </c:pt>
                <c:pt idx="93">
                  <c:v>1.19475</c:v>
                </c:pt>
                <c:pt idx="94">
                  <c:v>1.2015</c:v>
                </c:pt>
                <c:pt idx="95">
                  <c:v>1.20825</c:v>
                </c:pt>
                <c:pt idx="96">
                  <c:v>1.2150000000000001</c:v>
                </c:pt>
                <c:pt idx="97">
                  <c:v>1.2217500000000001</c:v>
                </c:pt>
                <c:pt idx="98">
                  <c:v>1.2284999999999999</c:v>
                </c:pt>
                <c:pt idx="99">
                  <c:v>1.23525</c:v>
                </c:pt>
                <c:pt idx="100">
                  <c:v>1.2420000000000002</c:v>
                </c:pt>
                <c:pt idx="101">
                  <c:v>1.24875</c:v>
                </c:pt>
                <c:pt idx="102">
                  <c:v>1.2555000000000001</c:v>
                </c:pt>
                <c:pt idx="103">
                  <c:v>1.2622500000000001</c:v>
                </c:pt>
                <c:pt idx="104">
                  <c:v>1.2690000000000001</c:v>
                </c:pt>
                <c:pt idx="105">
                  <c:v>1.2757500000000002</c:v>
                </c:pt>
                <c:pt idx="106">
                  <c:v>1.2825000000000002</c:v>
                </c:pt>
                <c:pt idx="107">
                  <c:v>1.28925</c:v>
                </c:pt>
                <c:pt idx="108">
                  <c:v>1.296</c:v>
                </c:pt>
                <c:pt idx="109">
                  <c:v>1.3027500000000003</c:v>
                </c:pt>
                <c:pt idx="110">
                  <c:v>1.3095000000000003</c:v>
                </c:pt>
                <c:pt idx="111">
                  <c:v>1.3162500000000001</c:v>
                </c:pt>
                <c:pt idx="112">
                  <c:v>1.323</c:v>
                </c:pt>
                <c:pt idx="113">
                  <c:v>1.3297500000000002</c:v>
                </c:pt>
                <c:pt idx="114">
                  <c:v>1.3365</c:v>
                </c:pt>
                <c:pt idx="115">
                  <c:v>1.3432500000000003</c:v>
                </c:pt>
                <c:pt idx="116">
                  <c:v>1.35</c:v>
                </c:pt>
                <c:pt idx="117">
                  <c:v>1.3567500000000001</c:v>
                </c:pt>
                <c:pt idx="118">
                  <c:v>1.3635000000000002</c:v>
                </c:pt>
                <c:pt idx="119">
                  <c:v>1.37025</c:v>
                </c:pt>
                <c:pt idx="120">
                  <c:v>1.3770000000000002</c:v>
                </c:pt>
                <c:pt idx="121">
                  <c:v>1.38375</c:v>
                </c:pt>
                <c:pt idx="122">
                  <c:v>1.3905000000000001</c:v>
                </c:pt>
                <c:pt idx="123">
                  <c:v>1.3972500000000001</c:v>
                </c:pt>
                <c:pt idx="124">
                  <c:v>1.4040000000000001</c:v>
                </c:pt>
                <c:pt idx="125">
                  <c:v>1.4107500000000002</c:v>
                </c:pt>
                <c:pt idx="126">
                  <c:v>1.4175000000000002</c:v>
                </c:pt>
                <c:pt idx="127">
                  <c:v>1.42425</c:v>
                </c:pt>
                <c:pt idx="128">
                  <c:v>1.431</c:v>
                </c:pt>
                <c:pt idx="129">
                  <c:v>1.4377500000000001</c:v>
                </c:pt>
                <c:pt idx="130">
                  <c:v>1.4445000000000001</c:v>
                </c:pt>
                <c:pt idx="131">
                  <c:v>1.4512500000000002</c:v>
                </c:pt>
                <c:pt idx="132">
                  <c:v>1.4580000000000002</c:v>
                </c:pt>
                <c:pt idx="133">
                  <c:v>1.46475</c:v>
                </c:pt>
                <c:pt idx="134">
                  <c:v>1.4715</c:v>
                </c:pt>
                <c:pt idx="135">
                  <c:v>1.4782500000000003</c:v>
                </c:pt>
                <c:pt idx="136">
                  <c:v>1.4850000000000001</c:v>
                </c:pt>
                <c:pt idx="137">
                  <c:v>1.4917500000000001</c:v>
                </c:pt>
                <c:pt idx="138">
                  <c:v>1.4985000000000002</c:v>
                </c:pt>
                <c:pt idx="139">
                  <c:v>1.50525</c:v>
                </c:pt>
                <c:pt idx="140">
                  <c:v>1.512</c:v>
                </c:pt>
                <c:pt idx="141">
                  <c:v>1.5187500000000003</c:v>
                </c:pt>
                <c:pt idx="142">
                  <c:v>1.5255000000000001</c:v>
                </c:pt>
                <c:pt idx="143">
                  <c:v>1.5322500000000001</c:v>
                </c:pt>
                <c:pt idx="144">
                  <c:v>1.5390000000000001</c:v>
                </c:pt>
                <c:pt idx="145">
                  <c:v>1.54575</c:v>
                </c:pt>
                <c:pt idx="146">
                  <c:v>1.5525000000000002</c:v>
                </c:pt>
                <c:pt idx="147">
                  <c:v>1.55925</c:v>
                </c:pt>
                <c:pt idx="148">
                  <c:v>1.5660000000000003</c:v>
                </c:pt>
                <c:pt idx="149">
                  <c:v>1.5727500000000001</c:v>
                </c:pt>
                <c:pt idx="150">
                  <c:v>1.5795000000000001</c:v>
                </c:pt>
                <c:pt idx="151">
                  <c:v>1.5862500000000002</c:v>
                </c:pt>
                <c:pt idx="152">
                  <c:v>1.5930000000000002</c:v>
                </c:pt>
                <c:pt idx="153">
                  <c:v>1.59975</c:v>
                </c:pt>
                <c:pt idx="154">
                  <c:v>1.6065</c:v>
                </c:pt>
                <c:pt idx="155">
                  <c:v>1.6132500000000001</c:v>
                </c:pt>
                <c:pt idx="156">
                  <c:v>1.62</c:v>
                </c:pt>
                <c:pt idx="157">
                  <c:v>1.6267499999999999</c:v>
                </c:pt>
                <c:pt idx="158">
                  <c:v>1.6335</c:v>
                </c:pt>
                <c:pt idx="159">
                  <c:v>1.64025</c:v>
                </c:pt>
                <c:pt idx="160">
                  <c:v>1.647</c:v>
                </c:pt>
                <c:pt idx="161">
                  <c:v>1.6537500000000001</c:v>
                </c:pt>
                <c:pt idx="162">
                  <c:v>1.6605000000000001</c:v>
                </c:pt>
                <c:pt idx="163">
                  <c:v>1.6672500000000001</c:v>
                </c:pt>
                <c:pt idx="164">
                  <c:v>1.6740000000000002</c:v>
                </c:pt>
                <c:pt idx="165">
                  <c:v>1.6807500000000002</c:v>
                </c:pt>
                <c:pt idx="166">
                  <c:v>1.6875</c:v>
                </c:pt>
                <c:pt idx="167">
                  <c:v>1.6942500000000003</c:v>
                </c:pt>
                <c:pt idx="168">
                  <c:v>1.7010000000000003</c:v>
                </c:pt>
                <c:pt idx="169">
                  <c:v>1.7077500000000001</c:v>
                </c:pt>
                <c:pt idx="170">
                  <c:v>1.7144999999999999</c:v>
                </c:pt>
                <c:pt idx="171">
                  <c:v>0.86062500000000008</c:v>
                </c:pt>
                <c:pt idx="172">
                  <c:v>0.8640000000000001</c:v>
                </c:pt>
                <c:pt idx="173">
                  <c:v>0.86737500000000001</c:v>
                </c:pt>
                <c:pt idx="174">
                  <c:v>0.87075000000000002</c:v>
                </c:pt>
                <c:pt idx="175">
                  <c:v>0.87412500000000004</c:v>
                </c:pt>
                <c:pt idx="176">
                  <c:v>0.87750000000000006</c:v>
                </c:pt>
                <c:pt idx="177">
                  <c:v>0.88087500000000007</c:v>
                </c:pt>
                <c:pt idx="178">
                  <c:v>0.88424999999999998</c:v>
                </c:pt>
                <c:pt idx="179">
                  <c:v>0.88762500000000011</c:v>
                </c:pt>
                <c:pt idx="180">
                  <c:v>0.89100000000000001</c:v>
                </c:pt>
                <c:pt idx="181">
                  <c:v>0.89437500000000003</c:v>
                </c:pt>
                <c:pt idx="182">
                  <c:v>0.89775000000000016</c:v>
                </c:pt>
                <c:pt idx="183">
                  <c:v>0.90112499999999995</c:v>
                </c:pt>
                <c:pt idx="184">
                  <c:v>0.90449999999999997</c:v>
                </c:pt>
                <c:pt idx="185">
                  <c:v>0.9078750000000001</c:v>
                </c:pt>
                <c:pt idx="186">
                  <c:v>0.91125000000000012</c:v>
                </c:pt>
                <c:pt idx="187">
                  <c:v>0.91462500000000002</c:v>
                </c:pt>
                <c:pt idx="188">
                  <c:v>0.91800000000000004</c:v>
                </c:pt>
                <c:pt idx="189">
                  <c:v>0.92137500000000017</c:v>
                </c:pt>
                <c:pt idx="190">
                  <c:v>0.92475000000000007</c:v>
                </c:pt>
                <c:pt idx="191">
                  <c:v>0.92812500000000009</c:v>
                </c:pt>
                <c:pt idx="192">
                  <c:v>0.93150000000000011</c:v>
                </c:pt>
                <c:pt idx="193">
                  <c:v>0.93487500000000001</c:v>
                </c:pt>
                <c:pt idx="194">
                  <c:v>0.93825000000000014</c:v>
                </c:pt>
                <c:pt idx="195">
                  <c:v>0.94162500000000005</c:v>
                </c:pt>
                <c:pt idx="196">
                  <c:v>0.94500000000000006</c:v>
                </c:pt>
                <c:pt idx="197">
                  <c:v>0.94837499999999997</c:v>
                </c:pt>
                <c:pt idx="198">
                  <c:v>0.95174999999999998</c:v>
                </c:pt>
                <c:pt idx="199">
                  <c:v>0.955125</c:v>
                </c:pt>
                <c:pt idx="200">
                  <c:v>0.95850000000000013</c:v>
                </c:pt>
                <c:pt idx="201">
                  <c:v>0.96187500000000015</c:v>
                </c:pt>
                <c:pt idx="202">
                  <c:v>0.96525000000000005</c:v>
                </c:pt>
                <c:pt idx="203">
                  <c:v>0.96862499999999996</c:v>
                </c:pt>
                <c:pt idx="204">
                  <c:v>0.97200000000000009</c:v>
                </c:pt>
                <c:pt idx="205">
                  <c:v>0.9753750000000001</c:v>
                </c:pt>
                <c:pt idx="206">
                  <c:v>0.97875000000000001</c:v>
                </c:pt>
                <c:pt idx="207">
                  <c:v>0.98212500000000003</c:v>
                </c:pt>
                <c:pt idx="208">
                  <c:v>0.98550000000000015</c:v>
                </c:pt>
                <c:pt idx="209">
                  <c:v>0.98887499999999995</c:v>
                </c:pt>
                <c:pt idx="210">
                  <c:v>0.99225000000000008</c:v>
                </c:pt>
                <c:pt idx="211">
                  <c:v>0.99562500000000009</c:v>
                </c:pt>
                <c:pt idx="212">
                  <c:v>0.99900000000000011</c:v>
                </c:pt>
                <c:pt idx="213">
                  <c:v>1.002375</c:v>
                </c:pt>
                <c:pt idx="214">
                  <c:v>1.0057499999999999</c:v>
                </c:pt>
                <c:pt idx="215">
                  <c:v>1.009125</c:v>
                </c:pt>
                <c:pt idx="216">
                  <c:v>1.0125000000000002</c:v>
                </c:pt>
                <c:pt idx="217">
                  <c:v>1.0158750000000001</c:v>
                </c:pt>
                <c:pt idx="218">
                  <c:v>1.01925</c:v>
                </c:pt>
                <c:pt idx="219">
                  <c:v>1.0226250000000001</c:v>
                </c:pt>
                <c:pt idx="220">
                  <c:v>1.026</c:v>
                </c:pt>
                <c:pt idx="221">
                  <c:v>1.0293750000000002</c:v>
                </c:pt>
                <c:pt idx="222">
                  <c:v>1.0327500000000001</c:v>
                </c:pt>
                <c:pt idx="223">
                  <c:v>1.0361250000000002</c:v>
                </c:pt>
                <c:pt idx="224">
                  <c:v>1.0395000000000001</c:v>
                </c:pt>
                <c:pt idx="225">
                  <c:v>1.0428750000000002</c:v>
                </c:pt>
                <c:pt idx="226">
                  <c:v>1.0462500000000001</c:v>
                </c:pt>
                <c:pt idx="227">
                  <c:v>1.049625</c:v>
                </c:pt>
                <c:pt idx="228">
                  <c:v>1.0529999999999999</c:v>
                </c:pt>
                <c:pt idx="229">
                  <c:v>1.0563750000000001</c:v>
                </c:pt>
                <c:pt idx="230">
                  <c:v>1.0597500000000002</c:v>
                </c:pt>
                <c:pt idx="231">
                  <c:v>1.0631250000000001</c:v>
                </c:pt>
                <c:pt idx="232">
                  <c:v>1.0665</c:v>
                </c:pt>
                <c:pt idx="233">
                  <c:v>1.0698750000000001</c:v>
                </c:pt>
                <c:pt idx="234">
                  <c:v>1.07325</c:v>
                </c:pt>
                <c:pt idx="235">
                  <c:v>1.0766249999999999</c:v>
                </c:pt>
                <c:pt idx="236">
                  <c:v>1.08</c:v>
                </c:pt>
                <c:pt idx="237">
                  <c:v>1.0833750000000002</c:v>
                </c:pt>
                <c:pt idx="238">
                  <c:v>1.0867500000000001</c:v>
                </c:pt>
                <c:pt idx="239">
                  <c:v>1.090125</c:v>
                </c:pt>
                <c:pt idx="240">
                  <c:v>1.0935000000000001</c:v>
                </c:pt>
                <c:pt idx="241">
                  <c:v>1.096875</c:v>
                </c:pt>
                <c:pt idx="242">
                  <c:v>1.10025</c:v>
                </c:pt>
                <c:pt idx="243">
                  <c:v>1.1036250000000001</c:v>
                </c:pt>
                <c:pt idx="244">
                  <c:v>1.1070000000000002</c:v>
                </c:pt>
                <c:pt idx="245">
                  <c:v>1.1103750000000001</c:v>
                </c:pt>
                <c:pt idx="246">
                  <c:v>1.11375</c:v>
                </c:pt>
                <c:pt idx="247">
                  <c:v>1.1171250000000001</c:v>
                </c:pt>
                <c:pt idx="248">
                  <c:v>1.1205000000000001</c:v>
                </c:pt>
                <c:pt idx="249">
                  <c:v>1.123875</c:v>
                </c:pt>
                <c:pt idx="250">
                  <c:v>1.1272500000000001</c:v>
                </c:pt>
                <c:pt idx="251">
                  <c:v>1.1306250000000002</c:v>
                </c:pt>
                <c:pt idx="252">
                  <c:v>1.1340000000000001</c:v>
                </c:pt>
                <c:pt idx="253">
                  <c:v>1.1373750000000002</c:v>
                </c:pt>
                <c:pt idx="254">
                  <c:v>1.1407499999999999</c:v>
                </c:pt>
                <c:pt idx="255">
                  <c:v>1.1441250000000001</c:v>
                </c:pt>
                <c:pt idx="256">
                  <c:v>1.1475</c:v>
                </c:pt>
                <c:pt idx="257">
                  <c:v>1.1508750000000001</c:v>
                </c:pt>
                <c:pt idx="258">
                  <c:v>1.1542500000000002</c:v>
                </c:pt>
                <c:pt idx="259">
                  <c:v>1.1576250000000001</c:v>
                </c:pt>
                <c:pt idx="260">
                  <c:v>1.161</c:v>
                </c:pt>
                <c:pt idx="261">
                  <c:v>1.1643749999999999</c:v>
                </c:pt>
                <c:pt idx="262">
                  <c:v>1.1677500000000001</c:v>
                </c:pt>
                <c:pt idx="263">
                  <c:v>1.171125</c:v>
                </c:pt>
                <c:pt idx="264">
                  <c:v>1.1745000000000001</c:v>
                </c:pt>
                <c:pt idx="265">
                  <c:v>1.1778750000000002</c:v>
                </c:pt>
                <c:pt idx="266">
                  <c:v>1.1812500000000001</c:v>
                </c:pt>
                <c:pt idx="267">
                  <c:v>1.184625</c:v>
                </c:pt>
                <c:pt idx="268">
                  <c:v>1.1879999999999999</c:v>
                </c:pt>
                <c:pt idx="269">
                  <c:v>1.1913750000000001</c:v>
                </c:pt>
                <c:pt idx="270">
                  <c:v>1.19475</c:v>
                </c:pt>
                <c:pt idx="271">
                  <c:v>1.1981250000000001</c:v>
                </c:pt>
                <c:pt idx="272">
                  <c:v>1.2015</c:v>
                </c:pt>
                <c:pt idx="273">
                  <c:v>1.2048750000000001</c:v>
                </c:pt>
                <c:pt idx="274">
                  <c:v>1.20825</c:v>
                </c:pt>
                <c:pt idx="275">
                  <c:v>1.211625</c:v>
                </c:pt>
                <c:pt idx="276">
                  <c:v>1.2150000000000001</c:v>
                </c:pt>
                <c:pt idx="277">
                  <c:v>1.218375</c:v>
                </c:pt>
                <c:pt idx="278">
                  <c:v>1.2217500000000001</c:v>
                </c:pt>
                <c:pt idx="279">
                  <c:v>1.225125</c:v>
                </c:pt>
                <c:pt idx="280">
                  <c:v>1.2284999999999999</c:v>
                </c:pt>
                <c:pt idx="281">
                  <c:v>1.2318750000000001</c:v>
                </c:pt>
                <c:pt idx="282">
                  <c:v>1.23525</c:v>
                </c:pt>
                <c:pt idx="283">
                  <c:v>1.2386249999999999</c:v>
                </c:pt>
                <c:pt idx="284">
                  <c:v>1.2420000000000002</c:v>
                </c:pt>
                <c:pt idx="285">
                  <c:v>1.2453750000000001</c:v>
                </c:pt>
                <c:pt idx="286">
                  <c:v>1.24875</c:v>
                </c:pt>
                <c:pt idx="287">
                  <c:v>1.2521250000000002</c:v>
                </c:pt>
                <c:pt idx="288">
                  <c:v>1.2555000000000001</c:v>
                </c:pt>
                <c:pt idx="289">
                  <c:v>1.258875</c:v>
                </c:pt>
                <c:pt idx="290">
                  <c:v>1.2622500000000001</c:v>
                </c:pt>
                <c:pt idx="291">
                  <c:v>1.265625</c:v>
                </c:pt>
                <c:pt idx="292">
                  <c:v>1.2690000000000001</c:v>
                </c:pt>
                <c:pt idx="293">
                  <c:v>1.272375</c:v>
                </c:pt>
                <c:pt idx="294">
                  <c:v>1.2757500000000002</c:v>
                </c:pt>
                <c:pt idx="295">
                  <c:v>1.2791250000000001</c:v>
                </c:pt>
                <c:pt idx="296">
                  <c:v>1.2825000000000002</c:v>
                </c:pt>
                <c:pt idx="297">
                  <c:v>1.2858750000000001</c:v>
                </c:pt>
                <c:pt idx="298">
                  <c:v>1.28925</c:v>
                </c:pt>
                <c:pt idx="299">
                  <c:v>1.2926249999999999</c:v>
                </c:pt>
                <c:pt idx="300">
                  <c:v>1.296</c:v>
                </c:pt>
                <c:pt idx="301">
                  <c:v>1.2993750000000002</c:v>
                </c:pt>
                <c:pt idx="302">
                  <c:v>1.3027500000000003</c:v>
                </c:pt>
                <c:pt idx="303">
                  <c:v>1.3061250000000002</c:v>
                </c:pt>
                <c:pt idx="304">
                  <c:v>1.3095000000000003</c:v>
                </c:pt>
                <c:pt idx="305">
                  <c:v>1.3128750000000002</c:v>
                </c:pt>
                <c:pt idx="306">
                  <c:v>1.3162500000000001</c:v>
                </c:pt>
                <c:pt idx="307">
                  <c:v>1.319625</c:v>
                </c:pt>
                <c:pt idx="308">
                  <c:v>1.323</c:v>
                </c:pt>
                <c:pt idx="309">
                  <c:v>1.3263750000000001</c:v>
                </c:pt>
                <c:pt idx="310">
                  <c:v>1.3297500000000002</c:v>
                </c:pt>
                <c:pt idx="311">
                  <c:v>1.3331249999999999</c:v>
                </c:pt>
                <c:pt idx="312">
                  <c:v>1.3365</c:v>
                </c:pt>
                <c:pt idx="313">
                  <c:v>1.3398750000000001</c:v>
                </c:pt>
                <c:pt idx="314">
                  <c:v>1.3432500000000003</c:v>
                </c:pt>
                <c:pt idx="315">
                  <c:v>1.3466250000000002</c:v>
                </c:pt>
                <c:pt idx="316">
                  <c:v>1.35</c:v>
                </c:pt>
                <c:pt idx="317">
                  <c:v>1.353375</c:v>
                </c:pt>
                <c:pt idx="318">
                  <c:v>1.3567500000000001</c:v>
                </c:pt>
                <c:pt idx="319">
                  <c:v>1.360125</c:v>
                </c:pt>
                <c:pt idx="320">
                  <c:v>1.3635000000000002</c:v>
                </c:pt>
                <c:pt idx="321">
                  <c:v>1.3668750000000001</c:v>
                </c:pt>
                <c:pt idx="322">
                  <c:v>1.37025</c:v>
                </c:pt>
                <c:pt idx="323">
                  <c:v>1.3736250000000001</c:v>
                </c:pt>
                <c:pt idx="324">
                  <c:v>1.3770000000000002</c:v>
                </c:pt>
                <c:pt idx="325">
                  <c:v>1.3803750000000001</c:v>
                </c:pt>
                <c:pt idx="326">
                  <c:v>1.38375</c:v>
                </c:pt>
                <c:pt idx="327">
                  <c:v>1.3871249999999999</c:v>
                </c:pt>
                <c:pt idx="328">
                  <c:v>1.3905000000000001</c:v>
                </c:pt>
                <c:pt idx="329">
                  <c:v>1.393875</c:v>
                </c:pt>
                <c:pt idx="330">
                  <c:v>1.3972500000000001</c:v>
                </c:pt>
                <c:pt idx="331">
                  <c:v>1.400625</c:v>
                </c:pt>
                <c:pt idx="332">
                  <c:v>1.4040000000000001</c:v>
                </c:pt>
                <c:pt idx="333">
                  <c:v>1.407375</c:v>
                </c:pt>
                <c:pt idx="334">
                  <c:v>1.4107500000000002</c:v>
                </c:pt>
                <c:pt idx="335">
                  <c:v>1.4141250000000001</c:v>
                </c:pt>
                <c:pt idx="336">
                  <c:v>1.4175000000000002</c:v>
                </c:pt>
                <c:pt idx="337">
                  <c:v>1.4208750000000001</c:v>
                </c:pt>
                <c:pt idx="338">
                  <c:v>1.42425</c:v>
                </c:pt>
                <c:pt idx="339">
                  <c:v>1.4276250000000001</c:v>
                </c:pt>
                <c:pt idx="340">
                  <c:v>1.431</c:v>
                </c:pt>
                <c:pt idx="341">
                  <c:v>1.4343750000000002</c:v>
                </c:pt>
                <c:pt idx="342">
                  <c:v>1.4377500000000001</c:v>
                </c:pt>
                <c:pt idx="343">
                  <c:v>1.441125</c:v>
                </c:pt>
                <c:pt idx="344">
                  <c:v>1.4445000000000001</c:v>
                </c:pt>
                <c:pt idx="345">
                  <c:v>1.4478750000000002</c:v>
                </c:pt>
                <c:pt idx="346">
                  <c:v>1.4512500000000002</c:v>
                </c:pt>
                <c:pt idx="347">
                  <c:v>1.4546250000000001</c:v>
                </c:pt>
                <c:pt idx="348">
                  <c:v>1.4580000000000002</c:v>
                </c:pt>
                <c:pt idx="349">
                  <c:v>1.4613750000000001</c:v>
                </c:pt>
                <c:pt idx="350">
                  <c:v>1.46475</c:v>
                </c:pt>
                <c:pt idx="351">
                  <c:v>1.4681250000000001</c:v>
                </c:pt>
                <c:pt idx="352">
                  <c:v>1.4715</c:v>
                </c:pt>
                <c:pt idx="353">
                  <c:v>1.4748749999999999</c:v>
                </c:pt>
                <c:pt idx="354">
                  <c:v>1.4782500000000003</c:v>
                </c:pt>
                <c:pt idx="355">
                  <c:v>1.4816250000000002</c:v>
                </c:pt>
                <c:pt idx="356">
                  <c:v>1.4850000000000001</c:v>
                </c:pt>
                <c:pt idx="357">
                  <c:v>1.488375</c:v>
                </c:pt>
                <c:pt idx="358">
                  <c:v>1.4917500000000001</c:v>
                </c:pt>
                <c:pt idx="359">
                  <c:v>1.495125</c:v>
                </c:pt>
                <c:pt idx="360">
                  <c:v>1.4985000000000002</c:v>
                </c:pt>
                <c:pt idx="361">
                  <c:v>1.5018750000000001</c:v>
                </c:pt>
                <c:pt idx="362">
                  <c:v>1.50525</c:v>
                </c:pt>
                <c:pt idx="363">
                  <c:v>1.5086250000000001</c:v>
                </c:pt>
                <c:pt idx="364">
                  <c:v>1.512</c:v>
                </c:pt>
                <c:pt idx="365">
                  <c:v>1.5153749999999999</c:v>
                </c:pt>
                <c:pt idx="366">
                  <c:v>1.5187500000000003</c:v>
                </c:pt>
                <c:pt idx="367">
                  <c:v>1.522125</c:v>
                </c:pt>
                <c:pt idx="368">
                  <c:v>1.5255000000000001</c:v>
                </c:pt>
                <c:pt idx="369">
                  <c:v>1.5288750000000002</c:v>
                </c:pt>
                <c:pt idx="370">
                  <c:v>1.5322500000000001</c:v>
                </c:pt>
                <c:pt idx="371">
                  <c:v>1.535625</c:v>
                </c:pt>
                <c:pt idx="372">
                  <c:v>1.5390000000000001</c:v>
                </c:pt>
                <c:pt idx="373">
                  <c:v>1.5423750000000001</c:v>
                </c:pt>
                <c:pt idx="374">
                  <c:v>1.54575</c:v>
                </c:pt>
                <c:pt idx="375">
                  <c:v>1.5491250000000001</c:v>
                </c:pt>
                <c:pt idx="376">
                  <c:v>1.5525000000000002</c:v>
                </c:pt>
                <c:pt idx="377">
                  <c:v>1.5558750000000001</c:v>
                </c:pt>
                <c:pt idx="378">
                  <c:v>1.55925</c:v>
                </c:pt>
                <c:pt idx="379">
                  <c:v>1.5626250000000002</c:v>
                </c:pt>
                <c:pt idx="380">
                  <c:v>1.5660000000000003</c:v>
                </c:pt>
                <c:pt idx="381">
                  <c:v>1.5693750000000002</c:v>
                </c:pt>
                <c:pt idx="382">
                  <c:v>1.5727500000000001</c:v>
                </c:pt>
                <c:pt idx="383">
                  <c:v>1.576125</c:v>
                </c:pt>
                <c:pt idx="384">
                  <c:v>1.5795000000000001</c:v>
                </c:pt>
                <c:pt idx="385">
                  <c:v>1.5828750000000003</c:v>
                </c:pt>
                <c:pt idx="386">
                  <c:v>1.5862500000000002</c:v>
                </c:pt>
                <c:pt idx="387">
                  <c:v>1.5896250000000001</c:v>
                </c:pt>
                <c:pt idx="388">
                  <c:v>1.5930000000000002</c:v>
                </c:pt>
                <c:pt idx="389">
                  <c:v>1.5963750000000001</c:v>
                </c:pt>
                <c:pt idx="390">
                  <c:v>1.59975</c:v>
                </c:pt>
                <c:pt idx="391">
                  <c:v>1.6031250000000001</c:v>
                </c:pt>
                <c:pt idx="392">
                  <c:v>1.6065</c:v>
                </c:pt>
                <c:pt idx="393">
                  <c:v>1.6098750000000002</c:v>
                </c:pt>
                <c:pt idx="394">
                  <c:v>1.6132500000000001</c:v>
                </c:pt>
                <c:pt idx="395">
                  <c:v>1.6166250000000002</c:v>
                </c:pt>
                <c:pt idx="396">
                  <c:v>1.62</c:v>
                </c:pt>
                <c:pt idx="397">
                  <c:v>1.623375</c:v>
                </c:pt>
                <c:pt idx="398">
                  <c:v>1.6267499999999999</c:v>
                </c:pt>
                <c:pt idx="399">
                  <c:v>1.630125</c:v>
                </c:pt>
                <c:pt idx="400">
                  <c:v>1.6335</c:v>
                </c:pt>
                <c:pt idx="401">
                  <c:v>1.6368750000000003</c:v>
                </c:pt>
                <c:pt idx="402">
                  <c:v>1.64025</c:v>
                </c:pt>
                <c:pt idx="403">
                  <c:v>1.6436250000000001</c:v>
                </c:pt>
                <c:pt idx="404">
                  <c:v>1.647</c:v>
                </c:pt>
                <c:pt idx="405">
                  <c:v>1.6503750000000001</c:v>
                </c:pt>
                <c:pt idx="406">
                  <c:v>1.6537500000000001</c:v>
                </c:pt>
                <c:pt idx="407">
                  <c:v>1.657125</c:v>
                </c:pt>
                <c:pt idx="408">
                  <c:v>1.6605000000000001</c:v>
                </c:pt>
                <c:pt idx="409">
                  <c:v>1.6638750000000002</c:v>
                </c:pt>
                <c:pt idx="410">
                  <c:v>1.6672500000000001</c:v>
                </c:pt>
                <c:pt idx="411">
                  <c:v>1.6706250000000002</c:v>
                </c:pt>
                <c:pt idx="412">
                  <c:v>1.6740000000000002</c:v>
                </c:pt>
                <c:pt idx="413">
                  <c:v>1.6773750000000001</c:v>
                </c:pt>
                <c:pt idx="414">
                  <c:v>1.6807500000000002</c:v>
                </c:pt>
                <c:pt idx="415">
                  <c:v>1.6841250000000001</c:v>
                </c:pt>
                <c:pt idx="416">
                  <c:v>1.6875</c:v>
                </c:pt>
                <c:pt idx="417">
                  <c:v>1.6908750000000001</c:v>
                </c:pt>
                <c:pt idx="418">
                  <c:v>1.6942500000000003</c:v>
                </c:pt>
                <c:pt idx="419">
                  <c:v>1.6976249999999999</c:v>
                </c:pt>
                <c:pt idx="420">
                  <c:v>1.7010000000000003</c:v>
                </c:pt>
                <c:pt idx="421">
                  <c:v>1.704375</c:v>
                </c:pt>
                <c:pt idx="422">
                  <c:v>1.7077500000000001</c:v>
                </c:pt>
                <c:pt idx="423">
                  <c:v>1.711125</c:v>
                </c:pt>
                <c:pt idx="424">
                  <c:v>1.7144999999999999</c:v>
                </c:pt>
                <c:pt idx="425">
                  <c:v>1.7178750000000003</c:v>
                </c:pt>
                <c:pt idx="426">
                  <c:v>1.7212500000000002</c:v>
                </c:pt>
                <c:pt idx="427">
                  <c:v>1.1497500000000003</c:v>
                </c:pt>
                <c:pt idx="428">
                  <c:v>1.1520000000000001</c:v>
                </c:pt>
                <c:pt idx="429">
                  <c:v>1.15425</c:v>
                </c:pt>
                <c:pt idx="430">
                  <c:v>1.1565000000000001</c:v>
                </c:pt>
                <c:pt idx="431">
                  <c:v>1.1587500000000002</c:v>
                </c:pt>
                <c:pt idx="432">
                  <c:v>1.161</c:v>
                </c:pt>
                <c:pt idx="433">
                  <c:v>1.1632500000000001</c:v>
                </c:pt>
                <c:pt idx="434">
                  <c:v>1.1655</c:v>
                </c:pt>
                <c:pt idx="435">
                  <c:v>1.1677500000000001</c:v>
                </c:pt>
                <c:pt idx="436">
                  <c:v>1.1700000000000002</c:v>
                </c:pt>
                <c:pt idx="437">
                  <c:v>1.17225</c:v>
                </c:pt>
                <c:pt idx="438">
                  <c:v>1.1745000000000001</c:v>
                </c:pt>
                <c:pt idx="439">
                  <c:v>1.17675</c:v>
                </c:pt>
                <c:pt idx="440">
                  <c:v>1.179</c:v>
                </c:pt>
                <c:pt idx="441">
                  <c:v>1.1812500000000001</c:v>
                </c:pt>
                <c:pt idx="442">
                  <c:v>1.1835000000000002</c:v>
                </c:pt>
                <c:pt idx="443">
                  <c:v>1.1857500000000001</c:v>
                </c:pt>
                <c:pt idx="444">
                  <c:v>1.1879999999999999</c:v>
                </c:pt>
                <c:pt idx="445">
                  <c:v>1.19025</c:v>
                </c:pt>
                <c:pt idx="446">
                  <c:v>1.1925000000000001</c:v>
                </c:pt>
                <c:pt idx="447">
                  <c:v>1.1947500000000002</c:v>
                </c:pt>
                <c:pt idx="448">
                  <c:v>1.1970000000000003</c:v>
                </c:pt>
                <c:pt idx="449">
                  <c:v>1.1992500000000001</c:v>
                </c:pt>
                <c:pt idx="450">
                  <c:v>1.2015</c:v>
                </c:pt>
                <c:pt idx="451">
                  <c:v>1.2037500000000001</c:v>
                </c:pt>
                <c:pt idx="452">
                  <c:v>1.206</c:v>
                </c:pt>
                <c:pt idx="453">
                  <c:v>1.20825</c:v>
                </c:pt>
                <c:pt idx="454">
                  <c:v>1.2105000000000001</c:v>
                </c:pt>
                <c:pt idx="455">
                  <c:v>1.2127500000000002</c:v>
                </c:pt>
                <c:pt idx="456">
                  <c:v>1.2150000000000001</c:v>
                </c:pt>
                <c:pt idx="457">
                  <c:v>1.2172500000000002</c:v>
                </c:pt>
                <c:pt idx="458">
                  <c:v>1.2195</c:v>
                </c:pt>
                <c:pt idx="459">
                  <c:v>1.2217500000000001</c:v>
                </c:pt>
                <c:pt idx="460">
                  <c:v>1.224</c:v>
                </c:pt>
                <c:pt idx="461">
                  <c:v>1.2262500000000001</c:v>
                </c:pt>
                <c:pt idx="462">
                  <c:v>1.2285000000000001</c:v>
                </c:pt>
                <c:pt idx="463">
                  <c:v>1.2307500000000002</c:v>
                </c:pt>
                <c:pt idx="464">
                  <c:v>1.2330000000000001</c:v>
                </c:pt>
                <c:pt idx="465">
                  <c:v>1.2352500000000002</c:v>
                </c:pt>
                <c:pt idx="466">
                  <c:v>1.2375</c:v>
                </c:pt>
                <c:pt idx="467">
                  <c:v>1.2397500000000001</c:v>
                </c:pt>
                <c:pt idx="468">
                  <c:v>1.2420000000000002</c:v>
                </c:pt>
                <c:pt idx="469">
                  <c:v>1.2442500000000001</c:v>
                </c:pt>
                <c:pt idx="470">
                  <c:v>1.2464999999999999</c:v>
                </c:pt>
                <c:pt idx="471">
                  <c:v>1.24875</c:v>
                </c:pt>
                <c:pt idx="472">
                  <c:v>1.2510000000000001</c:v>
                </c:pt>
                <c:pt idx="473">
                  <c:v>1.2532500000000002</c:v>
                </c:pt>
                <c:pt idx="474">
                  <c:v>1.2555000000000001</c:v>
                </c:pt>
                <c:pt idx="475">
                  <c:v>1.2577499999999999</c:v>
                </c:pt>
                <c:pt idx="476">
                  <c:v>1.26</c:v>
                </c:pt>
                <c:pt idx="477">
                  <c:v>1.2622500000000001</c:v>
                </c:pt>
                <c:pt idx="478">
                  <c:v>1.2645</c:v>
                </c:pt>
                <c:pt idx="479">
                  <c:v>1.26675</c:v>
                </c:pt>
                <c:pt idx="480">
                  <c:v>1.2689999999999999</c:v>
                </c:pt>
                <c:pt idx="481">
                  <c:v>1.27125</c:v>
                </c:pt>
                <c:pt idx="482">
                  <c:v>1.2735000000000001</c:v>
                </c:pt>
                <c:pt idx="483">
                  <c:v>1.2757500000000002</c:v>
                </c:pt>
                <c:pt idx="484">
                  <c:v>1.2780000000000002</c:v>
                </c:pt>
                <c:pt idx="485">
                  <c:v>1.2802499999999999</c:v>
                </c:pt>
                <c:pt idx="486">
                  <c:v>1.2825000000000002</c:v>
                </c:pt>
                <c:pt idx="487">
                  <c:v>1.2847500000000001</c:v>
                </c:pt>
                <c:pt idx="488">
                  <c:v>1.2870000000000001</c:v>
                </c:pt>
                <c:pt idx="489">
                  <c:v>1.2892500000000002</c:v>
                </c:pt>
                <c:pt idx="490">
                  <c:v>1.2914999999999999</c:v>
                </c:pt>
                <c:pt idx="491">
                  <c:v>1.2937500000000002</c:v>
                </c:pt>
                <c:pt idx="492">
                  <c:v>1.296</c:v>
                </c:pt>
                <c:pt idx="493">
                  <c:v>1.2982500000000001</c:v>
                </c:pt>
                <c:pt idx="494">
                  <c:v>1.3005000000000002</c:v>
                </c:pt>
                <c:pt idx="495">
                  <c:v>1.3027500000000001</c:v>
                </c:pt>
                <c:pt idx="496">
                  <c:v>1.3049999999999999</c:v>
                </c:pt>
                <c:pt idx="497">
                  <c:v>1.30725</c:v>
                </c:pt>
                <c:pt idx="498">
                  <c:v>1.3095000000000001</c:v>
                </c:pt>
                <c:pt idx="499">
                  <c:v>1.3117500000000002</c:v>
                </c:pt>
                <c:pt idx="500">
                  <c:v>1.3140000000000003</c:v>
                </c:pt>
                <c:pt idx="501">
                  <c:v>1.3162499999999999</c:v>
                </c:pt>
                <c:pt idx="502">
                  <c:v>1.3185</c:v>
                </c:pt>
                <c:pt idx="503">
                  <c:v>1.3207500000000001</c:v>
                </c:pt>
                <c:pt idx="504">
                  <c:v>1.3230000000000002</c:v>
                </c:pt>
                <c:pt idx="505">
                  <c:v>1.3252500000000003</c:v>
                </c:pt>
                <c:pt idx="506">
                  <c:v>1.3275000000000001</c:v>
                </c:pt>
                <c:pt idx="507">
                  <c:v>1.32975</c:v>
                </c:pt>
                <c:pt idx="508">
                  <c:v>1.3320000000000001</c:v>
                </c:pt>
                <c:pt idx="509">
                  <c:v>1.3342499999999999</c:v>
                </c:pt>
                <c:pt idx="510">
                  <c:v>1.3365</c:v>
                </c:pt>
                <c:pt idx="511">
                  <c:v>1.3387500000000001</c:v>
                </c:pt>
                <c:pt idx="512">
                  <c:v>1.341</c:v>
                </c:pt>
                <c:pt idx="513">
                  <c:v>1.3432500000000001</c:v>
                </c:pt>
                <c:pt idx="514">
                  <c:v>1.3455000000000001</c:v>
                </c:pt>
                <c:pt idx="515">
                  <c:v>1.3477500000000002</c:v>
                </c:pt>
                <c:pt idx="516">
                  <c:v>1.3500000000000003</c:v>
                </c:pt>
                <c:pt idx="517">
                  <c:v>1.35225</c:v>
                </c:pt>
                <c:pt idx="518">
                  <c:v>1.3545</c:v>
                </c:pt>
                <c:pt idx="519">
                  <c:v>1.3567500000000001</c:v>
                </c:pt>
                <c:pt idx="520">
                  <c:v>1.359</c:v>
                </c:pt>
                <c:pt idx="521">
                  <c:v>1.3612500000000001</c:v>
                </c:pt>
                <c:pt idx="522">
                  <c:v>1.3635000000000002</c:v>
                </c:pt>
                <c:pt idx="523">
                  <c:v>1.3657500000000002</c:v>
                </c:pt>
                <c:pt idx="524">
                  <c:v>1.3680000000000001</c:v>
                </c:pt>
                <c:pt idx="525">
                  <c:v>1.3702500000000002</c:v>
                </c:pt>
                <c:pt idx="526">
                  <c:v>1.3725000000000003</c:v>
                </c:pt>
                <c:pt idx="527">
                  <c:v>1.3747499999999999</c:v>
                </c:pt>
                <c:pt idx="528">
                  <c:v>1.377</c:v>
                </c:pt>
                <c:pt idx="529">
                  <c:v>1.3792500000000001</c:v>
                </c:pt>
                <c:pt idx="530">
                  <c:v>1.3815000000000002</c:v>
                </c:pt>
                <c:pt idx="531">
                  <c:v>1.38375</c:v>
                </c:pt>
                <c:pt idx="532">
                  <c:v>1.3860000000000001</c:v>
                </c:pt>
                <c:pt idx="533">
                  <c:v>1.3882500000000002</c:v>
                </c:pt>
                <c:pt idx="534">
                  <c:v>1.3905000000000003</c:v>
                </c:pt>
                <c:pt idx="535">
                  <c:v>1.3927500000000002</c:v>
                </c:pt>
                <c:pt idx="536">
                  <c:v>1.3950000000000002</c:v>
                </c:pt>
                <c:pt idx="537">
                  <c:v>1.3972500000000003</c:v>
                </c:pt>
                <c:pt idx="538">
                  <c:v>1.3995</c:v>
                </c:pt>
                <c:pt idx="539">
                  <c:v>1.4017500000000001</c:v>
                </c:pt>
                <c:pt idx="540">
                  <c:v>1.4039999999999999</c:v>
                </c:pt>
                <c:pt idx="541">
                  <c:v>1.40625</c:v>
                </c:pt>
                <c:pt idx="542">
                  <c:v>1.4085000000000001</c:v>
                </c:pt>
                <c:pt idx="543">
                  <c:v>1.4107499999999999</c:v>
                </c:pt>
                <c:pt idx="544">
                  <c:v>1.4130000000000003</c:v>
                </c:pt>
                <c:pt idx="545">
                  <c:v>1.4152500000000001</c:v>
                </c:pt>
                <c:pt idx="546">
                  <c:v>1.4175000000000002</c:v>
                </c:pt>
                <c:pt idx="547">
                  <c:v>1.4197500000000003</c:v>
                </c:pt>
                <c:pt idx="548">
                  <c:v>1.4219999999999999</c:v>
                </c:pt>
                <c:pt idx="549">
                  <c:v>1.42425</c:v>
                </c:pt>
                <c:pt idx="550">
                  <c:v>1.4265000000000001</c:v>
                </c:pt>
                <c:pt idx="551">
                  <c:v>1.4287500000000002</c:v>
                </c:pt>
                <c:pt idx="552">
                  <c:v>1.431</c:v>
                </c:pt>
                <c:pt idx="553">
                  <c:v>1.4332500000000001</c:v>
                </c:pt>
                <c:pt idx="554">
                  <c:v>1.4355</c:v>
                </c:pt>
                <c:pt idx="555">
                  <c:v>1.4377500000000001</c:v>
                </c:pt>
                <c:pt idx="556">
                  <c:v>1.4400000000000002</c:v>
                </c:pt>
                <c:pt idx="557">
                  <c:v>1.4422500000000003</c:v>
                </c:pt>
                <c:pt idx="558">
                  <c:v>1.4445000000000003</c:v>
                </c:pt>
                <c:pt idx="559">
                  <c:v>1.44675</c:v>
                </c:pt>
                <c:pt idx="560">
                  <c:v>1.4490000000000001</c:v>
                </c:pt>
                <c:pt idx="561">
                  <c:v>1.4512500000000002</c:v>
                </c:pt>
                <c:pt idx="562">
                  <c:v>1.4535</c:v>
                </c:pt>
                <c:pt idx="563">
                  <c:v>1.4557500000000001</c:v>
                </c:pt>
                <c:pt idx="564">
                  <c:v>1.4580000000000002</c:v>
                </c:pt>
                <c:pt idx="565">
                  <c:v>1.4602500000000003</c:v>
                </c:pt>
                <c:pt idx="566">
                  <c:v>1.4625000000000001</c:v>
                </c:pt>
                <c:pt idx="567">
                  <c:v>1.4647500000000002</c:v>
                </c:pt>
                <c:pt idx="568">
                  <c:v>1.4669999999999999</c:v>
                </c:pt>
                <c:pt idx="569">
                  <c:v>1.4692500000000004</c:v>
                </c:pt>
                <c:pt idx="570">
                  <c:v>1.4715</c:v>
                </c:pt>
                <c:pt idx="571">
                  <c:v>1.4737500000000001</c:v>
                </c:pt>
                <c:pt idx="572">
                  <c:v>1.4760000000000002</c:v>
                </c:pt>
                <c:pt idx="573">
                  <c:v>1.4782500000000001</c:v>
                </c:pt>
                <c:pt idx="574">
                  <c:v>1.4805000000000001</c:v>
                </c:pt>
                <c:pt idx="575">
                  <c:v>1.4827500000000002</c:v>
                </c:pt>
                <c:pt idx="576">
                  <c:v>1.4850000000000001</c:v>
                </c:pt>
                <c:pt idx="577">
                  <c:v>1.4872500000000002</c:v>
                </c:pt>
                <c:pt idx="578">
                  <c:v>1.4895000000000003</c:v>
                </c:pt>
                <c:pt idx="579">
                  <c:v>1.4917500000000004</c:v>
                </c:pt>
                <c:pt idx="580">
                  <c:v>1.494</c:v>
                </c:pt>
                <c:pt idx="581">
                  <c:v>1.4962500000000001</c:v>
                </c:pt>
                <c:pt idx="582">
                  <c:v>1.4984999999999999</c:v>
                </c:pt>
                <c:pt idx="583">
                  <c:v>1.50075</c:v>
                </c:pt>
                <c:pt idx="584">
                  <c:v>1.5030000000000001</c:v>
                </c:pt>
                <c:pt idx="585">
                  <c:v>1.50525</c:v>
                </c:pt>
                <c:pt idx="586">
                  <c:v>1.5075000000000003</c:v>
                </c:pt>
                <c:pt idx="587">
                  <c:v>1.5097500000000001</c:v>
                </c:pt>
                <c:pt idx="588">
                  <c:v>1.5120000000000002</c:v>
                </c:pt>
                <c:pt idx="589">
                  <c:v>1.5142500000000003</c:v>
                </c:pt>
                <c:pt idx="590">
                  <c:v>1.5165000000000004</c:v>
                </c:pt>
                <c:pt idx="591">
                  <c:v>1.51875</c:v>
                </c:pt>
                <c:pt idx="592">
                  <c:v>1.5209999999999999</c:v>
                </c:pt>
                <c:pt idx="593">
                  <c:v>1.52325</c:v>
                </c:pt>
                <c:pt idx="594">
                  <c:v>1.5255000000000001</c:v>
                </c:pt>
                <c:pt idx="595">
                  <c:v>1.5277500000000002</c:v>
                </c:pt>
                <c:pt idx="596">
                  <c:v>1.53</c:v>
                </c:pt>
                <c:pt idx="597">
                  <c:v>1.5322500000000001</c:v>
                </c:pt>
                <c:pt idx="598">
                  <c:v>1.5345000000000002</c:v>
                </c:pt>
                <c:pt idx="599">
                  <c:v>1.5367499999999998</c:v>
                </c:pt>
                <c:pt idx="600">
                  <c:v>1.5390000000000004</c:v>
                </c:pt>
                <c:pt idx="601">
                  <c:v>1.54125</c:v>
                </c:pt>
                <c:pt idx="602">
                  <c:v>1.5435000000000001</c:v>
                </c:pt>
                <c:pt idx="603">
                  <c:v>1.5457500000000002</c:v>
                </c:pt>
                <c:pt idx="604">
                  <c:v>1.548</c:v>
                </c:pt>
                <c:pt idx="605">
                  <c:v>1.5502500000000001</c:v>
                </c:pt>
                <c:pt idx="606">
                  <c:v>1.5525</c:v>
                </c:pt>
                <c:pt idx="607">
                  <c:v>1.5547500000000003</c:v>
                </c:pt>
                <c:pt idx="608">
                  <c:v>1.5570000000000002</c:v>
                </c:pt>
                <c:pt idx="609">
                  <c:v>1.5592500000000002</c:v>
                </c:pt>
                <c:pt idx="610">
                  <c:v>1.5614999999999999</c:v>
                </c:pt>
                <c:pt idx="611">
                  <c:v>1.56375</c:v>
                </c:pt>
                <c:pt idx="612">
                  <c:v>1.5660000000000001</c:v>
                </c:pt>
                <c:pt idx="613">
                  <c:v>1.5682500000000001</c:v>
                </c:pt>
                <c:pt idx="614">
                  <c:v>1.5705000000000002</c:v>
                </c:pt>
                <c:pt idx="615">
                  <c:v>1.5727500000000001</c:v>
                </c:pt>
                <c:pt idx="616">
                  <c:v>1.5750000000000002</c:v>
                </c:pt>
                <c:pt idx="617">
                  <c:v>1.57725</c:v>
                </c:pt>
                <c:pt idx="618">
                  <c:v>1.5795000000000001</c:v>
                </c:pt>
                <c:pt idx="619">
                  <c:v>1.5817500000000002</c:v>
                </c:pt>
                <c:pt idx="620">
                  <c:v>1.5839999999999999</c:v>
                </c:pt>
                <c:pt idx="621">
                  <c:v>1.5862499999999999</c:v>
                </c:pt>
                <c:pt idx="622">
                  <c:v>1.5885</c:v>
                </c:pt>
                <c:pt idx="623">
                  <c:v>1.5907500000000001</c:v>
                </c:pt>
                <c:pt idx="624">
                  <c:v>1.593</c:v>
                </c:pt>
                <c:pt idx="625">
                  <c:v>1.5952500000000001</c:v>
                </c:pt>
                <c:pt idx="626">
                  <c:v>1.5975000000000001</c:v>
                </c:pt>
                <c:pt idx="627">
                  <c:v>1.5997500000000002</c:v>
                </c:pt>
                <c:pt idx="628">
                  <c:v>1.6020000000000001</c:v>
                </c:pt>
                <c:pt idx="629">
                  <c:v>1.6042500000000002</c:v>
                </c:pt>
                <c:pt idx="630">
                  <c:v>1.6065000000000003</c:v>
                </c:pt>
                <c:pt idx="631">
                  <c:v>1.6087499999999999</c:v>
                </c:pt>
                <c:pt idx="632">
                  <c:v>1.611</c:v>
                </c:pt>
                <c:pt idx="633">
                  <c:v>1.6132500000000001</c:v>
                </c:pt>
                <c:pt idx="634">
                  <c:v>1.6154999999999999</c:v>
                </c:pt>
                <c:pt idx="635">
                  <c:v>1.6177500000000002</c:v>
                </c:pt>
                <c:pt idx="636">
                  <c:v>1.62</c:v>
                </c:pt>
                <c:pt idx="637">
                  <c:v>1.6222500000000002</c:v>
                </c:pt>
                <c:pt idx="638">
                  <c:v>1.6245000000000001</c:v>
                </c:pt>
                <c:pt idx="639">
                  <c:v>1.6267500000000001</c:v>
                </c:pt>
                <c:pt idx="640">
                  <c:v>1.6290000000000002</c:v>
                </c:pt>
                <c:pt idx="641">
                  <c:v>1.6312500000000003</c:v>
                </c:pt>
                <c:pt idx="642">
                  <c:v>1.6335</c:v>
                </c:pt>
                <c:pt idx="643">
                  <c:v>1.63575</c:v>
                </c:pt>
                <c:pt idx="644">
                  <c:v>1.6379999999999999</c:v>
                </c:pt>
                <c:pt idx="645">
                  <c:v>1.64025</c:v>
                </c:pt>
                <c:pt idx="646">
                  <c:v>1.6425000000000001</c:v>
                </c:pt>
                <c:pt idx="647">
                  <c:v>1.6447500000000002</c:v>
                </c:pt>
                <c:pt idx="648">
                  <c:v>1.647</c:v>
                </c:pt>
                <c:pt idx="649">
                  <c:v>1.6492500000000001</c:v>
                </c:pt>
                <c:pt idx="650">
                  <c:v>1.6514999999999997</c:v>
                </c:pt>
                <c:pt idx="651">
                  <c:v>1.6537499999999998</c:v>
                </c:pt>
                <c:pt idx="652">
                  <c:v>1.6560000000000004</c:v>
                </c:pt>
                <c:pt idx="653">
                  <c:v>1.65825</c:v>
                </c:pt>
                <c:pt idx="654">
                  <c:v>1.6605000000000001</c:v>
                </c:pt>
                <c:pt idx="655">
                  <c:v>1.6627500000000002</c:v>
                </c:pt>
                <c:pt idx="656">
                  <c:v>1.665</c:v>
                </c:pt>
                <c:pt idx="657">
                  <c:v>1.6672500000000001</c:v>
                </c:pt>
                <c:pt idx="658">
                  <c:v>1.6695000000000002</c:v>
                </c:pt>
                <c:pt idx="659">
                  <c:v>1.6717500000000001</c:v>
                </c:pt>
                <c:pt idx="660">
                  <c:v>1.6740000000000002</c:v>
                </c:pt>
                <c:pt idx="661">
                  <c:v>1.6762500000000002</c:v>
                </c:pt>
                <c:pt idx="662">
                  <c:v>1.6784999999999999</c:v>
                </c:pt>
                <c:pt idx="663">
                  <c:v>1.68075</c:v>
                </c:pt>
                <c:pt idx="664">
                  <c:v>1.6830000000000001</c:v>
                </c:pt>
                <c:pt idx="665">
                  <c:v>1.6852500000000001</c:v>
                </c:pt>
                <c:pt idx="666">
                  <c:v>1.6875</c:v>
                </c:pt>
                <c:pt idx="667">
                  <c:v>1.6897500000000001</c:v>
                </c:pt>
                <c:pt idx="668">
                  <c:v>1.6920000000000002</c:v>
                </c:pt>
                <c:pt idx="669">
                  <c:v>1.6942500000000003</c:v>
                </c:pt>
                <c:pt idx="670">
                  <c:v>1.6965000000000001</c:v>
                </c:pt>
                <c:pt idx="671">
                  <c:v>1.6987499999999998</c:v>
                </c:pt>
                <c:pt idx="672">
                  <c:v>1.7010000000000003</c:v>
                </c:pt>
                <c:pt idx="673">
                  <c:v>1.7032499999999999</c:v>
                </c:pt>
                <c:pt idx="674">
                  <c:v>1.7055</c:v>
                </c:pt>
                <c:pt idx="675">
                  <c:v>1.7077499999999999</c:v>
                </c:pt>
                <c:pt idx="676">
                  <c:v>1.7100000000000002</c:v>
                </c:pt>
                <c:pt idx="677">
                  <c:v>1.71225</c:v>
                </c:pt>
                <c:pt idx="678">
                  <c:v>1.7145000000000001</c:v>
                </c:pt>
                <c:pt idx="679">
                  <c:v>1.7167500000000002</c:v>
                </c:pt>
                <c:pt idx="680">
                  <c:v>1.7190000000000001</c:v>
                </c:pt>
                <c:pt idx="681">
                  <c:v>1.7212500000000002</c:v>
                </c:pt>
                <c:pt idx="682">
                  <c:v>1.7234999999999998</c:v>
                </c:pt>
                <c:pt idx="683">
                  <c:v>1.2943125</c:v>
                </c:pt>
                <c:pt idx="684">
                  <c:v>1.296</c:v>
                </c:pt>
                <c:pt idx="685">
                  <c:v>1.2976874999999999</c:v>
                </c:pt>
                <c:pt idx="686">
                  <c:v>1.2993750000000002</c:v>
                </c:pt>
                <c:pt idx="687">
                  <c:v>1.3010625</c:v>
                </c:pt>
                <c:pt idx="688">
                  <c:v>1.3027500000000003</c:v>
                </c:pt>
                <c:pt idx="689">
                  <c:v>1.3044375000000001</c:v>
                </c:pt>
                <c:pt idx="690">
                  <c:v>1.3061250000000002</c:v>
                </c:pt>
                <c:pt idx="691">
                  <c:v>1.3078125</c:v>
                </c:pt>
                <c:pt idx="692">
                  <c:v>1.3095000000000003</c:v>
                </c:pt>
                <c:pt idx="693">
                  <c:v>1.3111875000000002</c:v>
                </c:pt>
                <c:pt idx="694">
                  <c:v>1.3128750000000002</c:v>
                </c:pt>
                <c:pt idx="695">
                  <c:v>1.3145625000000001</c:v>
                </c:pt>
                <c:pt idx="696">
                  <c:v>1.3162500000000001</c:v>
                </c:pt>
                <c:pt idx="697">
                  <c:v>1.3179375000000002</c:v>
                </c:pt>
                <c:pt idx="698">
                  <c:v>1.319625</c:v>
                </c:pt>
                <c:pt idx="699">
                  <c:v>1.3213125000000001</c:v>
                </c:pt>
                <c:pt idx="700">
                  <c:v>1.323</c:v>
                </c:pt>
                <c:pt idx="701">
                  <c:v>1.3246875</c:v>
                </c:pt>
                <c:pt idx="702">
                  <c:v>1.3263750000000001</c:v>
                </c:pt>
                <c:pt idx="703">
                  <c:v>1.3280624999999999</c:v>
                </c:pt>
                <c:pt idx="704">
                  <c:v>1.3297500000000002</c:v>
                </c:pt>
                <c:pt idx="705">
                  <c:v>1.3314375000000001</c:v>
                </c:pt>
                <c:pt idx="706">
                  <c:v>1.3331249999999999</c:v>
                </c:pt>
                <c:pt idx="707">
                  <c:v>1.3348125000000002</c:v>
                </c:pt>
                <c:pt idx="708">
                  <c:v>1.3365</c:v>
                </c:pt>
                <c:pt idx="709">
                  <c:v>1.3381875000000001</c:v>
                </c:pt>
                <c:pt idx="710">
                  <c:v>1.3398750000000001</c:v>
                </c:pt>
                <c:pt idx="711">
                  <c:v>1.3415625</c:v>
                </c:pt>
                <c:pt idx="712">
                  <c:v>1.3432500000000003</c:v>
                </c:pt>
                <c:pt idx="713">
                  <c:v>1.3449374999999999</c:v>
                </c:pt>
                <c:pt idx="714">
                  <c:v>1.3466250000000002</c:v>
                </c:pt>
                <c:pt idx="715">
                  <c:v>1.3483125</c:v>
                </c:pt>
                <c:pt idx="716">
                  <c:v>1.35</c:v>
                </c:pt>
                <c:pt idx="717">
                  <c:v>1.3516875000000002</c:v>
                </c:pt>
                <c:pt idx="718">
                  <c:v>1.353375</c:v>
                </c:pt>
                <c:pt idx="719">
                  <c:v>1.3550625000000001</c:v>
                </c:pt>
                <c:pt idx="720">
                  <c:v>1.3567500000000001</c:v>
                </c:pt>
                <c:pt idx="721">
                  <c:v>1.3584375000000002</c:v>
                </c:pt>
                <c:pt idx="722">
                  <c:v>1.360125</c:v>
                </c:pt>
                <c:pt idx="723">
                  <c:v>1.3618125000000001</c:v>
                </c:pt>
                <c:pt idx="724">
                  <c:v>1.3635000000000002</c:v>
                </c:pt>
                <c:pt idx="725">
                  <c:v>1.3651875</c:v>
                </c:pt>
                <c:pt idx="726">
                  <c:v>1.3668750000000001</c:v>
                </c:pt>
                <c:pt idx="727">
                  <c:v>1.3685625000000001</c:v>
                </c:pt>
                <c:pt idx="728">
                  <c:v>1.37025</c:v>
                </c:pt>
                <c:pt idx="729">
                  <c:v>1.3719375</c:v>
                </c:pt>
                <c:pt idx="730">
                  <c:v>1.3736250000000001</c:v>
                </c:pt>
                <c:pt idx="731">
                  <c:v>1.3753125000000002</c:v>
                </c:pt>
                <c:pt idx="732">
                  <c:v>1.3770000000000002</c:v>
                </c:pt>
                <c:pt idx="733">
                  <c:v>1.3786875000000001</c:v>
                </c:pt>
                <c:pt idx="734">
                  <c:v>1.3803750000000001</c:v>
                </c:pt>
                <c:pt idx="735">
                  <c:v>1.3820625000000002</c:v>
                </c:pt>
                <c:pt idx="736">
                  <c:v>1.38375</c:v>
                </c:pt>
                <c:pt idx="737">
                  <c:v>1.3854375000000001</c:v>
                </c:pt>
                <c:pt idx="738">
                  <c:v>1.3871249999999999</c:v>
                </c:pt>
                <c:pt idx="739">
                  <c:v>1.3888125000000002</c:v>
                </c:pt>
                <c:pt idx="740">
                  <c:v>1.3905000000000001</c:v>
                </c:pt>
                <c:pt idx="741">
                  <c:v>1.3921875000000001</c:v>
                </c:pt>
                <c:pt idx="742">
                  <c:v>1.393875</c:v>
                </c:pt>
                <c:pt idx="743">
                  <c:v>1.3955625</c:v>
                </c:pt>
                <c:pt idx="744">
                  <c:v>1.3972500000000001</c:v>
                </c:pt>
                <c:pt idx="745">
                  <c:v>1.3989374999999999</c:v>
                </c:pt>
                <c:pt idx="746">
                  <c:v>1.400625</c:v>
                </c:pt>
                <c:pt idx="747">
                  <c:v>1.4023125000000001</c:v>
                </c:pt>
                <c:pt idx="748">
                  <c:v>1.4040000000000001</c:v>
                </c:pt>
                <c:pt idx="749">
                  <c:v>1.4056875000000002</c:v>
                </c:pt>
                <c:pt idx="750">
                  <c:v>1.407375</c:v>
                </c:pt>
                <c:pt idx="751">
                  <c:v>1.4090625000000001</c:v>
                </c:pt>
                <c:pt idx="752">
                  <c:v>1.4107500000000002</c:v>
                </c:pt>
                <c:pt idx="753">
                  <c:v>1.4124375</c:v>
                </c:pt>
                <c:pt idx="754">
                  <c:v>1.4141250000000001</c:v>
                </c:pt>
                <c:pt idx="755">
                  <c:v>1.4158125000000001</c:v>
                </c:pt>
                <c:pt idx="756">
                  <c:v>1.4175000000000002</c:v>
                </c:pt>
                <c:pt idx="757">
                  <c:v>1.4191875</c:v>
                </c:pt>
                <c:pt idx="758">
                  <c:v>1.4208750000000001</c:v>
                </c:pt>
                <c:pt idx="759">
                  <c:v>1.4225625</c:v>
                </c:pt>
                <c:pt idx="760">
                  <c:v>1.42425</c:v>
                </c:pt>
                <c:pt idx="761">
                  <c:v>1.4259375000000001</c:v>
                </c:pt>
                <c:pt idx="762">
                  <c:v>1.4276250000000001</c:v>
                </c:pt>
                <c:pt idx="763">
                  <c:v>1.4293125</c:v>
                </c:pt>
                <c:pt idx="764">
                  <c:v>1.431</c:v>
                </c:pt>
                <c:pt idx="765">
                  <c:v>1.4326875000000001</c:v>
                </c:pt>
                <c:pt idx="766">
                  <c:v>1.4343750000000002</c:v>
                </c:pt>
                <c:pt idx="767">
                  <c:v>1.4360625</c:v>
                </c:pt>
                <c:pt idx="768">
                  <c:v>1.4377500000000001</c:v>
                </c:pt>
                <c:pt idx="769">
                  <c:v>1.4394375000000001</c:v>
                </c:pt>
                <c:pt idx="770">
                  <c:v>1.441125</c:v>
                </c:pt>
                <c:pt idx="771">
                  <c:v>1.4428125000000003</c:v>
                </c:pt>
                <c:pt idx="772">
                  <c:v>1.4445000000000001</c:v>
                </c:pt>
                <c:pt idx="773">
                  <c:v>1.4461875</c:v>
                </c:pt>
                <c:pt idx="774">
                  <c:v>1.4478750000000002</c:v>
                </c:pt>
                <c:pt idx="775">
                  <c:v>1.4495625000000001</c:v>
                </c:pt>
                <c:pt idx="776">
                  <c:v>1.4512500000000002</c:v>
                </c:pt>
                <c:pt idx="777">
                  <c:v>1.4529375</c:v>
                </c:pt>
                <c:pt idx="778">
                  <c:v>1.4546250000000001</c:v>
                </c:pt>
                <c:pt idx="779">
                  <c:v>1.4563124999999999</c:v>
                </c:pt>
                <c:pt idx="780">
                  <c:v>1.4580000000000002</c:v>
                </c:pt>
                <c:pt idx="781">
                  <c:v>1.4596875</c:v>
                </c:pt>
                <c:pt idx="782">
                  <c:v>1.4613750000000001</c:v>
                </c:pt>
                <c:pt idx="783">
                  <c:v>1.4630625000000002</c:v>
                </c:pt>
                <c:pt idx="784">
                  <c:v>1.46475</c:v>
                </c:pt>
                <c:pt idx="785">
                  <c:v>1.4664375000000001</c:v>
                </c:pt>
                <c:pt idx="786">
                  <c:v>1.4681250000000001</c:v>
                </c:pt>
                <c:pt idx="787">
                  <c:v>1.4698125</c:v>
                </c:pt>
                <c:pt idx="788">
                  <c:v>1.4715</c:v>
                </c:pt>
                <c:pt idx="789">
                  <c:v>1.4731875000000001</c:v>
                </c:pt>
                <c:pt idx="790">
                  <c:v>1.4748749999999999</c:v>
                </c:pt>
                <c:pt idx="791">
                  <c:v>1.4765625000000002</c:v>
                </c:pt>
                <c:pt idx="792">
                  <c:v>1.4782500000000003</c:v>
                </c:pt>
                <c:pt idx="793">
                  <c:v>1.4799375000000001</c:v>
                </c:pt>
                <c:pt idx="794">
                  <c:v>1.4816250000000002</c:v>
                </c:pt>
                <c:pt idx="795">
                  <c:v>1.4833125000000003</c:v>
                </c:pt>
                <c:pt idx="796">
                  <c:v>1.4850000000000001</c:v>
                </c:pt>
                <c:pt idx="797">
                  <c:v>1.4866875000000002</c:v>
                </c:pt>
                <c:pt idx="798">
                  <c:v>1.488375</c:v>
                </c:pt>
                <c:pt idx="799">
                  <c:v>1.4900625000000001</c:v>
                </c:pt>
                <c:pt idx="800">
                  <c:v>1.4917500000000001</c:v>
                </c:pt>
                <c:pt idx="801">
                  <c:v>1.4934375000000002</c:v>
                </c:pt>
                <c:pt idx="802">
                  <c:v>1.495125</c:v>
                </c:pt>
                <c:pt idx="803">
                  <c:v>1.4968125000000001</c:v>
                </c:pt>
                <c:pt idx="804">
                  <c:v>1.4985000000000002</c:v>
                </c:pt>
                <c:pt idx="805">
                  <c:v>1.5001875</c:v>
                </c:pt>
                <c:pt idx="806">
                  <c:v>1.5018750000000001</c:v>
                </c:pt>
                <c:pt idx="807">
                  <c:v>1.5035625000000001</c:v>
                </c:pt>
                <c:pt idx="808">
                  <c:v>1.50525</c:v>
                </c:pt>
                <c:pt idx="809">
                  <c:v>1.5069375</c:v>
                </c:pt>
                <c:pt idx="810">
                  <c:v>1.5086250000000001</c:v>
                </c:pt>
                <c:pt idx="811">
                  <c:v>1.5103125000000002</c:v>
                </c:pt>
                <c:pt idx="812">
                  <c:v>1.512</c:v>
                </c:pt>
                <c:pt idx="813">
                  <c:v>1.5136875000000001</c:v>
                </c:pt>
                <c:pt idx="814">
                  <c:v>1.5153749999999999</c:v>
                </c:pt>
                <c:pt idx="815">
                  <c:v>1.5170625000000002</c:v>
                </c:pt>
                <c:pt idx="816">
                  <c:v>1.5187500000000003</c:v>
                </c:pt>
                <c:pt idx="817">
                  <c:v>1.5204375000000001</c:v>
                </c:pt>
                <c:pt idx="818">
                  <c:v>1.522125</c:v>
                </c:pt>
                <c:pt idx="819">
                  <c:v>1.5238125000000002</c:v>
                </c:pt>
                <c:pt idx="820">
                  <c:v>1.5255000000000001</c:v>
                </c:pt>
                <c:pt idx="821">
                  <c:v>1.5271875000000001</c:v>
                </c:pt>
                <c:pt idx="822">
                  <c:v>1.5288750000000002</c:v>
                </c:pt>
                <c:pt idx="823">
                  <c:v>1.5305625</c:v>
                </c:pt>
                <c:pt idx="824">
                  <c:v>1.5322500000000001</c:v>
                </c:pt>
                <c:pt idx="825">
                  <c:v>1.5339375</c:v>
                </c:pt>
                <c:pt idx="826">
                  <c:v>1.535625</c:v>
                </c:pt>
                <c:pt idx="827">
                  <c:v>1.5373125000000001</c:v>
                </c:pt>
                <c:pt idx="828">
                  <c:v>1.5390000000000001</c:v>
                </c:pt>
                <c:pt idx="829">
                  <c:v>1.5406875000000002</c:v>
                </c:pt>
                <c:pt idx="830">
                  <c:v>1.5423750000000001</c:v>
                </c:pt>
                <c:pt idx="831">
                  <c:v>1.5440625000000001</c:v>
                </c:pt>
                <c:pt idx="832">
                  <c:v>1.54575</c:v>
                </c:pt>
                <c:pt idx="833">
                  <c:v>1.5474375000000002</c:v>
                </c:pt>
                <c:pt idx="834">
                  <c:v>1.5491250000000001</c:v>
                </c:pt>
                <c:pt idx="835">
                  <c:v>1.5508125000000001</c:v>
                </c:pt>
                <c:pt idx="836">
                  <c:v>1.5525000000000002</c:v>
                </c:pt>
                <c:pt idx="837">
                  <c:v>1.5541875000000001</c:v>
                </c:pt>
                <c:pt idx="838">
                  <c:v>1.5558750000000001</c:v>
                </c:pt>
                <c:pt idx="839">
                  <c:v>1.5575625000000002</c:v>
                </c:pt>
                <c:pt idx="840">
                  <c:v>1.55925</c:v>
                </c:pt>
                <c:pt idx="841">
                  <c:v>1.5609375000000001</c:v>
                </c:pt>
                <c:pt idx="842">
                  <c:v>1.5626250000000002</c:v>
                </c:pt>
                <c:pt idx="843">
                  <c:v>1.5643125</c:v>
                </c:pt>
                <c:pt idx="844">
                  <c:v>1.5660000000000003</c:v>
                </c:pt>
                <c:pt idx="845">
                  <c:v>1.5676875000000001</c:v>
                </c:pt>
                <c:pt idx="846">
                  <c:v>1.5693750000000002</c:v>
                </c:pt>
                <c:pt idx="847">
                  <c:v>1.5710625</c:v>
                </c:pt>
                <c:pt idx="848">
                  <c:v>1.5727500000000001</c:v>
                </c:pt>
                <c:pt idx="849">
                  <c:v>1.5744375000000002</c:v>
                </c:pt>
                <c:pt idx="850">
                  <c:v>1.576125</c:v>
                </c:pt>
                <c:pt idx="851">
                  <c:v>1.5778125000000001</c:v>
                </c:pt>
                <c:pt idx="852">
                  <c:v>1.5795000000000001</c:v>
                </c:pt>
                <c:pt idx="853">
                  <c:v>1.5811875</c:v>
                </c:pt>
                <c:pt idx="854">
                  <c:v>1.5828750000000003</c:v>
                </c:pt>
                <c:pt idx="855">
                  <c:v>1.5845625000000001</c:v>
                </c:pt>
                <c:pt idx="856">
                  <c:v>1.5862500000000002</c:v>
                </c:pt>
                <c:pt idx="857">
                  <c:v>1.5879375000000002</c:v>
                </c:pt>
                <c:pt idx="858">
                  <c:v>1.5896250000000001</c:v>
                </c:pt>
                <c:pt idx="859">
                  <c:v>1.5913125000000001</c:v>
                </c:pt>
                <c:pt idx="860">
                  <c:v>1.5930000000000002</c:v>
                </c:pt>
                <c:pt idx="861">
                  <c:v>1.5946875000000003</c:v>
                </c:pt>
                <c:pt idx="862">
                  <c:v>1.5963750000000001</c:v>
                </c:pt>
                <c:pt idx="863">
                  <c:v>1.5980625000000002</c:v>
                </c:pt>
                <c:pt idx="864">
                  <c:v>1.59975</c:v>
                </c:pt>
                <c:pt idx="865">
                  <c:v>1.6014375000000001</c:v>
                </c:pt>
                <c:pt idx="866">
                  <c:v>1.6031250000000001</c:v>
                </c:pt>
                <c:pt idx="867">
                  <c:v>1.6048125000000002</c:v>
                </c:pt>
                <c:pt idx="868">
                  <c:v>1.6065</c:v>
                </c:pt>
                <c:pt idx="869">
                  <c:v>1.6081875000000001</c:v>
                </c:pt>
                <c:pt idx="870">
                  <c:v>1.6098750000000002</c:v>
                </c:pt>
                <c:pt idx="871">
                  <c:v>1.6115625</c:v>
                </c:pt>
                <c:pt idx="872">
                  <c:v>1.6132500000000001</c:v>
                </c:pt>
                <c:pt idx="873">
                  <c:v>1.6149375000000001</c:v>
                </c:pt>
                <c:pt idx="874">
                  <c:v>1.6166250000000002</c:v>
                </c:pt>
                <c:pt idx="875">
                  <c:v>1.6183125</c:v>
                </c:pt>
                <c:pt idx="876">
                  <c:v>1.62</c:v>
                </c:pt>
                <c:pt idx="877">
                  <c:v>1.6216875000000002</c:v>
                </c:pt>
                <c:pt idx="878">
                  <c:v>1.623375</c:v>
                </c:pt>
                <c:pt idx="879">
                  <c:v>1.6250625000000001</c:v>
                </c:pt>
                <c:pt idx="880">
                  <c:v>1.6267499999999999</c:v>
                </c:pt>
                <c:pt idx="881">
                  <c:v>1.6284375000000002</c:v>
                </c:pt>
                <c:pt idx="882">
                  <c:v>1.630125</c:v>
                </c:pt>
                <c:pt idx="883">
                  <c:v>1.6318125000000001</c:v>
                </c:pt>
                <c:pt idx="884">
                  <c:v>1.6335</c:v>
                </c:pt>
                <c:pt idx="885">
                  <c:v>1.6351875000000002</c:v>
                </c:pt>
                <c:pt idx="886">
                  <c:v>1.6368750000000003</c:v>
                </c:pt>
                <c:pt idx="887">
                  <c:v>1.6385624999999999</c:v>
                </c:pt>
                <c:pt idx="888">
                  <c:v>1.64025</c:v>
                </c:pt>
                <c:pt idx="889">
                  <c:v>1.6419375</c:v>
                </c:pt>
                <c:pt idx="890">
                  <c:v>1.6436250000000001</c:v>
                </c:pt>
                <c:pt idx="891">
                  <c:v>1.6453125000000002</c:v>
                </c:pt>
                <c:pt idx="892">
                  <c:v>1.647</c:v>
                </c:pt>
                <c:pt idx="893">
                  <c:v>1.6486875000000001</c:v>
                </c:pt>
                <c:pt idx="894">
                  <c:v>1.6503750000000001</c:v>
                </c:pt>
                <c:pt idx="895">
                  <c:v>1.6520625</c:v>
                </c:pt>
                <c:pt idx="896">
                  <c:v>1.6537500000000001</c:v>
                </c:pt>
                <c:pt idx="897">
                  <c:v>1.6554375000000001</c:v>
                </c:pt>
                <c:pt idx="898">
                  <c:v>1.657125</c:v>
                </c:pt>
                <c:pt idx="899">
                  <c:v>1.6588125</c:v>
                </c:pt>
                <c:pt idx="900">
                  <c:v>1.6605000000000001</c:v>
                </c:pt>
                <c:pt idx="901">
                  <c:v>1.6621875000000002</c:v>
                </c:pt>
                <c:pt idx="902">
                  <c:v>1.6638750000000002</c:v>
                </c:pt>
                <c:pt idx="903">
                  <c:v>1.6655625000000003</c:v>
                </c:pt>
                <c:pt idx="904">
                  <c:v>1.6672500000000001</c:v>
                </c:pt>
                <c:pt idx="905">
                  <c:v>1.6689375000000002</c:v>
                </c:pt>
                <c:pt idx="906">
                  <c:v>1.6706250000000002</c:v>
                </c:pt>
                <c:pt idx="907">
                  <c:v>1.6723125000000001</c:v>
                </c:pt>
                <c:pt idx="908">
                  <c:v>1.6740000000000002</c:v>
                </c:pt>
                <c:pt idx="909">
                  <c:v>1.6756875</c:v>
                </c:pt>
                <c:pt idx="910">
                  <c:v>1.6773750000000001</c:v>
                </c:pt>
                <c:pt idx="911">
                  <c:v>1.6790625000000001</c:v>
                </c:pt>
                <c:pt idx="912">
                  <c:v>1.6807500000000002</c:v>
                </c:pt>
                <c:pt idx="913">
                  <c:v>1.6824375</c:v>
                </c:pt>
                <c:pt idx="914">
                  <c:v>1.6841250000000001</c:v>
                </c:pt>
                <c:pt idx="915">
                  <c:v>1.6858124999999999</c:v>
                </c:pt>
                <c:pt idx="916">
                  <c:v>1.6875</c:v>
                </c:pt>
                <c:pt idx="917">
                  <c:v>1.6891875000000001</c:v>
                </c:pt>
                <c:pt idx="918">
                  <c:v>1.6908750000000001</c:v>
                </c:pt>
                <c:pt idx="919">
                  <c:v>1.6925625000000002</c:v>
                </c:pt>
                <c:pt idx="920">
                  <c:v>1.6942500000000003</c:v>
                </c:pt>
                <c:pt idx="921">
                  <c:v>1.6959375000000001</c:v>
                </c:pt>
                <c:pt idx="922">
                  <c:v>1.6976249999999999</c:v>
                </c:pt>
                <c:pt idx="923">
                  <c:v>1.6993125000000002</c:v>
                </c:pt>
                <c:pt idx="924">
                  <c:v>1.7010000000000003</c:v>
                </c:pt>
                <c:pt idx="925">
                  <c:v>1.7026875000000001</c:v>
                </c:pt>
                <c:pt idx="926">
                  <c:v>1.704375</c:v>
                </c:pt>
                <c:pt idx="927">
                  <c:v>1.7060625</c:v>
                </c:pt>
                <c:pt idx="928">
                  <c:v>1.7077500000000001</c:v>
                </c:pt>
                <c:pt idx="929">
                  <c:v>1.7094375000000002</c:v>
                </c:pt>
                <c:pt idx="930">
                  <c:v>1.711125</c:v>
                </c:pt>
                <c:pt idx="931">
                  <c:v>1.7128125000000001</c:v>
                </c:pt>
                <c:pt idx="932">
                  <c:v>1.7144999999999999</c:v>
                </c:pt>
                <c:pt idx="933">
                  <c:v>1.7161875</c:v>
                </c:pt>
                <c:pt idx="934">
                  <c:v>1.7178750000000003</c:v>
                </c:pt>
                <c:pt idx="935">
                  <c:v>1.7195625000000001</c:v>
                </c:pt>
                <c:pt idx="936">
                  <c:v>1.7212500000000002</c:v>
                </c:pt>
                <c:pt idx="937">
                  <c:v>1.7229375000000002</c:v>
                </c:pt>
                <c:pt idx="938">
                  <c:v>1.7246250000000003</c:v>
                </c:pt>
                <c:pt idx="939">
                  <c:v>1.3810500000000001</c:v>
                </c:pt>
                <c:pt idx="940">
                  <c:v>1.3824000000000001</c:v>
                </c:pt>
                <c:pt idx="941">
                  <c:v>1.38375</c:v>
                </c:pt>
                <c:pt idx="942">
                  <c:v>1.3851</c:v>
                </c:pt>
                <c:pt idx="943">
                  <c:v>1.38645</c:v>
                </c:pt>
                <c:pt idx="944">
                  <c:v>1.3877999999999999</c:v>
                </c:pt>
                <c:pt idx="945">
                  <c:v>1.3891500000000001</c:v>
                </c:pt>
                <c:pt idx="946">
                  <c:v>1.3905000000000001</c:v>
                </c:pt>
                <c:pt idx="947">
                  <c:v>1.3918500000000003</c:v>
                </c:pt>
                <c:pt idx="948">
                  <c:v>1.3932</c:v>
                </c:pt>
                <c:pt idx="949">
                  <c:v>1.3945500000000002</c:v>
                </c:pt>
                <c:pt idx="950">
                  <c:v>1.3959000000000001</c:v>
                </c:pt>
                <c:pt idx="951">
                  <c:v>1.3972500000000001</c:v>
                </c:pt>
                <c:pt idx="952">
                  <c:v>1.3986000000000001</c:v>
                </c:pt>
                <c:pt idx="953">
                  <c:v>1.39995</c:v>
                </c:pt>
                <c:pt idx="954">
                  <c:v>1.4013</c:v>
                </c:pt>
                <c:pt idx="955">
                  <c:v>1.4026500000000002</c:v>
                </c:pt>
                <c:pt idx="956">
                  <c:v>1.4040000000000001</c:v>
                </c:pt>
                <c:pt idx="957">
                  <c:v>1.4053500000000001</c:v>
                </c:pt>
                <c:pt idx="958">
                  <c:v>1.4067000000000001</c:v>
                </c:pt>
                <c:pt idx="959">
                  <c:v>1.40805</c:v>
                </c:pt>
                <c:pt idx="960">
                  <c:v>1.4094000000000002</c:v>
                </c:pt>
                <c:pt idx="961">
                  <c:v>1.4107500000000002</c:v>
                </c:pt>
                <c:pt idx="962">
                  <c:v>1.4121000000000001</c:v>
                </c:pt>
                <c:pt idx="963">
                  <c:v>1.4134500000000001</c:v>
                </c:pt>
                <c:pt idx="964">
                  <c:v>1.4148000000000001</c:v>
                </c:pt>
                <c:pt idx="965">
                  <c:v>1.4161500000000002</c:v>
                </c:pt>
                <c:pt idx="966">
                  <c:v>1.4175000000000002</c:v>
                </c:pt>
                <c:pt idx="967">
                  <c:v>1.4188500000000002</c:v>
                </c:pt>
                <c:pt idx="968">
                  <c:v>1.4202000000000001</c:v>
                </c:pt>
                <c:pt idx="969">
                  <c:v>1.4215500000000001</c:v>
                </c:pt>
                <c:pt idx="970">
                  <c:v>1.4229000000000001</c:v>
                </c:pt>
                <c:pt idx="971">
                  <c:v>1.4242500000000002</c:v>
                </c:pt>
                <c:pt idx="972">
                  <c:v>1.4256</c:v>
                </c:pt>
                <c:pt idx="973">
                  <c:v>1.4269500000000002</c:v>
                </c:pt>
                <c:pt idx="974">
                  <c:v>1.4283000000000001</c:v>
                </c:pt>
                <c:pt idx="975">
                  <c:v>1.4296500000000001</c:v>
                </c:pt>
                <c:pt idx="976">
                  <c:v>1.431</c:v>
                </c:pt>
                <c:pt idx="977">
                  <c:v>1.43235</c:v>
                </c:pt>
                <c:pt idx="978">
                  <c:v>1.4337000000000002</c:v>
                </c:pt>
                <c:pt idx="979">
                  <c:v>1.4350499999999999</c:v>
                </c:pt>
                <c:pt idx="980">
                  <c:v>1.4364000000000003</c:v>
                </c:pt>
                <c:pt idx="981">
                  <c:v>1.4377500000000001</c:v>
                </c:pt>
                <c:pt idx="982">
                  <c:v>1.4391000000000003</c:v>
                </c:pt>
                <c:pt idx="983">
                  <c:v>1.44045</c:v>
                </c:pt>
                <c:pt idx="984">
                  <c:v>1.4418</c:v>
                </c:pt>
                <c:pt idx="985">
                  <c:v>1.4431500000000002</c:v>
                </c:pt>
                <c:pt idx="986">
                  <c:v>1.4445000000000001</c:v>
                </c:pt>
                <c:pt idx="987">
                  <c:v>1.4458500000000001</c:v>
                </c:pt>
                <c:pt idx="988">
                  <c:v>1.4472</c:v>
                </c:pt>
                <c:pt idx="989">
                  <c:v>1.4485500000000002</c:v>
                </c:pt>
                <c:pt idx="990">
                  <c:v>1.4499</c:v>
                </c:pt>
                <c:pt idx="991">
                  <c:v>1.4512500000000002</c:v>
                </c:pt>
                <c:pt idx="992">
                  <c:v>1.4526000000000001</c:v>
                </c:pt>
                <c:pt idx="993">
                  <c:v>1.4539500000000003</c:v>
                </c:pt>
                <c:pt idx="994">
                  <c:v>1.4553000000000003</c:v>
                </c:pt>
                <c:pt idx="995">
                  <c:v>1.4566500000000002</c:v>
                </c:pt>
                <c:pt idx="996">
                  <c:v>1.4580000000000002</c:v>
                </c:pt>
                <c:pt idx="997">
                  <c:v>1.4593500000000001</c:v>
                </c:pt>
                <c:pt idx="998">
                  <c:v>1.4607000000000001</c:v>
                </c:pt>
                <c:pt idx="999">
                  <c:v>1.4620500000000001</c:v>
                </c:pt>
                <c:pt idx="1000">
                  <c:v>1.4634</c:v>
                </c:pt>
                <c:pt idx="1001">
                  <c:v>1.46475</c:v>
                </c:pt>
                <c:pt idx="1002">
                  <c:v>1.4661000000000002</c:v>
                </c:pt>
                <c:pt idx="1003">
                  <c:v>1.4674500000000001</c:v>
                </c:pt>
                <c:pt idx="1004">
                  <c:v>1.4688000000000001</c:v>
                </c:pt>
                <c:pt idx="1005">
                  <c:v>1.4701500000000003</c:v>
                </c:pt>
                <c:pt idx="1006">
                  <c:v>1.4715</c:v>
                </c:pt>
                <c:pt idx="1007">
                  <c:v>1.47285</c:v>
                </c:pt>
                <c:pt idx="1008">
                  <c:v>1.4742000000000002</c:v>
                </c:pt>
                <c:pt idx="1009">
                  <c:v>1.4755499999999999</c:v>
                </c:pt>
                <c:pt idx="1010">
                  <c:v>1.4769000000000001</c:v>
                </c:pt>
                <c:pt idx="1011">
                  <c:v>1.4782500000000003</c:v>
                </c:pt>
                <c:pt idx="1012">
                  <c:v>1.4796</c:v>
                </c:pt>
                <c:pt idx="1013">
                  <c:v>1.4809500000000002</c:v>
                </c:pt>
                <c:pt idx="1014">
                  <c:v>1.4823000000000002</c:v>
                </c:pt>
                <c:pt idx="1015">
                  <c:v>1.4836500000000001</c:v>
                </c:pt>
                <c:pt idx="1016">
                  <c:v>1.4850000000000001</c:v>
                </c:pt>
                <c:pt idx="1017">
                  <c:v>1.4863500000000003</c:v>
                </c:pt>
                <c:pt idx="1018">
                  <c:v>1.4877</c:v>
                </c:pt>
                <c:pt idx="1019">
                  <c:v>1.4890500000000002</c:v>
                </c:pt>
                <c:pt idx="1020">
                  <c:v>1.4904000000000002</c:v>
                </c:pt>
                <c:pt idx="1021">
                  <c:v>1.4917500000000001</c:v>
                </c:pt>
                <c:pt idx="1022">
                  <c:v>1.4931000000000001</c:v>
                </c:pt>
                <c:pt idx="1023">
                  <c:v>1.4944500000000001</c:v>
                </c:pt>
                <c:pt idx="1024">
                  <c:v>1.4958</c:v>
                </c:pt>
                <c:pt idx="1025">
                  <c:v>1.49715</c:v>
                </c:pt>
                <c:pt idx="1026">
                  <c:v>1.4985000000000002</c:v>
                </c:pt>
                <c:pt idx="1027">
                  <c:v>1.4998500000000001</c:v>
                </c:pt>
                <c:pt idx="1028">
                  <c:v>1.5012000000000003</c:v>
                </c:pt>
                <c:pt idx="1029">
                  <c:v>1.5025500000000001</c:v>
                </c:pt>
                <c:pt idx="1030">
                  <c:v>1.5039000000000002</c:v>
                </c:pt>
                <c:pt idx="1031">
                  <c:v>1.5052500000000002</c:v>
                </c:pt>
                <c:pt idx="1032">
                  <c:v>1.5066000000000002</c:v>
                </c:pt>
                <c:pt idx="1033">
                  <c:v>1.5079500000000001</c:v>
                </c:pt>
                <c:pt idx="1034">
                  <c:v>1.5093000000000001</c:v>
                </c:pt>
                <c:pt idx="1035">
                  <c:v>1.51065</c:v>
                </c:pt>
                <c:pt idx="1036">
                  <c:v>1.512</c:v>
                </c:pt>
                <c:pt idx="1037">
                  <c:v>1.5133500000000002</c:v>
                </c:pt>
                <c:pt idx="1038">
                  <c:v>1.5146999999999999</c:v>
                </c:pt>
                <c:pt idx="1039">
                  <c:v>1.5160500000000003</c:v>
                </c:pt>
                <c:pt idx="1040">
                  <c:v>1.5173999999999999</c:v>
                </c:pt>
                <c:pt idx="1041">
                  <c:v>1.51875</c:v>
                </c:pt>
                <c:pt idx="1042">
                  <c:v>1.5201</c:v>
                </c:pt>
                <c:pt idx="1043">
                  <c:v>1.5214500000000002</c:v>
                </c:pt>
                <c:pt idx="1044">
                  <c:v>1.5227999999999999</c:v>
                </c:pt>
                <c:pt idx="1045">
                  <c:v>1.5241500000000001</c:v>
                </c:pt>
                <c:pt idx="1046">
                  <c:v>1.5255000000000001</c:v>
                </c:pt>
                <c:pt idx="1047">
                  <c:v>1.52685</c:v>
                </c:pt>
                <c:pt idx="1048">
                  <c:v>1.5282</c:v>
                </c:pt>
                <c:pt idx="1049">
                  <c:v>1.52955</c:v>
                </c:pt>
                <c:pt idx="1050">
                  <c:v>1.5309000000000001</c:v>
                </c:pt>
                <c:pt idx="1051">
                  <c:v>1.5322499999999999</c:v>
                </c:pt>
                <c:pt idx="1052">
                  <c:v>1.5336000000000003</c:v>
                </c:pt>
                <c:pt idx="1053">
                  <c:v>1.53495</c:v>
                </c:pt>
                <c:pt idx="1054">
                  <c:v>1.5363</c:v>
                </c:pt>
                <c:pt idx="1055">
                  <c:v>1.5376500000000002</c:v>
                </c:pt>
                <c:pt idx="1056">
                  <c:v>1.5390000000000001</c:v>
                </c:pt>
                <c:pt idx="1057">
                  <c:v>1.5403499999999999</c:v>
                </c:pt>
                <c:pt idx="1058">
                  <c:v>1.5417000000000001</c:v>
                </c:pt>
                <c:pt idx="1059">
                  <c:v>1.5430500000000003</c:v>
                </c:pt>
                <c:pt idx="1060">
                  <c:v>1.5444</c:v>
                </c:pt>
                <c:pt idx="1061">
                  <c:v>1.5457500000000002</c:v>
                </c:pt>
                <c:pt idx="1062">
                  <c:v>1.5471000000000001</c:v>
                </c:pt>
                <c:pt idx="1063">
                  <c:v>1.5484500000000001</c:v>
                </c:pt>
                <c:pt idx="1064">
                  <c:v>1.5497999999999998</c:v>
                </c:pt>
                <c:pt idx="1065">
                  <c:v>1.5511500000000003</c:v>
                </c:pt>
                <c:pt idx="1066">
                  <c:v>1.5525000000000002</c:v>
                </c:pt>
                <c:pt idx="1067">
                  <c:v>1.5538500000000002</c:v>
                </c:pt>
                <c:pt idx="1068">
                  <c:v>1.5552000000000001</c:v>
                </c:pt>
                <c:pt idx="1069">
                  <c:v>1.5565500000000001</c:v>
                </c:pt>
                <c:pt idx="1070">
                  <c:v>1.5579000000000001</c:v>
                </c:pt>
                <c:pt idx="1071">
                  <c:v>1.55925</c:v>
                </c:pt>
                <c:pt idx="1072">
                  <c:v>1.5606000000000002</c:v>
                </c:pt>
                <c:pt idx="1073">
                  <c:v>1.5619500000000002</c:v>
                </c:pt>
                <c:pt idx="1074">
                  <c:v>1.5633000000000001</c:v>
                </c:pt>
                <c:pt idx="1075">
                  <c:v>1.5646499999999999</c:v>
                </c:pt>
                <c:pt idx="1076">
                  <c:v>1.5660000000000001</c:v>
                </c:pt>
                <c:pt idx="1077">
                  <c:v>1.56735</c:v>
                </c:pt>
                <c:pt idx="1078">
                  <c:v>1.5687000000000002</c:v>
                </c:pt>
                <c:pt idx="1079">
                  <c:v>1.5700500000000002</c:v>
                </c:pt>
                <c:pt idx="1080">
                  <c:v>1.5714000000000001</c:v>
                </c:pt>
                <c:pt idx="1081">
                  <c:v>1.5727500000000001</c:v>
                </c:pt>
                <c:pt idx="1082">
                  <c:v>1.5741000000000001</c:v>
                </c:pt>
                <c:pt idx="1083">
                  <c:v>1.5754500000000002</c:v>
                </c:pt>
                <c:pt idx="1084">
                  <c:v>1.5768000000000002</c:v>
                </c:pt>
                <c:pt idx="1085">
                  <c:v>1.5781500000000002</c:v>
                </c:pt>
                <c:pt idx="1086">
                  <c:v>1.5794999999999999</c:v>
                </c:pt>
                <c:pt idx="1087">
                  <c:v>1.5808500000000001</c:v>
                </c:pt>
                <c:pt idx="1088">
                  <c:v>1.5821999999999998</c:v>
                </c:pt>
                <c:pt idx="1089">
                  <c:v>1.5835500000000002</c:v>
                </c:pt>
                <c:pt idx="1090">
                  <c:v>1.5849000000000002</c:v>
                </c:pt>
                <c:pt idx="1091">
                  <c:v>1.5862500000000002</c:v>
                </c:pt>
                <c:pt idx="1092">
                  <c:v>1.5876000000000001</c:v>
                </c:pt>
                <c:pt idx="1093">
                  <c:v>1.5889500000000001</c:v>
                </c:pt>
                <c:pt idx="1094">
                  <c:v>1.5903000000000003</c:v>
                </c:pt>
                <c:pt idx="1095">
                  <c:v>1.5916500000000002</c:v>
                </c:pt>
                <c:pt idx="1096">
                  <c:v>1.5930000000000002</c:v>
                </c:pt>
                <c:pt idx="1097">
                  <c:v>1.5943500000000002</c:v>
                </c:pt>
                <c:pt idx="1098">
                  <c:v>1.5957000000000001</c:v>
                </c:pt>
                <c:pt idx="1099">
                  <c:v>1.5970500000000001</c:v>
                </c:pt>
                <c:pt idx="1100">
                  <c:v>1.5984000000000003</c:v>
                </c:pt>
                <c:pt idx="1101">
                  <c:v>1.5997500000000002</c:v>
                </c:pt>
                <c:pt idx="1102">
                  <c:v>1.6011</c:v>
                </c:pt>
                <c:pt idx="1103">
                  <c:v>1.6024499999999999</c:v>
                </c:pt>
                <c:pt idx="1104">
                  <c:v>1.6038000000000001</c:v>
                </c:pt>
                <c:pt idx="1105">
                  <c:v>1.6051500000000001</c:v>
                </c:pt>
                <c:pt idx="1106">
                  <c:v>1.6065</c:v>
                </c:pt>
                <c:pt idx="1107">
                  <c:v>1.6078500000000002</c:v>
                </c:pt>
                <c:pt idx="1108">
                  <c:v>1.6092</c:v>
                </c:pt>
                <c:pt idx="1109">
                  <c:v>1.6105499999999999</c:v>
                </c:pt>
                <c:pt idx="1110">
                  <c:v>1.6118999999999999</c:v>
                </c:pt>
                <c:pt idx="1111">
                  <c:v>1.6132500000000001</c:v>
                </c:pt>
                <c:pt idx="1112">
                  <c:v>1.6146</c:v>
                </c:pt>
                <c:pt idx="1113">
                  <c:v>1.6159500000000002</c:v>
                </c:pt>
                <c:pt idx="1114">
                  <c:v>1.6173000000000002</c:v>
                </c:pt>
                <c:pt idx="1115">
                  <c:v>1.6186500000000001</c:v>
                </c:pt>
                <c:pt idx="1116">
                  <c:v>1.6200000000000003</c:v>
                </c:pt>
                <c:pt idx="1117">
                  <c:v>1.6213500000000001</c:v>
                </c:pt>
                <c:pt idx="1118">
                  <c:v>1.6227</c:v>
                </c:pt>
                <c:pt idx="1119">
                  <c:v>1.62405</c:v>
                </c:pt>
                <c:pt idx="1120">
                  <c:v>1.6254000000000002</c:v>
                </c:pt>
                <c:pt idx="1121">
                  <c:v>1.6267500000000001</c:v>
                </c:pt>
                <c:pt idx="1122">
                  <c:v>1.6281000000000003</c:v>
                </c:pt>
                <c:pt idx="1123">
                  <c:v>1.6294500000000003</c:v>
                </c:pt>
                <c:pt idx="1124">
                  <c:v>1.6308</c:v>
                </c:pt>
                <c:pt idx="1125">
                  <c:v>1.63215</c:v>
                </c:pt>
                <c:pt idx="1126">
                  <c:v>1.6335000000000002</c:v>
                </c:pt>
                <c:pt idx="1127">
                  <c:v>1.6348500000000001</c:v>
                </c:pt>
                <c:pt idx="1128">
                  <c:v>1.6362000000000001</c:v>
                </c:pt>
                <c:pt idx="1129">
                  <c:v>1.6375500000000003</c:v>
                </c:pt>
                <c:pt idx="1130">
                  <c:v>1.6389000000000002</c:v>
                </c:pt>
                <c:pt idx="1131">
                  <c:v>1.64025</c:v>
                </c:pt>
                <c:pt idx="1132">
                  <c:v>1.6415999999999999</c:v>
                </c:pt>
                <c:pt idx="1133">
                  <c:v>1.6429500000000001</c:v>
                </c:pt>
                <c:pt idx="1134">
                  <c:v>1.6443000000000001</c:v>
                </c:pt>
                <c:pt idx="1135">
                  <c:v>1.6456499999999998</c:v>
                </c:pt>
                <c:pt idx="1136">
                  <c:v>1.6470000000000002</c:v>
                </c:pt>
                <c:pt idx="1137">
                  <c:v>1.6483500000000002</c:v>
                </c:pt>
                <c:pt idx="1138">
                  <c:v>1.6496999999999999</c:v>
                </c:pt>
                <c:pt idx="1139">
                  <c:v>1.6510500000000001</c:v>
                </c:pt>
                <c:pt idx="1140">
                  <c:v>1.6524000000000001</c:v>
                </c:pt>
                <c:pt idx="1141">
                  <c:v>1.6537500000000001</c:v>
                </c:pt>
                <c:pt idx="1142">
                  <c:v>1.6551000000000002</c:v>
                </c:pt>
                <c:pt idx="1143">
                  <c:v>1.6564500000000002</c:v>
                </c:pt>
                <c:pt idx="1144">
                  <c:v>1.6578000000000004</c:v>
                </c:pt>
                <c:pt idx="1145">
                  <c:v>1.6591499999999999</c:v>
                </c:pt>
                <c:pt idx="1146">
                  <c:v>1.6605000000000001</c:v>
                </c:pt>
                <c:pt idx="1147">
                  <c:v>1.66185</c:v>
                </c:pt>
                <c:pt idx="1148">
                  <c:v>1.6632000000000002</c:v>
                </c:pt>
                <c:pt idx="1149">
                  <c:v>1.6645500000000002</c:v>
                </c:pt>
                <c:pt idx="1150">
                  <c:v>1.6659000000000002</c:v>
                </c:pt>
                <c:pt idx="1151">
                  <c:v>1.6672499999999999</c:v>
                </c:pt>
                <c:pt idx="1152">
                  <c:v>1.6686000000000003</c:v>
                </c:pt>
                <c:pt idx="1153">
                  <c:v>1.66995</c:v>
                </c:pt>
                <c:pt idx="1154">
                  <c:v>1.6713</c:v>
                </c:pt>
                <c:pt idx="1155">
                  <c:v>1.6726500000000002</c:v>
                </c:pt>
                <c:pt idx="1156">
                  <c:v>1.6740000000000002</c:v>
                </c:pt>
                <c:pt idx="1157">
                  <c:v>1.6753499999999999</c:v>
                </c:pt>
                <c:pt idx="1158">
                  <c:v>1.6767000000000003</c:v>
                </c:pt>
                <c:pt idx="1159">
                  <c:v>1.67805</c:v>
                </c:pt>
                <c:pt idx="1160">
                  <c:v>1.6794</c:v>
                </c:pt>
                <c:pt idx="1161">
                  <c:v>1.6807500000000002</c:v>
                </c:pt>
                <c:pt idx="1162">
                  <c:v>1.6821000000000002</c:v>
                </c:pt>
                <c:pt idx="1163">
                  <c:v>1.6834500000000001</c:v>
                </c:pt>
                <c:pt idx="1164">
                  <c:v>1.6847999999999999</c:v>
                </c:pt>
                <c:pt idx="1165">
                  <c:v>1.6861500000000003</c:v>
                </c:pt>
                <c:pt idx="1166">
                  <c:v>1.6875</c:v>
                </c:pt>
                <c:pt idx="1167">
                  <c:v>1.6888500000000004</c:v>
                </c:pt>
                <c:pt idx="1168">
                  <c:v>1.6902000000000001</c:v>
                </c:pt>
                <c:pt idx="1169">
                  <c:v>1.6915500000000001</c:v>
                </c:pt>
                <c:pt idx="1170">
                  <c:v>1.6928999999999998</c:v>
                </c:pt>
                <c:pt idx="1171">
                  <c:v>1.6942500000000003</c:v>
                </c:pt>
                <c:pt idx="1172">
                  <c:v>1.6956000000000002</c:v>
                </c:pt>
                <c:pt idx="1173">
                  <c:v>1.69695</c:v>
                </c:pt>
                <c:pt idx="1174">
                  <c:v>1.6983000000000001</c:v>
                </c:pt>
                <c:pt idx="1175">
                  <c:v>1.6996500000000001</c:v>
                </c:pt>
                <c:pt idx="1176">
                  <c:v>1.7010000000000001</c:v>
                </c:pt>
                <c:pt idx="1177">
                  <c:v>1.7023500000000003</c:v>
                </c:pt>
                <c:pt idx="1178">
                  <c:v>1.7037000000000002</c:v>
                </c:pt>
                <c:pt idx="1179">
                  <c:v>1.7050500000000004</c:v>
                </c:pt>
                <c:pt idx="1180">
                  <c:v>1.7063999999999999</c:v>
                </c:pt>
                <c:pt idx="1181">
                  <c:v>1.7077500000000001</c:v>
                </c:pt>
                <c:pt idx="1182">
                  <c:v>1.7091000000000001</c:v>
                </c:pt>
                <c:pt idx="1183">
                  <c:v>1.7104500000000002</c:v>
                </c:pt>
                <c:pt idx="1184">
                  <c:v>1.7118000000000002</c:v>
                </c:pt>
                <c:pt idx="1185">
                  <c:v>1.71315</c:v>
                </c:pt>
                <c:pt idx="1186">
                  <c:v>1.7145000000000004</c:v>
                </c:pt>
                <c:pt idx="1187">
                  <c:v>1.7158500000000003</c:v>
                </c:pt>
                <c:pt idx="1188">
                  <c:v>1.7172000000000001</c:v>
                </c:pt>
                <c:pt idx="1189">
                  <c:v>1.71855</c:v>
                </c:pt>
                <c:pt idx="1190">
                  <c:v>1.7199000000000002</c:v>
                </c:pt>
                <c:pt idx="1191">
                  <c:v>1.7212500000000002</c:v>
                </c:pt>
                <c:pt idx="1192">
                  <c:v>1.7225999999999999</c:v>
                </c:pt>
                <c:pt idx="1193">
                  <c:v>1.7239499999999999</c:v>
                </c:pt>
                <c:pt idx="1194">
                  <c:v>1.7253000000000001</c:v>
                </c:pt>
                <c:pt idx="1195">
                  <c:v>1.4388750000000001</c:v>
                </c:pt>
                <c:pt idx="1196">
                  <c:v>1.4400000000000002</c:v>
                </c:pt>
                <c:pt idx="1197">
                  <c:v>1.4411250000000002</c:v>
                </c:pt>
                <c:pt idx="1198">
                  <c:v>1.4422500000000003</c:v>
                </c:pt>
                <c:pt idx="1199">
                  <c:v>1.4433750000000003</c:v>
                </c:pt>
                <c:pt idx="1200">
                  <c:v>1.4445000000000003</c:v>
                </c:pt>
                <c:pt idx="1201">
                  <c:v>1.4456249999999999</c:v>
                </c:pt>
                <c:pt idx="1202">
                  <c:v>1.44675</c:v>
                </c:pt>
                <c:pt idx="1203">
                  <c:v>1.447875</c:v>
                </c:pt>
                <c:pt idx="1204">
                  <c:v>1.4490000000000001</c:v>
                </c:pt>
                <c:pt idx="1205">
                  <c:v>1.4501250000000001</c:v>
                </c:pt>
                <c:pt idx="1206">
                  <c:v>1.4512500000000002</c:v>
                </c:pt>
                <c:pt idx="1207">
                  <c:v>1.4523750000000002</c:v>
                </c:pt>
                <c:pt idx="1208">
                  <c:v>1.4535</c:v>
                </c:pt>
                <c:pt idx="1209">
                  <c:v>1.4546250000000001</c:v>
                </c:pt>
                <c:pt idx="1210">
                  <c:v>1.4557500000000001</c:v>
                </c:pt>
                <c:pt idx="1211">
                  <c:v>1.4568750000000001</c:v>
                </c:pt>
                <c:pt idx="1212">
                  <c:v>1.4580000000000002</c:v>
                </c:pt>
                <c:pt idx="1213">
                  <c:v>1.459125</c:v>
                </c:pt>
                <c:pt idx="1214">
                  <c:v>1.4602500000000003</c:v>
                </c:pt>
                <c:pt idx="1215">
                  <c:v>1.4613750000000001</c:v>
                </c:pt>
                <c:pt idx="1216">
                  <c:v>1.4625000000000001</c:v>
                </c:pt>
                <c:pt idx="1217">
                  <c:v>1.4636250000000002</c:v>
                </c:pt>
                <c:pt idx="1218">
                  <c:v>1.4647500000000002</c:v>
                </c:pt>
                <c:pt idx="1219">
                  <c:v>1.4658750000000003</c:v>
                </c:pt>
                <c:pt idx="1220">
                  <c:v>1.4669999999999999</c:v>
                </c:pt>
                <c:pt idx="1221">
                  <c:v>1.4681250000000003</c:v>
                </c:pt>
                <c:pt idx="1222">
                  <c:v>1.4692500000000004</c:v>
                </c:pt>
                <c:pt idx="1223">
                  <c:v>1.4703750000000004</c:v>
                </c:pt>
                <c:pt idx="1224">
                  <c:v>1.4715</c:v>
                </c:pt>
                <c:pt idx="1225">
                  <c:v>1.4726250000000001</c:v>
                </c:pt>
                <c:pt idx="1226">
                  <c:v>1.4737500000000001</c:v>
                </c:pt>
                <c:pt idx="1227">
                  <c:v>1.4748749999999999</c:v>
                </c:pt>
                <c:pt idx="1228">
                  <c:v>1.4760000000000002</c:v>
                </c:pt>
                <c:pt idx="1229">
                  <c:v>1.4771250000000002</c:v>
                </c:pt>
                <c:pt idx="1230">
                  <c:v>1.4782500000000001</c:v>
                </c:pt>
                <c:pt idx="1231">
                  <c:v>1.4793750000000001</c:v>
                </c:pt>
                <c:pt idx="1232">
                  <c:v>1.4805000000000001</c:v>
                </c:pt>
                <c:pt idx="1233">
                  <c:v>1.481625</c:v>
                </c:pt>
                <c:pt idx="1234">
                  <c:v>1.4827500000000002</c:v>
                </c:pt>
                <c:pt idx="1235">
                  <c:v>1.4838750000000003</c:v>
                </c:pt>
                <c:pt idx="1236">
                  <c:v>1.4850000000000001</c:v>
                </c:pt>
                <c:pt idx="1237">
                  <c:v>1.4861250000000001</c:v>
                </c:pt>
                <c:pt idx="1238">
                  <c:v>1.4872500000000002</c:v>
                </c:pt>
                <c:pt idx="1239">
                  <c:v>1.4883750000000002</c:v>
                </c:pt>
                <c:pt idx="1240">
                  <c:v>1.4895000000000003</c:v>
                </c:pt>
                <c:pt idx="1241">
                  <c:v>1.4906250000000003</c:v>
                </c:pt>
                <c:pt idx="1242">
                  <c:v>1.4917500000000004</c:v>
                </c:pt>
                <c:pt idx="1243">
                  <c:v>1.492875</c:v>
                </c:pt>
                <c:pt idx="1244">
                  <c:v>1.494</c:v>
                </c:pt>
                <c:pt idx="1245">
                  <c:v>1.495125</c:v>
                </c:pt>
                <c:pt idx="1246">
                  <c:v>1.4962500000000001</c:v>
                </c:pt>
                <c:pt idx="1247">
                  <c:v>1.4973750000000001</c:v>
                </c:pt>
                <c:pt idx="1248">
                  <c:v>1.4984999999999999</c:v>
                </c:pt>
                <c:pt idx="1249">
                  <c:v>1.499625</c:v>
                </c:pt>
                <c:pt idx="1250">
                  <c:v>1.50075</c:v>
                </c:pt>
                <c:pt idx="1251">
                  <c:v>1.5018750000000001</c:v>
                </c:pt>
                <c:pt idx="1252">
                  <c:v>1.5030000000000001</c:v>
                </c:pt>
                <c:pt idx="1253">
                  <c:v>1.5041250000000002</c:v>
                </c:pt>
                <c:pt idx="1254">
                  <c:v>1.50525</c:v>
                </c:pt>
                <c:pt idx="1255">
                  <c:v>1.5063750000000002</c:v>
                </c:pt>
                <c:pt idx="1256">
                  <c:v>1.5075000000000003</c:v>
                </c:pt>
                <c:pt idx="1257">
                  <c:v>1.5086250000000001</c:v>
                </c:pt>
                <c:pt idx="1258">
                  <c:v>1.5097500000000001</c:v>
                </c:pt>
                <c:pt idx="1259">
                  <c:v>1.5108750000000002</c:v>
                </c:pt>
                <c:pt idx="1260">
                  <c:v>1.5120000000000002</c:v>
                </c:pt>
                <c:pt idx="1261">
                  <c:v>1.5131249999999998</c:v>
                </c:pt>
                <c:pt idx="1262">
                  <c:v>1.5142500000000003</c:v>
                </c:pt>
                <c:pt idx="1263">
                  <c:v>1.5153750000000004</c:v>
                </c:pt>
                <c:pt idx="1264">
                  <c:v>1.5165000000000004</c:v>
                </c:pt>
                <c:pt idx="1265">
                  <c:v>1.517625</c:v>
                </c:pt>
                <c:pt idx="1266">
                  <c:v>1.51875</c:v>
                </c:pt>
                <c:pt idx="1267">
                  <c:v>1.5198749999999999</c:v>
                </c:pt>
                <c:pt idx="1268">
                  <c:v>1.5209999999999999</c:v>
                </c:pt>
                <c:pt idx="1269">
                  <c:v>1.522125</c:v>
                </c:pt>
                <c:pt idx="1270">
                  <c:v>1.52325</c:v>
                </c:pt>
                <c:pt idx="1271">
                  <c:v>1.524375</c:v>
                </c:pt>
                <c:pt idx="1272">
                  <c:v>1.5255000000000001</c:v>
                </c:pt>
                <c:pt idx="1273">
                  <c:v>1.5266250000000001</c:v>
                </c:pt>
                <c:pt idx="1274">
                  <c:v>1.5277500000000002</c:v>
                </c:pt>
                <c:pt idx="1275">
                  <c:v>1.5288750000000002</c:v>
                </c:pt>
                <c:pt idx="1276">
                  <c:v>1.53</c:v>
                </c:pt>
                <c:pt idx="1277">
                  <c:v>1.5311250000000001</c:v>
                </c:pt>
                <c:pt idx="1278">
                  <c:v>1.5322500000000001</c:v>
                </c:pt>
                <c:pt idx="1279">
                  <c:v>1.5333750000000002</c:v>
                </c:pt>
                <c:pt idx="1280">
                  <c:v>1.5345000000000002</c:v>
                </c:pt>
                <c:pt idx="1281">
                  <c:v>1.5356250000000002</c:v>
                </c:pt>
                <c:pt idx="1282">
                  <c:v>1.5367499999999998</c:v>
                </c:pt>
                <c:pt idx="1283">
                  <c:v>1.5378750000000003</c:v>
                </c:pt>
                <c:pt idx="1284">
                  <c:v>1.5390000000000004</c:v>
                </c:pt>
                <c:pt idx="1285">
                  <c:v>1.5401250000000004</c:v>
                </c:pt>
                <c:pt idx="1286">
                  <c:v>1.54125</c:v>
                </c:pt>
                <c:pt idx="1287">
                  <c:v>1.5423750000000001</c:v>
                </c:pt>
                <c:pt idx="1288">
                  <c:v>1.5435000000000001</c:v>
                </c:pt>
                <c:pt idx="1289">
                  <c:v>1.5446250000000001</c:v>
                </c:pt>
                <c:pt idx="1290">
                  <c:v>1.5457500000000002</c:v>
                </c:pt>
                <c:pt idx="1291">
                  <c:v>1.5468750000000002</c:v>
                </c:pt>
                <c:pt idx="1292">
                  <c:v>1.548</c:v>
                </c:pt>
                <c:pt idx="1293">
                  <c:v>1.5491250000000001</c:v>
                </c:pt>
                <c:pt idx="1294">
                  <c:v>1.5502500000000001</c:v>
                </c:pt>
                <c:pt idx="1295">
                  <c:v>1.5513750000000002</c:v>
                </c:pt>
                <c:pt idx="1296">
                  <c:v>1.5525</c:v>
                </c:pt>
                <c:pt idx="1297">
                  <c:v>1.553625</c:v>
                </c:pt>
                <c:pt idx="1298">
                  <c:v>1.5547500000000003</c:v>
                </c:pt>
                <c:pt idx="1299">
                  <c:v>1.5558750000000001</c:v>
                </c:pt>
                <c:pt idx="1300">
                  <c:v>1.5570000000000002</c:v>
                </c:pt>
                <c:pt idx="1301">
                  <c:v>1.5581250000000002</c:v>
                </c:pt>
                <c:pt idx="1302">
                  <c:v>1.5592500000000002</c:v>
                </c:pt>
                <c:pt idx="1303">
                  <c:v>1.5603750000000003</c:v>
                </c:pt>
                <c:pt idx="1304">
                  <c:v>1.5614999999999999</c:v>
                </c:pt>
                <c:pt idx="1305">
                  <c:v>1.5626249999999999</c:v>
                </c:pt>
                <c:pt idx="1306">
                  <c:v>1.56375</c:v>
                </c:pt>
                <c:pt idx="1307">
                  <c:v>1.564875</c:v>
                </c:pt>
                <c:pt idx="1308">
                  <c:v>1.5660000000000001</c:v>
                </c:pt>
                <c:pt idx="1309">
                  <c:v>1.5671250000000001</c:v>
                </c:pt>
                <c:pt idx="1310">
                  <c:v>1.5682500000000001</c:v>
                </c:pt>
                <c:pt idx="1311">
                  <c:v>1.5693750000000002</c:v>
                </c:pt>
                <c:pt idx="1312">
                  <c:v>1.5705000000000002</c:v>
                </c:pt>
                <c:pt idx="1313">
                  <c:v>1.571625</c:v>
                </c:pt>
                <c:pt idx="1314">
                  <c:v>1.5727500000000001</c:v>
                </c:pt>
                <c:pt idx="1315">
                  <c:v>1.5738750000000001</c:v>
                </c:pt>
                <c:pt idx="1316">
                  <c:v>1.5750000000000002</c:v>
                </c:pt>
                <c:pt idx="1317">
                  <c:v>1.576125</c:v>
                </c:pt>
                <c:pt idx="1318">
                  <c:v>1.57725</c:v>
                </c:pt>
                <c:pt idx="1319">
                  <c:v>1.5783750000000001</c:v>
                </c:pt>
                <c:pt idx="1320">
                  <c:v>1.5795000000000001</c:v>
                </c:pt>
                <c:pt idx="1321">
                  <c:v>1.5806250000000002</c:v>
                </c:pt>
                <c:pt idx="1322">
                  <c:v>1.5817500000000002</c:v>
                </c:pt>
                <c:pt idx="1323">
                  <c:v>1.5828749999999998</c:v>
                </c:pt>
                <c:pt idx="1324">
                  <c:v>1.5839999999999999</c:v>
                </c:pt>
                <c:pt idx="1325">
                  <c:v>1.5851249999999999</c:v>
                </c:pt>
                <c:pt idx="1326">
                  <c:v>1.5862499999999999</c:v>
                </c:pt>
                <c:pt idx="1327">
                  <c:v>1.587375</c:v>
                </c:pt>
                <c:pt idx="1328">
                  <c:v>1.5885</c:v>
                </c:pt>
                <c:pt idx="1329">
                  <c:v>1.5896250000000001</c:v>
                </c:pt>
                <c:pt idx="1330">
                  <c:v>1.5907500000000001</c:v>
                </c:pt>
                <c:pt idx="1331">
                  <c:v>1.5918749999999999</c:v>
                </c:pt>
                <c:pt idx="1332">
                  <c:v>1.593</c:v>
                </c:pt>
                <c:pt idx="1333">
                  <c:v>1.594125</c:v>
                </c:pt>
                <c:pt idx="1334">
                  <c:v>1.5952500000000001</c:v>
                </c:pt>
                <c:pt idx="1335">
                  <c:v>1.5963750000000001</c:v>
                </c:pt>
                <c:pt idx="1336">
                  <c:v>1.5975000000000001</c:v>
                </c:pt>
                <c:pt idx="1337">
                  <c:v>1.5986250000000002</c:v>
                </c:pt>
                <c:pt idx="1338">
                  <c:v>1.5997500000000002</c:v>
                </c:pt>
                <c:pt idx="1339">
                  <c:v>1.6008750000000003</c:v>
                </c:pt>
                <c:pt idx="1340">
                  <c:v>1.6020000000000001</c:v>
                </c:pt>
                <c:pt idx="1341">
                  <c:v>1.6031250000000001</c:v>
                </c:pt>
                <c:pt idx="1342">
                  <c:v>1.6042500000000002</c:v>
                </c:pt>
                <c:pt idx="1343">
                  <c:v>1.6053750000000002</c:v>
                </c:pt>
                <c:pt idx="1344">
                  <c:v>1.6065000000000003</c:v>
                </c:pt>
                <c:pt idx="1345">
                  <c:v>1.6076250000000003</c:v>
                </c:pt>
                <c:pt idx="1346">
                  <c:v>1.6087499999999999</c:v>
                </c:pt>
                <c:pt idx="1347">
                  <c:v>1.6098749999999999</c:v>
                </c:pt>
                <c:pt idx="1348">
                  <c:v>1.611</c:v>
                </c:pt>
                <c:pt idx="1349">
                  <c:v>1.612125</c:v>
                </c:pt>
                <c:pt idx="1350">
                  <c:v>1.6132500000000001</c:v>
                </c:pt>
                <c:pt idx="1351">
                  <c:v>1.6143750000000001</c:v>
                </c:pt>
                <c:pt idx="1352">
                  <c:v>1.6154999999999999</c:v>
                </c:pt>
                <c:pt idx="1353">
                  <c:v>1.616625</c:v>
                </c:pt>
                <c:pt idx="1354">
                  <c:v>1.6177500000000002</c:v>
                </c:pt>
                <c:pt idx="1355">
                  <c:v>1.6188750000000001</c:v>
                </c:pt>
                <c:pt idx="1356">
                  <c:v>1.62</c:v>
                </c:pt>
                <c:pt idx="1357">
                  <c:v>1.6211250000000001</c:v>
                </c:pt>
                <c:pt idx="1358">
                  <c:v>1.6222500000000002</c:v>
                </c:pt>
                <c:pt idx="1359">
                  <c:v>1.6233750000000002</c:v>
                </c:pt>
                <c:pt idx="1360">
                  <c:v>1.6245000000000001</c:v>
                </c:pt>
                <c:pt idx="1361">
                  <c:v>1.6256250000000001</c:v>
                </c:pt>
                <c:pt idx="1362">
                  <c:v>1.6267500000000001</c:v>
                </c:pt>
                <c:pt idx="1363">
                  <c:v>1.6278750000000002</c:v>
                </c:pt>
                <c:pt idx="1364">
                  <c:v>1.6290000000000002</c:v>
                </c:pt>
                <c:pt idx="1365">
                  <c:v>1.6301250000000003</c:v>
                </c:pt>
                <c:pt idx="1366">
                  <c:v>1.6312500000000003</c:v>
                </c:pt>
                <c:pt idx="1367">
                  <c:v>1.6323749999999999</c:v>
                </c:pt>
                <c:pt idx="1368">
                  <c:v>1.6335</c:v>
                </c:pt>
                <c:pt idx="1369">
                  <c:v>1.634625</c:v>
                </c:pt>
                <c:pt idx="1370">
                  <c:v>1.63575</c:v>
                </c:pt>
                <c:pt idx="1371">
                  <c:v>1.6368749999999999</c:v>
                </c:pt>
                <c:pt idx="1372">
                  <c:v>1.6379999999999999</c:v>
                </c:pt>
                <c:pt idx="1373">
                  <c:v>1.6391249999999999</c:v>
                </c:pt>
                <c:pt idx="1374">
                  <c:v>1.64025</c:v>
                </c:pt>
                <c:pt idx="1375">
                  <c:v>1.6413750000000003</c:v>
                </c:pt>
                <c:pt idx="1376">
                  <c:v>1.6425000000000001</c:v>
                </c:pt>
                <c:pt idx="1377">
                  <c:v>1.6436250000000001</c:v>
                </c:pt>
                <c:pt idx="1378">
                  <c:v>1.6447500000000002</c:v>
                </c:pt>
                <c:pt idx="1379">
                  <c:v>1.645875</c:v>
                </c:pt>
                <c:pt idx="1380">
                  <c:v>1.647</c:v>
                </c:pt>
                <c:pt idx="1381">
                  <c:v>1.6481250000000001</c:v>
                </c:pt>
                <c:pt idx="1382">
                  <c:v>1.6492500000000001</c:v>
                </c:pt>
                <c:pt idx="1383">
                  <c:v>1.6503750000000001</c:v>
                </c:pt>
                <c:pt idx="1384">
                  <c:v>1.6514999999999997</c:v>
                </c:pt>
                <c:pt idx="1385">
                  <c:v>1.6526249999999998</c:v>
                </c:pt>
                <c:pt idx="1386">
                  <c:v>1.6537499999999998</c:v>
                </c:pt>
                <c:pt idx="1387">
                  <c:v>1.6548750000000003</c:v>
                </c:pt>
                <c:pt idx="1388">
                  <c:v>1.6560000000000004</c:v>
                </c:pt>
                <c:pt idx="1389">
                  <c:v>1.657125</c:v>
                </c:pt>
                <c:pt idx="1390">
                  <c:v>1.65825</c:v>
                </c:pt>
                <c:pt idx="1391">
                  <c:v>1.659375</c:v>
                </c:pt>
                <c:pt idx="1392">
                  <c:v>1.6605000000000001</c:v>
                </c:pt>
                <c:pt idx="1393">
                  <c:v>1.6616250000000001</c:v>
                </c:pt>
                <c:pt idx="1394">
                  <c:v>1.6627500000000002</c:v>
                </c:pt>
                <c:pt idx="1395">
                  <c:v>1.663875</c:v>
                </c:pt>
                <c:pt idx="1396">
                  <c:v>1.665</c:v>
                </c:pt>
                <c:pt idx="1397">
                  <c:v>1.6661250000000001</c:v>
                </c:pt>
                <c:pt idx="1398">
                  <c:v>1.6672500000000001</c:v>
                </c:pt>
                <c:pt idx="1399">
                  <c:v>1.6683750000000002</c:v>
                </c:pt>
                <c:pt idx="1400">
                  <c:v>1.6695000000000002</c:v>
                </c:pt>
                <c:pt idx="1401">
                  <c:v>1.6706250000000002</c:v>
                </c:pt>
                <c:pt idx="1402">
                  <c:v>1.6717500000000001</c:v>
                </c:pt>
                <c:pt idx="1403">
                  <c:v>1.6728750000000001</c:v>
                </c:pt>
                <c:pt idx="1404">
                  <c:v>1.6740000000000002</c:v>
                </c:pt>
                <c:pt idx="1405">
                  <c:v>1.6751250000000002</c:v>
                </c:pt>
                <c:pt idx="1406">
                  <c:v>1.6762500000000002</c:v>
                </c:pt>
                <c:pt idx="1407">
                  <c:v>1.6773749999999998</c:v>
                </c:pt>
                <c:pt idx="1408">
                  <c:v>1.6784999999999999</c:v>
                </c:pt>
                <c:pt idx="1409">
                  <c:v>1.6796249999999999</c:v>
                </c:pt>
                <c:pt idx="1410">
                  <c:v>1.68075</c:v>
                </c:pt>
                <c:pt idx="1411">
                  <c:v>1.681875</c:v>
                </c:pt>
                <c:pt idx="1412">
                  <c:v>1.6830000000000001</c:v>
                </c:pt>
                <c:pt idx="1413">
                  <c:v>1.6841249999999999</c:v>
                </c:pt>
                <c:pt idx="1414">
                  <c:v>1.6852500000000001</c:v>
                </c:pt>
                <c:pt idx="1415">
                  <c:v>1.686375</c:v>
                </c:pt>
                <c:pt idx="1416">
                  <c:v>1.6875</c:v>
                </c:pt>
                <c:pt idx="1417">
                  <c:v>1.688625</c:v>
                </c:pt>
                <c:pt idx="1418">
                  <c:v>1.6897500000000001</c:v>
                </c:pt>
                <c:pt idx="1419">
                  <c:v>1.6908750000000001</c:v>
                </c:pt>
                <c:pt idx="1420">
                  <c:v>1.6920000000000002</c:v>
                </c:pt>
                <c:pt idx="1421">
                  <c:v>1.693125</c:v>
                </c:pt>
                <c:pt idx="1422">
                  <c:v>1.6942500000000003</c:v>
                </c:pt>
                <c:pt idx="1423">
                  <c:v>1.6953750000000003</c:v>
                </c:pt>
                <c:pt idx="1424">
                  <c:v>1.6965000000000001</c:v>
                </c:pt>
                <c:pt idx="1425">
                  <c:v>1.6976250000000002</c:v>
                </c:pt>
                <c:pt idx="1426">
                  <c:v>1.6987499999999998</c:v>
                </c:pt>
                <c:pt idx="1427">
                  <c:v>1.6998750000000002</c:v>
                </c:pt>
                <c:pt idx="1428">
                  <c:v>1.7010000000000003</c:v>
                </c:pt>
                <c:pt idx="1429">
                  <c:v>1.7021249999999999</c:v>
                </c:pt>
                <c:pt idx="1430">
                  <c:v>1.7032499999999999</c:v>
                </c:pt>
                <c:pt idx="1431">
                  <c:v>1.7043750000000004</c:v>
                </c:pt>
                <c:pt idx="1432">
                  <c:v>1.7055</c:v>
                </c:pt>
                <c:pt idx="1433">
                  <c:v>1.7066250000000001</c:v>
                </c:pt>
                <c:pt idx="1434">
                  <c:v>1.7077499999999999</c:v>
                </c:pt>
                <c:pt idx="1435">
                  <c:v>1.7088749999999999</c:v>
                </c:pt>
                <c:pt idx="1436">
                  <c:v>1.7100000000000002</c:v>
                </c:pt>
                <c:pt idx="1437">
                  <c:v>1.7111250000000002</c:v>
                </c:pt>
                <c:pt idx="1438">
                  <c:v>1.71225</c:v>
                </c:pt>
                <c:pt idx="1439">
                  <c:v>1.7133749999999999</c:v>
                </c:pt>
                <c:pt idx="1440">
                  <c:v>1.7145000000000001</c:v>
                </c:pt>
                <c:pt idx="1441">
                  <c:v>1.715625</c:v>
                </c:pt>
                <c:pt idx="1442">
                  <c:v>1.7167500000000002</c:v>
                </c:pt>
                <c:pt idx="1443">
                  <c:v>1.717875</c:v>
                </c:pt>
                <c:pt idx="1444">
                  <c:v>1.7190000000000001</c:v>
                </c:pt>
                <c:pt idx="1445">
                  <c:v>1.7201250000000001</c:v>
                </c:pt>
                <c:pt idx="1446">
                  <c:v>1.7212500000000002</c:v>
                </c:pt>
                <c:pt idx="1447">
                  <c:v>1.7223750000000002</c:v>
                </c:pt>
                <c:pt idx="1448">
                  <c:v>1.7234999999999998</c:v>
                </c:pt>
                <c:pt idx="1449">
                  <c:v>1.7246250000000003</c:v>
                </c:pt>
                <c:pt idx="1450">
                  <c:v>1.7257499999999999</c:v>
                </c:pt>
                <c:pt idx="1451">
                  <c:v>1.4801785714285713</c:v>
                </c:pt>
                <c:pt idx="1452">
                  <c:v>1.4811428571428571</c:v>
                </c:pt>
                <c:pt idx="1453">
                  <c:v>1.4821071428571433</c:v>
                </c:pt>
                <c:pt idx="1454">
                  <c:v>1.4830714285714284</c:v>
                </c:pt>
                <c:pt idx="1455">
                  <c:v>1.4840357142857143</c:v>
                </c:pt>
                <c:pt idx="1456">
                  <c:v>1.4850000000000001</c:v>
                </c:pt>
                <c:pt idx="1457">
                  <c:v>1.4859642857142856</c:v>
                </c:pt>
                <c:pt idx="1458">
                  <c:v>1.4869285714285714</c:v>
                </c:pt>
                <c:pt idx="1459">
                  <c:v>1.4878928571428571</c:v>
                </c:pt>
                <c:pt idx="1460">
                  <c:v>1.4888571428571431</c:v>
                </c:pt>
                <c:pt idx="1461">
                  <c:v>1.4898214285714286</c:v>
                </c:pt>
                <c:pt idx="1462">
                  <c:v>1.4907857142857144</c:v>
                </c:pt>
                <c:pt idx="1463">
                  <c:v>1.4917499999999999</c:v>
                </c:pt>
                <c:pt idx="1464">
                  <c:v>1.4927142857142859</c:v>
                </c:pt>
                <c:pt idx="1465">
                  <c:v>1.4936785714285714</c:v>
                </c:pt>
                <c:pt idx="1466">
                  <c:v>1.4946428571428572</c:v>
                </c:pt>
                <c:pt idx="1467">
                  <c:v>1.4956071428571429</c:v>
                </c:pt>
                <c:pt idx="1468">
                  <c:v>1.4965714285714289</c:v>
                </c:pt>
                <c:pt idx="1469">
                  <c:v>1.4975357142857142</c:v>
                </c:pt>
                <c:pt idx="1470">
                  <c:v>1.4985000000000002</c:v>
                </c:pt>
                <c:pt idx="1471">
                  <c:v>1.4994642857142859</c:v>
                </c:pt>
                <c:pt idx="1472">
                  <c:v>1.5004285714285717</c:v>
                </c:pt>
                <c:pt idx="1473">
                  <c:v>1.5013928571428572</c:v>
                </c:pt>
                <c:pt idx="1474">
                  <c:v>1.5023571428571429</c:v>
                </c:pt>
                <c:pt idx="1475">
                  <c:v>1.5033214285714287</c:v>
                </c:pt>
                <c:pt idx="1476">
                  <c:v>1.5042857142857144</c:v>
                </c:pt>
                <c:pt idx="1477">
                  <c:v>1.5052500000000002</c:v>
                </c:pt>
                <c:pt idx="1478">
                  <c:v>1.5062142857142859</c:v>
                </c:pt>
                <c:pt idx="1479">
                  <c:v>1.5071785714285715</c:v>
                </c:pt>
                <c:pt idx="1480">
                  <c:v>1.5081428571428572</c:v>
                </c:pt>
                <c:pt idx="1481">
                  <c:v>1.509107142857143</c:v>
                </c:pt>
                <c:pt idx="1482">
                  <c:v>1.5100714285714287</c:v>
                </c:pt>
                <c:pt idx="1483">
                  <c:v>1.5110357142857145</c:v>
                </c:pt>
                <c:pt idx="1484">
                  <c:v>1.512</c:v>
                </c:pt>
                <c:pt idx="1485">
                  <c:v>1.5129642857142858</c:v>
                </c:pt>
                <c:pt idx="1486">
                  <c:v>1.5139285714285715</c:v>
                </c:pt>
                <c:pt idx="1487">
                  <c:v>1.5148928571428575</c:v>
                </c:pt>
                <c:pt idx="1488">
                  <c:v>1.515857142857143</c:v>
                </c:pt>
                <c:pt idx="1489">
                  <c:v>1.5168214285714288</c:v>
                </c:pt>
                <c:pt idx="1490">
                  <c:v>1.5177857142857143</c:v>
                </c:pt>
                <c:pt idx="1491">
                  <c:v>1.5187500000000003</c:v>
                </c:pt>
                <c:pt idx="1492">
                  <c:v>1.519714285714286</c:v>
                </c:pt>
                <c:pt idx="1493">
                  <c:v>1.5206785714285718</c:v>
                </c:pt>
                <c:pt idx="1494">
                  <c:v>1.5216428571428573</c:v>
                </c:pt>
                <c:pt idx="1495">
                  <c:v>1.522607142857143</c:v>
                </c:pt>
                <c:pt idx="1496">
                  <c:v>1.5235714285714284</c:v>
                </c:pt>
                <c:pt idx="1497">
                  <c:v>1.5245357142857145</c:v>
                </c:pt>
                <c:pt idx="1498">
                  <c:v>1.5255000000000003</c:v>
                </c:pt>
                <c:pt idx="1499">
                  <c:v>1.5264642857142861</c:v>
                </c:pt>
                <c:pt idx="1500">
                  <c:v>1.5274285714285714</c:v>
                </c:pt>
                <c:pt idx="1501">
                  <c:v>1.5283928571428576</c:v>
                </c:pt>
                <c:pt idx="1502">
                  <c:v>1.5293571428571429</c:v>
                </c:pt>
                <c:pt idx="1503">
                  <c:v>1.5303214285714286</c:v>
                </c:pt>
                <c:pt idx="1504">
                  <c:v>1.5312857142857144</c:v>
                </c:pt>
                <c:pt idx="1505">
                  <c:v>1.5322500000000001</c:v>
                </c:pt>
                <c:pt idx="1506">
                  <c:v>1.5332142857142856</c:v>
                </c:pt>
                <c:pt idx="1507">
                  <c:v>1.5341785714285714</c:v>
                </c:pt>
                <c:pt idx="1508">
                  <c:v>1.5351428571428574</c:v>
                </c:pt>
                <c:pt idx="1509">
                  <c:v>1.5361071428571429</c:v>
                </c:pt>
                <c:pt idx="1510">
                  <c:v>1.5370714285714284</c:v>
                </c:pt>
                <c:pt idx="1511">
                  <c:v>1.5380357142857144</c:v>
                </c:pt>
                <c:pt idx="1512">
                  <c:v>1.5390000000000001</c:v>
                </c:pt>
                <c:pt idx="1513">
                  <c:v>1.5399642857142857</c:v>
                </c:pt>
                <c:pt idx="1514">
                  <c:v>1.5409285714285714</c:v>
                </c:pt>
                <c:pt idx="1515">
                  <c:v>1.5418928571428572</c:v>
                </c:pt>
                <c:pt idx="1516">
                  <c:v>1.5428571428571429</c:v>
                </c:pt>
                <c:pt idx="1517">
                  <c:v>1.5438214285714287</c:v>
                </c:pt>
                <c:pt idx="1518">
                  <c:v>1.5447857142857144</c:v>
                </c:pt>
                <c:pt idx="1519">
                  <c:v>1.54575</c:v>
                </c:pt>
                <c:pt idx="1520">
                  <c:v>1.5467142857142857</c:v>
                </c:pt>
                <c:pt idx="1521">
                  <c:v>1.5476785714285715</c:v>
                </c:pt>
                <c:pt idx="1522">
                  <c:v>1.5486428571428572</c:v>
                </c:pt>
                <c:pt idx="1523">
                  <c:v>1.549607142857143</c:v>
                </c:pt>
                <c:pt idx="1524">
                  <c:v>1.5505714285714287</c:v>
                </c:pt>
                <c:pt idx="1525">
                  <c:v>1.5515357142857145</c:v>
                </c:pt>
                <c:pt idx="1526">
                  <c:v>1.5525000000000002</c:v>
                </c:pt>
                <c:pt idx="1527">
                  <c:v>1.553464285714286</c:v>
                </c:pt>
                <c:pt idx="1528">
                  <c:v>1.5544285714285715</c:v>
                </c:pt>
                <c:pt idx="1529">
                  <c:v>1.5553928571428572</c:v>
                </c:pt>
                <c:pt idx="1530">
                  <c:v>1.556357142857143</c:v>
                </c:pt>
                <c:pt idx="1531">
                  <c:v>1.5573214285714287</c:v>
                </c:pt>
                <c:pt idx="1532">
                  <c:v>1.5582857142857145</c:v>
                </c:pt>
                <c:pt idx="1533">
                  <c:v>1.55925</c:v>
                </c:pt>
                <c:pt idx="1534">
                  <c:v>1.5602142857142858</c:v>
                </c:pt>
                <c:pt idx="1535">
                  <c:v>1.5611785714285715</c:v>
                </c:pt>
                <c:pt idx="1536">
                  <c:v>1.5621428571428573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52-41C2-9BD3-A7403BF65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532096"/>
        <c:axId val="506527832"/>
      </c:lineChart>
      <c:catAx>
        <c:axId val="50653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527832"/>
        <c:crosses val="autoZero"/>
        <c:auto val="1"/>
        <c:lblAlgn val="ctr"/>
        <c:lblOffset val="100"/>
        <c:noMultiLvlLbl val="0"/>
      </c:catAx>
      <c:valAx>
        <c:axId val="506527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53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4763</xdr:rowOff>
        </xdr:from>
        <xdr:to>
          <xdr:col>0</xdr:col>
          <xdr:colOff>495300</xdr:colOff>
          <xdr:row>25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4763</xdr:rowOff>
        </xdr:from>
        <xdr:to>
          <xdr:col>0</xdr:col>
          <xdr:colOff>495300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30</xdr:row>
          <xdr:rowOff>19050</xdr:rowOff>
        </xdr:from>
        <xdr:to>
          <xdr:col>0</xdr:col>
          <xdr:colOff>447675</xdr:colOff>
          <xdr:row>30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35</xdr:row>
          <xdr:rowOff>4763</xdr:rowOff>
        </xdr:from>
        <xdr:to>
          <xdr:col>0</xdr:col>
          <xdr:colOff>495300</xdr:colOff>
          <xdr:row>35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4763</xdr:rowOff>
        </xdr:from>
        <xdr:to>
          <xdr:col>0</xdr:col>
          <xdr:colOff>495300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20</xdr:row>
          <xdr:rowOff>4763</xdr:rowOff>
        </xdr:from>
        <xdr:to>
          <xdr:col>0</xdr:col>
          <xdr:colOff>495300</xdr:colOff>
          <xdr:row>20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4763</xdr:rowOff>
        </xdr:from>
        <xdr:to>
          <xdr:col>0</xdr:col>
          <xdr:colOff>495300</xdr:colOff>
          <xdr:row>10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9523</xdr:colOff>
      <xdr:row>4</xdr:row>
      <xdr:rowOff>47630</xdr:rowOff>
    </xdr:from>
    <xdr:to>
      <xdr:col>18</xdr:col>
      <xdr:colOff>523875</xdr:colOff>
      <xdr:row>25</xdr:row>
      <xdr:rowOff>147637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1150@13layer" TargetMode="External"/><Relationship Id="rId2" Type="http://schemas.openxmlformats.org/officeDocument/2006/relationships/hyperlink" Target="mailto:2300@13layer" TargetMode="External"/><Relationship Id="rId1" Type="http://schemas.openxmlformats.org/officeDocument/2006/relationships/hyperlink" Target="mailto:700@1.35GHz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>
    <tabColor rgb="FF00B0F0"/>
    <outlinePr summaryRight="0"/>
  </sheetPr>
  <dimension ref="A1:AF31"/>
  <sheetViews>
    <sheetView tabSelected="1" workbookViewId="0">
      <pane xSplit="2" ySplit="3" topLeftCell="E4" activePane="bottomRight" state="frozen"/>
      <selection pane="topRight" activeCell="C1" sqref="C1"/>
      <selection pane="bottomLeft" activeCell="A4" sqref="A4"/>
      <selection pane="bottomRight" activeCell="R7" sqref="R7"/>
    </sheetView>
  </sheetViews>
  <sheetFormatPr defaultRowHeight="13.9" outlineLevelCol="1" x14ac:dyDescent="0.4"/>
  <cols>
    <col min="1" max="1" width="17.46484375" customWidth="1"/>
    <col min="2" max="2" width="23" customWidth="1"/>
    <col min="3" max="3" width="5" bestFit="1" customWidth="1"/>
    <col min="4" max="4" width="5.1328125" bestFit="1" customWidth="1"/>
    <col min="5" max="5" width="5.53125" bestFit="1" customWidth="1"/>
    <col min="6" max="6" width="2.19921875" bestFit="1" customWidth="1"/>
    <col min="7" max="7" width="2.796875" bestFit="1" customWidth="1"/>
    <col min="8" max="8" width="6.265625" bestFit="1" customWidth="1"/>
    <col min="9" max="9" width="5.73046875" bestFit="1" customWidth="1"/>
    <col min="10" max="10" width="4.265625" bestFit="1" customWidth="1"/>
    <col min="11" max="11" width="5.796875" bestFit="1" customWidth="1"/>
    <col min="12" max="12" width="2.59765625" customWidth="1" outlineLevel="1"/>
    <col min="13" max="13" width="4.06640625" customWidth="1" outlineLevel="1"/>
    <col min="14" max="14" width="3.3984375" customWidth="1" outlineLevel="1"/>
    <col min="15" max="15" width="4.06640625" customWidth="1" outlineLevel="1"/>
    <col min="16" max="16" width="4.265625" customWidth="1" outlineLevel="1"/>
    <col min="17" max="17" width="4.06640625" customWidth="1" outlineLevel="1"/>
    <col min="18" max="18" width="4.53125" customWidth="1" outlineLevel="1"/>
    <col min="19" max="19" width="4.06640625" customWidth="1" outlineLevel="1"/>
    <col min="20" max="20" width="4.53125" customWidth="1" outlineLevel="1"/>
    <col min="21" max="21" width="4.06640625" customWidth="1" outlineLevel="1"/>
    <col min="22" max="22" width="4.19921875" customWidth="1" outlineLevel="1"/>
    <col min="23" max="23" width="4.06640625" customWidth="1" outlineLevel="1"/>
    <col min="24" max="24" width="6.06640625" bestFit="1" customWidth="1"/>
    <col min="25" max="25" width="4.59765625" customWidth="1" outlineLevel="1"/>
    <col min="26" max="26" width="5.73046875" customWidth="1" outlineLevel="1"/>
    <col min="27" max="27" width="4.265625" customWidth="1" outlineLevel="1"/>
    <col min="28" max="29" width="6.06640625" customWidth="1" outlineLevel="1"/>
    <col min="30" max="30" width="5.1328125" bestFit="1" customWidth="1"/>
    <col min="31" max="31" width="8.46484375" customWidth="1"/>
    <col min="32" max="32" width="8.06640625" customWidth="1"/>
  </cols>
  <sheetData>
    <row r="1" spans="1:32" x14ac:dyDescent="0.4">
      <c r="A1" s="42" t="s">
        <v>4</v>
      </c>
      <c r="B1" s="42" t="s">
        <v>14</v>
      </c>
      <c r="C1" s="42" t="s">
        <v>5</v>
      </c>
      <c r="D1" s="41" t="s">
        <v>15</v>
      </c>
      <c r="E1" s="41"/>
      <c r="F1" s="41"/>
      <c r="G1" s="41"/>
      <c r="H1" s="41"/>
      <c r="I1" s="44" t="s">
        <v>16</v>
      </c>
      <c r="J1" s="45"/>
      <c r="K1" s="46"/>
      <c r="L1" s="41" t="s">
        <v>158</v>
      </c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2" t="s">
        <v>19</v>
      </c>
      <c r="Y1" s="47" t="s">
        <v>157</v>
      </c>
      <c r="Z1" s="48"/>
      <c r="AA1" s="48"/>
      <c r="AB1" s="48"/>
      <c r="AC1" s="49"/>
      <c r="AD1" s="42" t="s">
        <v>20</v>
      </c>
      <c r="AE1" s="41" t="s">
        <v>21</v>
      </c>
      <c r="AF1" s="41"/>
    </row>
    <row r="2" spans="1:32" x14ac:dyDescent="0.4">
      <c r="A2" s="43"/>
      <c r="B2" s="43"/>
      <c r="C2" s="43"/>
      <c r="D2" s="35" t="s">
        <v>154</v>
      </c>
      <c r="E2" s="35" t="s">
        <v>155</v>
      </c>
      <c r="F2" s="35" t="s">
        <v>152</v>
      </c>
      <c r="G2" s="35" t="s">
        <v>153</v>
      </c>
      <c r="H2" s="38" t="s">
        <v>156</v>
      </c>
      <c r="I2" s="1" t="s">
        <v>17</v>
      </c>
      <c r="J2" s="1" t="s">
        <v>18</v>
      </c>
      <c r="K2" s="1" t="s">
        <v>9</v>
      </c>
      <c r="L2" s="35" t="s">
        <v>159</v>
      </c>
      <c r="M2" s="35" t="s">
        <v>165</v>
      </c>
      <c r="N2" s="35" t="s">
        <v>160</v>
      </c>
      <c r="O2" s="35" t="s">
        <v>165</v>
      </c>
      <c r="P2" s="35" t="s">
        <v>161</v>
      </c>
      <c r="Q2" s="35" t="s">
        <v>165</v>
      </c>
      <c r="R2" s="35" t="s">
        <v>162</v>
      </c>
      <c r="S2" s="35" t="s">
        <v>165</v>
      </c>
      <c r="T2" s="35" t="s">
        <v>163</v>
      </c>
      <c r="U2" s="35" t="s">
        <v>165</v>
      </c>
      <c r="V2" s="35" t="s">
        <v>164</v>
      </c>
      <c r="W2" s="35" t="s">
        <v>165</v>
      </c>
      <c r="X2" s="43"/>
      <c r="Y2" s="36" t="s">
        <v>139</v>
      </c>
      <c r="Z2" s="36" t="s">
        <v>140</v>
      </c>
      <c r="AA2" s="36" t="s">
        <v>18</v>
      </c>
      <c r="AB2" s="36" t="s">
        <v>16</v>
      </c>
      <c r="AC2" s="36" t="s">
        <v>138</v>
      </c>
      <c r="AD2" s="43"/>
      <c r="AE2" s="35" t="s">
        <v>151</v>
      </c>
      <c r="AF2" s="38" t="s">
        <v>166</v>
      </c>
    </row>
    <row r="3" spans="1:32" x14ac:dyDescent="0.4">
      <c r="A3" s="39" t="s">
        <v>167</v>
      </c>
      <c r="B3" s="39"/>
      <c r="C3" s="39"/>
      <c r="D3" s="39"/>
      <c r="E3" s="39"/>
      <c r="F3" s="39"/>
      <c r="G3" s="39"/>
      <c r="H3" s="40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>
        <f>SUM(AE4:AE30)</f>
        <v>70</v>
      </c>
      <c r="AF3" s="39">
        <f>SUM(AF4:AF30)</f>
        <v>512</v>
      </c>
    </row>
    <row r="4" spans="1:32" x14ac:dyDescent="0.4">
      <c r="A4" s="37" t="s">
        <v>150</v>
      </c>
      <c r="B4" s="6"/>
      <c r="C4" s="37" t="str">
        <f>Script!G26</f>
        <v>TP</v>
      </c>
      <c r="D4" s="6">
        <v>1</v>
      </c>
      <c r="E4" s="6"/>
      <c r="F4" s="5">
        <f>IF(OR(C4="SP",C4="TP"),1,IF(C4="DP",2,D4))</f>
        <v>1</v>
      </c>
      <c r="G4" s="5">
        <f>IF(C4="SP","",IF(C4="TP",1,IF(C4="DP",2,E4)))</f>
        <v>1</v>
      </c>
      <c r="H4" s="5" t="str">
        <f>IF(AND(F4&gt;0,G4&gt;0),CONCATENATE(F4,"R",G4,"W"),"")</f>
        <v>1R1W</v>
      </c>
      <c r="I4" s="37">
        <f>LOG(Script!E26, 2)</f>
        <v>11</v>
      </c>
      <c r="J4" s="5">
        <f>IF(C4="REG",0,IF(I4&lt;=0,0,IF(I4=1,3,IF(I4&lt;5,4,IF(I4&lt;12,5,IF(I4&lt;27,6,IF(I4&lt;58,7,IF(I4&lt;121,8,IF(I4&lt;248,9,IF(I4&lt;503,10,IF(I4&lt;1014,11,IF(I4&lt;2037,12,IF(I4&lt;4084,13,"OF")))))))))))))</f>
        <v>5</v>
      </c>
      <c r="K4" s="5">
        <f>I4+J4</f>
        <v>16</v>
      </c>
      <c r="L4" s="6">
        <v>0</v>
      </c>
      <c r="M4" s="5">
        <f t="shared" ref="M4:M30" si="0">IF(C4="SP",L4*(AB4+1+LOG(AC4,2)),IF(C4="TP",L4*(AB4+2+LOG(AC4,2)),0))</f>
        <v>0</v>
      </c>
      <c r="N4" s="6">
        <v>1</v>
      </c>
      <c r="O4" s="5">
        <f t="shared" ref="O4:O30" si="1">IF(C4="SP",N4*(AB4),IF(C4="TP",N4*(AB4),0))</f>
        <v>16</v>
      </c>
      <c r="P4" s="6">
        <v>1</v>
      </c>
      <c r="Q4" s="5">
        <f t="shared" ref="Q4:Q30" si="2">IF(OR(C4="",C4="REG"),0,(1+N4)*LOG(AC4,2)+Z4)</f>
        <v>19</v>
      </c>
      <c r="R4" s="6">
        <v>0</v>
      </c>
      <c r="S4" s="5"/>
      <c r="T4" s="6">
        <v>0</v>
      </c>
      <c r="U4" s="5"/>
      <c r="V4" s="6">
        <v>0</v>
      </c>
      <c r="W4" s="5"/>
      <c r="X4" s="37">
        <f>Script!F26</f>
        <v>16</v>
      </c>
      <c r="Y4" s="6">
        <v>1</v>
      </c>
      <c r="Z4" s="5">
        <f>I4*Y4</f>
        <v>11</v>
      </c>
      <c r="AA4" s="5">
        <f>IF(C4="REG",0,IF(Z4&lt;=0,0,IF(Z4=1,3,IF(Z4&lt;5,4,IF(Z4&lt;12,5,IF(Z4&lt;27,6,IF(Z4&lt;58,7,IF(Z4&lt;121,8,IF(Z4&lt;248,9,IF(Z4&lt;503,10,IF(Z4&lt;1014,11,IF(Z4&lt;2037,12,IF(Z4&lt;4084,13,"OF")))))))))))))</f>
        <v>5</v>
      </c>
      <c r="AB4" s="5">
        <f>Z4+AA4</f>
        <v>16</v>
      </c>
      <c r="AC4" s="5">
        <f>X4/Y4</f>
        <v>16</v>
      </c>
      <c r="AD4" s="37">
        <f>Script!D26</f>
        <v>2</v>
      </c>
      <c r="AE4" s="5">
        <f t="shared" ref="AE4:AE30" si="3">IF(C4="REG",AB4*AC4,(M4+O4+Q4+S4+U4+W4))*AD4</f>
        <v>70</v>
      </c>
      <c r="AF4" s="5">
        <f t="shared" ref="AF4:AF30" si="4">IF(AND(C4&lt;&gt;"",C4&lt;&gt;"REG"),AB4*AC4*AD4,0)</f>
        <v>512</v>
      </c>
    </row>
    <row r="5" spans="1:32" x14ac:dyDescent="0.4">
      <c r="A5" s="37"/>
      <c r="B5" s="6"/>
      <c r="C5" s="37"/>
      <c r="D5" s="6"/>
      <c r="E5" s="6"/>
      <c r="F5" s="5">
        <f t="shared" ref="F5:F30" si="5">IF(OR(C5="SP",C5="TP"),1,IF(C5="DP",2,D5))</f>
        <v>0</v>
      </c>
      <c r="G5" s="5">
        <f t="shared" ref="G5:G30" si="6">IF(C5="SP","",IF(C5="TP",1,IF(C5="DP",2,E5)))</f>
        <v>0</v>
      </c>
      <c r="H5" s="5" t="str">
        <f t="shared" ref="H5:H30" si="7">IF(AND(F5&gt;0,G5&gt;0),CONCATENATE(F5,"R",G5,"W"),"")</f>
        <v/>
      </c>
      <c r="I5" s="37"/>
      <c r="J5" s="5">
        <f t="shared" ref="J5:J15" si="8">IF(C5="REG",0,IF(I5&lt;=0,0,IF(I5=1,3,IF(I5&lt;5,4,IF(I5&lt;12,5,IF(I5&lt;27,6,IF(I5&lt;58,7,IF(I5&lt;121,8,IF(I5&lt;248,9,IF(I5&lt;503,10,IF(I5&lt;1014,11,IF(I5&lt;2037,12,IF(I5&lt;4084,13,"OF")))))))))))))</f>
        <v>0</v>
      </c>
      <c r="K5" s="5">
        <f t="shared" ref="K5:K15" si="9">I5+J5</f>
        <v>0</v>
      </c>
      <c r="L5" s="6">
        <v>0</v>
      </c>
      <c r="M5" s="5">
        <f t="shared" si="0"/>
        <v>0</v>
      </c>
      <c r="N5" s="6">
        <v>1</v>
      </c>
      <c r="O5" s="5">
        <f t="shared" si="1"/>
        <v>0</v>
      </c>
      <c r="P5" s="6">
        <v>1</v>
      </c>
      <c r="Q5" s="5">
        <f t="shared" si="2"/>
        <v>0</v>
      </c>
      <c r="R5" s="6">
        <v>0</v>
      </c>
      <c r="S5" s="5"/>
      <c r="T5" s="6">
        <v>0</v>
      </c>
      <c r="U5" s="5"/>
      <c r="V5" s="6">
        <v>0</v>
      </c>
      <c r="W5" s="5"/>
      <c r="X5" s="37"/>
      <c r="Y5" s="6">
        <v>1</v>
      </c>
      <c r="Z5" s="5">
        <f t="shared" ref="Z5:Z30" si="10">I5*Y5</f>
        <v>0</v>
      </c>
      <c r="AA5" s="5">
        <f t="shared" ref="AA5:AA30" si="11">IF(C5="REG",0,IF(Z5&lt;=0,0,IF(Z5=1,3,IF(Z5&lt;5,4,IF(Z5&lt;12,5,IF(Z5&lt;27,6,IF(Z5&lt;58,7,IF(Z5&lt;121,8,IF(Z5&lt;248,9,IF(Z5&lt;503,10,IF(Z5&lt;1014,11,IF(Z5&lt;2037,12,IF(Z5&lt;4084,13,"OF")))))))))))))</f>
        <v>0</v>
      </c>
      <c r="AB5" s="5">
        <f t="shared" ref="AB5:AB30" si="12">Z5+AA5</f>
        <v>0</v>
      </c>
      <c r="AC5" s="5">
        <f t="shared" ref="AC5:AC30" si="13">X5/Y5</f>
        <v>0</v>
      </c>
      <c r="AD5" s="37">
        <v>1</v>
      </c>
      <c r="AE5" s="5">
        <f t="shared" si="3"/>
        <v>0</v>
      </c>
      <c r="AF5" s="5">
        <f t="shared" si="4"/>
        <v>0</v>
      </c>
    </row>
    <row r="6" spans="1:32" x14ac:dyDescent="0.4">
      <c r="A6" s="37"/>
      <c r="B6" s="6"/>
      <c r="C6" s="37" t="s">
        <v>55</v>
      </c>
      <c r="D6" s="6"/>
      <c r="E6" s="6"/>
      <c r="F6" s="5">
        <f t="shared" si="5"/>
        <v>0</v>
      </c>
      <c r="G6" s="5">
        <f t="shared" si="6"/>
        <v>0</v>
      </c>
      <c r="H6" s="5" t="str">
        <f t="shared" si="7"/>
        <v/>
      </c>
      <c r="I6" s="37"/>
      <c r="J6" s="5">
        <f t="shared" si="8"/>
        <v>0</v>
      </c>
      <c r="K6" s="5">
        <f t="shared" si="9"/>
        <v>0</v>
      </c>
      <c r="L6" s="6">
        <v>0</v>
      </c>
      <c r="M6" s="5">
        <f t="shared" si="0"/>
        <v>0</v>
      </c>
      <c r="N6" s="6">
        <v>1</v>
      </c>
      <c r="O6" s="5">
        <f t="shared" si="1"/>
        <v>0</v>
      </c>
      <c r="P6" s="6">
        <v>1</v>
      </c>
      <c r="Q6" s="5">
        <f t="shared" si="2"/>
        <v>0</v>
      </c>
      <c r="R6" s="6">
        <v>0</v>
      </c>
      <c r="S6" s="5"/>
      <c r="T6" s="6">
        <v>0</v>
      </c>
      <c r="U6" s="5"/>
      <c r="V6" s="6">
        <v>0</v>
      </c>
      <c r="W6" s="5"/>
      <c r="X6" s="37"/>
      <c r="Y6" s="6">
        <v>1</v>
      </c>
      <c r="Z6" s="5">
        <f t="shared" si="10"/>
        <v>0</v>
      </c>
      <c r="AA6" s="5">
        <f t="shared" si="11"/>
        <v>0</v>
      </c>
      <c r="AB6" s="5">
        <f t="shared" si="12"/>
        <v>0</v>
      </c>
      <c r="AC6" s="5">
        <f t="shared" si="13"/>
        <v>0</v>
      </c>
      <c r="AD6" s="37">
        <v>1</v>
      </c>
      <c r="AE6" s="5">
        <f t="shared" si="3"/>
        <v>0</v>
      </c>
      <c r="AF6" s="5">
        <f t="shared" si="4"/>
        <v>0</v>
      </c>
    </row>
    <row r="7" spans="1:32" x14ac:dyDescent="0.4">
      <c r="A7" s="37"/>
      <c r="B7" s="6"/>
      <c r="C7" s="37"/>
      <c r="D7" s="6"/>
      <c r="E7" s="6"/>
      <c r="F7" s="5">
        <f t="shared" si="5"/>
        <v>0</v>
      </c>
      <c r="G7" s="5">
        <f t="shared" si="6"/>
        <v>0</v>
      </c>
      <c r="H7" s="5" t="str">
        <f t="shared" si="7"/>
        <v/>
      </c>
      <c r="I7" s="37"/>
      <c r="J7" s="5">
        <f t="shared" si="8"/>
        <v>0</v>
      </c>
      <c r="K7" s="5">
        <f t="shared" si="9"/>
        <v>0</v>
      </c>
      <c r="L7" s="6">
        <v>0</v>
      </c>
      <c r="M7" s="5">
        <f t="shared" si="0"/>
        <v>0</v>
      </c>
      <c r="N7" s="6">
        <v>1</v>
      </c>
      <c r="O7" s="5">
        <f t="shared" si="1"/>
        <v>0</v>
      </c>
      <c r="P7" s="6">
        <v>1</v>
      </c>
      <c r="Q7" s="5">
        <f t="shared" si="2"/>
        <v>0</v>
      </c>
      <c r="R7" s="6">
        <v>0</v>
      </c>
      <c r="S7" s="5"/>
      <c r="T7" s="6">
        <v>0</v>
      </c>
      <c r="U7" s="5"/>
      <c r="V7" s="6">
        <v>0</v>
      </c>
      <c r="W7" s="5"/>
      <c r="X7" s="37"/>
      <c r="Y7" s="6">
        <v>1</v>
      </c>
      <c r="Z7" s="5">
        <f t="shared" si="10"/>
        <v>0</v>
      </c>
      <c r="AA7" s="5">
        <f t="shared" si="11"/>
        <v>0</v>
      </c>
      <c r="AB7" s="5">
        <f t="shared" si="12"/>
        <v>0</v>
      </c>
      <c r="AC7" s="5">
        <f t="shared" si="13"/>
        <v>0</v>
      </c>
      <c r="AD7" s="37">
        <v>1</v>
      </c>
      <c r="AE7" s="5">
        <f t="shared" si="3"/>
        <v>0</v>
      </c>
      <c r="AF7" s="5">
        <f t="shared" si="4"/>
        <v>0</v>
      </c>
    </row>
    <row r="8" spans="1:32" x14ac:dyDescent="0.4">
      <c r="A8" s="37"/>
      <c r="B8" s="6"/>
      <c r="C8" s="37"/>
      <c r="D8" s="6"/>
      <c r="E8" s="6"/>
      <c r="F8" s="5">
        <f t="shared" si="5"/>
        <v>0</v>
      </c>
      <c r="G8" s="5">
        <f t="shared" si="6"/>
        <v>0</v>
      </c>
      <c r="H8" s="5" t="str">
        <f t="shared" si="7"/>
        <v/>
      </c>
      <c r="I8" s="37"/>
      <c r="J8" s="5">
        <f t="shared" si="8"/>
        <v>0</v>
      </c>
      <c r="K8" s="5">
        <f t="shared" si="9"/>
        <v>0</v>
      </c>
      <c r="L8" s="6">
        <v>0</v>
      </c>
      <c r="M8" s="5">
        <f t="shared" si="0"/>
        <v>0</v>
      </c>
      <c r="N8" s="6">
        <v>1</v>
      </c>
      <c r="O8" s="5">
        <f t="shared" si="1"/>
        <v>0</v>
      </c>
      <c r="P8" s="6">
        <v>1</v>
      </c>
      <c r="Q8" s="5">
        <f t="shared" si="2"/>
        <v>0</v>
      </c>
      <c r="R8" s="6">
        <v>0</v>
      </c>
      <c r="S8" s="5"/>
      <c r="T8" s="6">
        <v>0</v>
      </c>
      <c r="U8" s="5"/>
      <c r="V8" s="6">
        <v>0</v>
      </c>
      <c r="W8" s="5"/>
      <c r="X8" s="37"/>
      <c r="Y8" s="6">
        <v>1</v>
      </c>
      <c r="Z8" s="5">
        <f t="shared" si="10"/>
        <v>0</v>
      </c>
      <c r="AA8" s="5">
        <f t="shared" si="11"/>
        <v>0</v>
      </c>
      <c r="AB8" s="5">
        <f t="shared" si="12"/>
        <v>0</v>
      </c>
      <c r="AC8" s="5">
        <f t="shared" si="13"/>
        <v>0</v>
      </c>
      <c r="AD8" s="37">
        <v>1</v>
      </c>
      <c r="AE8" s="5">
        <f t="shared" si="3"/>
        <v>0</v>
      </c>
      <c r="AF8" s="5">
        <f t="shared" si="4"/>
        <v>0</v>
      </c>
    </row>
    <row r="9" spans="1:32" x14ac:dyDescent="0.4">
      <c r="A9" s="37"/>
      <c r="B9" s="6"/>
      <c r="C9" s="37"/>
      <c r="D9" s="6"/>
      <c r="E9" s="6"/>
      <c r="F9" s="5">
        <f t="shared" si="5"/>
        <v>0</v>
      </c>
      <c r="G9" s="5">
        <f t="shared" si="6"/>
        <v>0</v>
      </c>
      <c r="H9" s="5" t="str">
        <f t="shared" si="7"/>
        <v/>
      </c>
      <c r="I9" s="37"/>
      <c r="J9" s="5">
        <f t="shared" si="8"/>
        <v>0</v>
      </c>
      <c r="K9" s="5">
        <f t="shared" si="9"/>
        <v>0</v>
      </c>
      <c r="L9" s="6">
        <v>0</v>
      </c>
      <c r="M9" s="5">
        <f t="shared" si="0"/>
        <v>0</v>
      </c>
      <c r="N9" s="6">
        <v>1</v>
      </c>
      <c r="O9" s="5">
        <f t="shared" si="1"/>
        <v>0</v>
      </c>
      <c r="P9" s="6">
        <v>1</v>
      </c>
      <c r="Q9" s="5">
        <f t="shared" si="2"/>
        <v>0</v>
      </c>
      <c r="R9" s="6">
        <v>0</v>
      </c>
      <c r="S9" s="5"/>
      <c r="T9" s="6">
        <v>0</v>
      </c>
      <c r="U9" s="5"/>
      <c r="V9" s="6">
        <v>0</v>
      </c>
      <c r="W9" s="5"/>
      <c r="X9" s="37"/>
      <c r="Y9" s="6">
        <v>1</v>
      </c>
      <c r="Z9" s="5">
        <f t="shared" si="10"/>
        <v>0</v>
      </c>
      <c r="AA9" s="5">
        <f t="shared" si="11"/>
        <v>0</v>
      </c>
      <c r="AB9" s="5">
        <f t="shared" si="12"/>
        <v>0</v>
      </c>
      <c r="AC9" s="5">
        <f t="shared" si="13"/>
        <v>0</v>
      </c>
      <c r="AD9" s="37">
        <v>1</v>
      </c>
      <c r="AE9" s="5">
        <f t="shared" si="3"/>
        <v>0</v>
      </c>
      <c r="AF9" s="5">
        <f t="shared" si="4"/>
        <v>0</v>
      </c>
    </row>
    <row r="10" spans="1:32" x14ac:dyDescent="0.4">
      <c r="A10" s="37"/>
      <c r="B10" s="6"/>
      <c r="C10" s="37"/>
      <c r="D10" s="6"/>
      <c r="E10" s="6"/>
      <c r="F10" s="5">
        <f t="shared" si="5"/>
        <v>0</v>
      </c>
      <c r="G10" s="5">
        <f t="shared" si="6"/>
        <v>0</v>
      </c>
      <c r="H10" s="5" t="str">
        <f t="shared" si="7"/>
        <v/>
      </c>
      <c r="I10" s="37"/>
      <c r="J10" s="5">
        <f t="shared" si="8"/>
        <v>0</v>
      </c>
      <c r="K10" s="5">
        <f t="shared" si="9"/>
        <v>0</v>
      </c>
      <c r="L10" s="6">
        <v>0</v>
      </c>
      <c r="M10" s="5">
        <f t="shared" si="0"/>
        <v>0</v>
      </c>
      <c r="N10" s="6">
        <v>1</v>
      </c>
      <c r="O10" s="5">
        <f t="shared" si="1"/>
        <v>0</v>
      </c>
      <c r="P10" s="6">
        <v>1</v>
      </c>
      <c r="Q10" s="5">
        <f t="shared" si="2"/>
        <v>0</v>
      </c>
      <c r="R10" s="6">
        <v>0</v>
      </c>
      <c r="S10" s="5"/>
      <c r="T10" s="6">
        <v>0</v>
      </c>
      <c r="U10" s="5"/>
      <c r="V10" s="6">
        <v>0</v>
      </c>
      <c r="W10" s="5"/>
      <c r="X10" s="37"/>
      <c r="Y10" s="6">
        <v>1</v>
      </c>
      <c r="Z10" s="5">
        <f t="shared" si="10"/>
        <v>0</v>
      </c>
      <c r="AA10" s="5">
        <f t="shared" si="11"/>
        <v>0</v>
      </c>
      <c r="AB10" s="5">
        <f t="shared" si="12"/>
        <v>0</v>
      </c>
      <c r="AC10" s="5">
        <f t="shared" si="13"/>
        <v>0</v>
      </c>
      <c r="AD10" s="37">
        <v>1</v>
      </c>
      <c r="AE10" s="5">
        <f t="shared" si="3"/>
        <v>0</v>
      </c>
      <c r="AF10" s="5">
        <f t="shared" si="4"/>
        <v>0</v>
      </c>
    </row>
    <row r="11" spans="1:32" x14ac:dyDescent="0.4">
      <c r="A11" s="37"/>
      <c r="B11" s="6"/>
      <c r="C11" s="37"/>
      <c r="D11" s="6"/>
      <c r="E11" s="6"/>
      <c r="F11" s="5">
        <f t="shared" si="5"/>
        <v>0</v>
      </c>
      <c r="G11" s="5">
        <f t="shared" si="6"/>
        <v>0</v>
      </c>
      <c r="H11" s="5" t="str">
        <f t="shared" si="7"/>
        <v/>
      </c>
      <c r="I11" s="37"/>
      <c r="J11" s="5">
        <f t="shared" si="8"/>
        <v>0</v>
      </c>
      <c r="K11" s="5">
        <f t="shared" si="9"/>
        <v>0</v>
      </c>
      <c r="L11" s="6">
        <v>0</v>
      </c>
      <c r="M11" s="5">
        <f t="shared" si="0"/>
        <v>0</v>
      </c>
      <c r="N11" s="6">
        <v>1</v>
      </c>
      <c r="O11" s="5">
        <f t="shared" si="1"/>
        <v>0</v>
      </c>
      <c r="P11" s="6">
        <v>1</v>
      </c>
      <c r="Q11" s="5">
        <f t="shared" si="2"/>
        <v>0</v>
      </c>
      <c r="R11" s="6">
        <v>0</v>
      </c>
      <c r="S11" s="5"/>
      <c r="T11" s="6">
        <v>0</v>
      </c>
      <c r="U11" s="5"/>
      <c r="V11" s="6">
        <v>0</v>
      </c>
      <c r="W11" s="5"/>
      <c r="X11" s="37"/>
      <c r="Y11" s="6">
        <v>1</v>
      </c>
      <c r="Z11" s="5">
        <f t="shared" si="10"/>
        <v>0</v>
      </c>
      <c r="AA11" s="5">
        <f t="shared" si="11"/>
        <v>0</v>
      </c>
      <c r="AB11" s="5">
        <f t="shared" si="12"/>
        <v>0</v>
      </c>
      <c r="AC11" s="5">
        <f t="shared" si="13"/>
        <v>0</v>
      </c>
      <c r="AD11" s="37">
        <v>1</v>
      </c>
      <c r="AE11" s="5">
        <f t="shared" si="3"/>
        <v>0</v>
      </c>
      <c r="AF11" s="5">
        <f t="shared" si="4"/>
        <v>0</v>
      </c>
    </row>
    <row r="12" spans="1:32" x14ac:dyDescent="0.4">
      <c r="A12" s="37"/>
      <c r="B12" s="6"/>
      <c r="C12" s="37"/>
      <c r="D12" s="6"/>
      <c r="E12" s="6"/>
      <c r="F12" s="5">
        <f t="shared" si="5"/>
        <v>0</v>
      </c>
      <c r="G12" s="5">
        <f t="shared" si="6"/>
        <v>0</v>
      </c>
      <c r="H12" s="5" t="str">
        <f t="shared" si="7"/>
        <v/>
      </c>
      <c r="I12" s="37"/>
      <c r="J12" s="5">
        <f t="shared" si="8"/>
        <v>0</v>
      </c>
      <c r="K12" s="5">
        <f t="shared" si="9"/>
        <v>0</v>
      </c>
      <c r="L12" s="6">
        <v>0</v>
      </c>
      <c r="M12" s="5">
        <f t="shared" si="0"/>
        <v>0</v>
      </c>
      <c r="N12" s="6">
        <v>1</v>
      </c>
      <c r="O12" s="5">
        <f t="shared" si="1"/>
        <v>0</v>
      </c>
      <c r="P12" s="6">
        <v>1</v>
      </c>
      <c r="Q12" s="5">
        <f t="shared" si="2"/>
        <v>0</v>
      </c>
      <c r="R12" s="6">
        <v>0</v>
      </c>
      <c r="S12" s="5"/>
      <c r="T12" s="6">
        <v>0</v>
      </c>
      <c r="U12" s="5"/>
      <c r="V12" s="6">
        <v>0</v>
      </c>
      <c r="W12" s="5"/>
      <c r="X12" s="37"/>
      <c r="Y12" s="6">
        <v>1</v>
      </c>
      <c r="Z12" s="5">
        <f t="shared" si="10"/>
        <v>0</v>
      </c>
      <c r="AA12" s="5">
        <f t="shared" si="11"/>
        <v>0</v>
      </c>
      <c r="AB12" s="5">
        <f t="shared" si="12"/>
        <v>0</v>
      </c>
      <c r="AC12" s="5">
        <f t="shared" si="13"/>
        <v>0</v>
      </c>
      <c r="AD12" s="37">
        <v>1</v>
      </c>
      <c r="AE12" s="5">
        <f t="shared" si="3"/>
        <v>0</v>
      </c>
      <c r="AF12" s="5">
        <f t="shared" si="4"/>
        <v>0</v>
      </c>
    </row>
    <row r="13" spans="1:32" x14ac:dyDescent="0.4">
      <c r="A13" s="37"/>
      <c r="B13" s="6"/>
      <c r="C13" s="37"/>
      <c r="D13" s="6"/>
      <c r="E13" s="6"/>
      <c r="F13" s="5">
        <f t="shared" si="5"/>
        <v>0</v>
      </c>
      <c r="G13" s="5">
        <f t="shared" si="6"/>
        <v>0</v>
      </c>
      <c r="H13" s="5" t="str">
        <f t="shared" si="7"/>
        <v/>
      </c>
      <c r="I13" s="37"/>
      <c r="J13" s="5">
        <f t="shared" si="8"/>
        <v>0</v>
      </c>
      <c r="K13" s="5">
        <f t="shared" si="9"/>
        <v>0</v>
      </c>
      <c r="L13" s="6">
        <v>0</v>
      </c>
      <c r="M13" s="5">
        <f t="shared" si="0"/>
        <v>0</v>
      </c>
      <c r="N13" s="6">
        <v>1</v>
      </c>
      <c r="O13" s="5">
        <f t="shared" si="1"/>
        <v>0</v>
      </c>
      <c r="P13" s="6">
        <v>1</v>
      </c>
      <c r="Q13" s="5">
        <f t="shared" si="2"/>
        <v>0</v>
      </c>
      <c r="R13" s="6">
        <v>0</v>
      </c>
      <c r="S13" s="5"/>
      <c r="T13" s="6">
        <v>0</v>
      </c>
      <c r="U13" s="5"/>
      <c r="V13" s="6">
        <v>0</v>
      </c>
      <c r="W13" s="5"/>
      <c r="X13" s="37"/>
      <c r="Y13" s="6">
        <v>1</v>
      </c>
      <c r="Z13" s="5">
        <f t="shared" si="10"/>
        <v>0</v>
      </c>
      <c r="AA13" s="5">
        <f t="shared" si="11"/>
        <v>0</v>
      </c>
      <c r="AB13" s="5">
        <f t="shared" si="12"/>
        <v>0</v>
      </c>
      <c r="AC13" s="5">
        <f t="shared" si="13"/>
        <v>0</v>
      </c>
      <c r="AD13" s="37">
        <v>1</v>
      </c>
      <c r="AE13" s="5">
        <f t="shared" si="3"/>
        <v>0</v>
      </c>
      <c r="AF13" s="5">
        <f t="shared" si="4"/>
        <v>0</v>
      </c>
    </row>
    <row r="14" spans="1:32" x14ac:dyDescent="0.4">
      <c r="A14" s="37"/>
      <c r="B14" s="6"/>
      <c r="C14" s="37"/>
      <c r="D14" s="6"/>
      <c r="E14" s="6"/>
      <c r="F14" s="5">
        <f t="shared" si="5"/>
        <v>0</v>
      </c>
      <c r="G14" s="5">
        <f t="shared" si="6"/>
        <v>0</v>
      </c>
      <c r="H14" s="5" t="str">
        <f t="shared" si="7"/>
        <v/>
      </c>
      <c r="I14" s="37"/>
      <c r="J14" s="5">
        <f t="shared" si="8"/>
        <v>0</v>
      </c>
      <c r="K14" s="5">
        <f t="shared" si="9"/>
        <v>0</v>
      </c>
      <c r="L14" s="6">
        <v>0</v>
      </c>
      <c r="M14" s="5">
        <f t="shared" si="0"/>
        <v>0</v>
      </c>
      <c r="N14" s="6">
        <v>1</v>
      </c>
      <c r="O14" s="5">
        <f t="shared" si="1"/>
        <v>0</v>
      </c>
      <c r="P14" s="6">
        <v>1</v>
      </c>
      <c r="Q14" s="5">
        <f t="shared" si="2"/>
        <v>0</v>
      </c>
      <c r="R14" s="6">
        <v>0</v>
      </c>
      <c r="S14" s="5"/>
      <c r="T14" s="6">
        <v>0</v>
      </c>
      <c r="U14" s="5"/>
      <c r="V14" s="6">
        <v>0</v>
      </c>
      <c r="W14" s="5"/>
      <c r="X14" s="37"/>
      <c r="Y14" s="6">
        <v>1</v>
      </c>
      <c r="Z14" s="5">
        <f t="shared" si="10"/>
        <v>0</v>
      </c>
      <c r="AA14" s="5">
        <f t="shared" si="11"/>
        <v>0</v>
      </c>
      <c r="AB14" s="5">
        <f t="shared" si="12"/>
        <v>0</v>
      </c>
      <c r="AC14" s="5">
        <f t="shared" si="13"/>
        <v>0</v>
      </c>
      <c r="AD14" s="37">
        <v>1</v>
      </c>
      <c r="AE14" s="5">
        <f t="shared" si="3"/>
        <v>0</v>
      </c>
      <c r="AF14" s="5">
        <f t="shared" si="4"/>
        <v>0</v>
      </c>
    </row>
    <row r="15" spans="1:32" x14ac:dyDescent="0.4">
      <c r="A15" s="37"/>
      <c r="B15" s="6"/>
      <c r="C15" s="37"/>
      <c r="D15" s="6"/>
      <c r="E15" s="6"/>
      <c r="F15" s="5">
        <f t="shared" si="5"/>
        <v>0</v>
      </c>
      <c r="G15" s="5">
        <f t="shared" si="6"/>
        <v>0</v>
      </c>
      <c r="H15" s="5" t="str">
        <f t="shared" si="7"/>
        <v/>
      </c>
      <c r="I15" s="37"/>
      <c r="J15" s="5">
        <f t="shared" si="8"/>
        <v>0</v>
      </c>
      <c r="K15" s="5">
        <f t="shared" si="9"/>
        <v>0</v>
      </c>
      <c r="L15" s="6">
        <v>0</v>
      </c>
      <c r="M15" s="5">
        <f t="shared" si="0"/>
        <v>0</v>
      </c>
      <c r="N15" s="6">
        <v>1</v>
      </c>
      <c r="O15" s="5">
        <f t="shared" si="1"/>
        <v>0</v>
      </c>
      <c r="P15" s="6">
        <v>1</v>
      </c>
      <c r="Q15" s="5">
        <f t="shared" si="2"/>
        <v>0</v>
      </c>
      <c r="R15" s="6">
        <v>0</v>
      </c>
      <c r="S15" s="5"/>
      <c r="T15" s="6">
        <v>0</v>
      </c>
      <c r="U15" s="5"/>
      <c r="V15" s="6">
        <v>0</v>
      </c>
      <c r="W15" s="5"/>
      <c r="X15" s="37"/>
      <c r="Y15" s="6">
        <v>1</v>
      </c>
      <c r="Z15" s="5">
        <f t="shared" si="10"/>
        <v>0</v>
      </c>
      <c r="AA15" s="5">
        <f t="shared" si="11"/>
        <v>0</v>
      </c>
      <c r="AB15" s="5">
        <f t="shared" si="12"/>
        <v>0</v>
      </c>
      <c r="AC15" s="5">
        <f t="shared" si="13"/>
        <v>0</v>
      </c>
      <c r="AD15" s="37">
        <v>1</v>
      </c>
      <c r="AE15" s="5">
        <f t="shared" si="3"/>
        <v>0</v>
      </c>
      <c r="AF15" s="5">
        <f t="shared" si="4"/>
        <v>0</v>
      </c>
    </row>
    <row r="16" spans="1:32" x14ac:dyDescent="0.4">
      <c r="A16" s="37"/>
      <c r="B16" s="6"/>
      <c r="C16" s="37"/>
      <c r="D16" s="6"/>
      <c r="E16" s="6"/>
      <c r="F16" s="5">
        <f t="shared" si="5"/>
        <v>0</v>
      </c>
      <c r="G16" s="5">
        <f t="shared" si="6"/>
        <v>0</v>
      </c>
      <c r="H16" s="5" t="str">
        <f t="shared" si="7"/>
        <v/>
      </c>
      <c r="I16" s="37"/>
      <c r="J16" s="5">
        <f t="shared" ref="J16:J30" si="14">IF(C16="REG",0,IF(I16&lt;=0,0,IF(I16=1,3,IF(I16&lt;5,4,IF(I16&lt;12,5,IF(I16&lt;27,6,IF(I16&lt;58,7,IF(I16&lt;121,8,IF(I16&lt;248,9,IF(I16&lt;503,10,IF(I16&lt;1014,11,IF(I16&lt;2037,12,IF(I16&lt;4084,13,"OF")))))))))))))</f>
        <v>0</v>
      </c>
      <c r="K16" s="5">
        <f t="shared" ref="K16:K30" si="15">I16+J16</f>
        <v>0</v>
      </c>
      <c r="L16" s="6">
        <v>0</v>
      </c>
      <c r="M16" s="5">
        <f t="shared" si="0"/>
        <v>0</v>
      </c>
      <c r="N16" s="6">
        <v>1</v>
      </c>
      <c r="O16" s="5">
        <f t="shared" si="1"/>
        <v>0</v>
      </c>
      <c r="P16" s="6">
        <v>1</v>
      </c>
      <c r="Q16" s="5">
        <f t="shared" si="2"/>
        <v>0</v>
      </c>
      <c r="R16" s="6">
        <v>0</v>
      </c>
      <c r="S16" s="5"/>
      <c r="T16" s="6">
        <v>0</v>
      </c>
      <c r="U16" s="5"/>
      <c r="V16" s="6">
        <v>0</v>
      </c>
      <c r="W16" s="5"/>
      <c r="X16" s="37"/>
      <c r="Y16" s="6">
        <v>1</v>
      </c>
      <c r="Z16" s="5">
        <f t="shared" si="10"/>
        <v>0</v>
      </c>
      <c r="AA16" s="5">
        <f t="shared" si="11"/>
        <v>0</v>
      </c>
      <c r="AB16" s="5">
        <f t="shared" si="12"/>
        <v>0</v>
      </c>
      <c r="AC16" s="5">
        <f t="shared" si="13"/>
        <v>0</v>
      </c>
      <c r="AD16" s="37">
        <v>1</v>
      </c>
      <c r="AE16" s="5">
        <f t="shared" si="3"/>
        <v>0</v>
      </c>
      <c r="AF16" s="5">
        <f t="shared" si="4"/>
        <v>0</v>
      </c>
    </row>
    <row r="17" spans="1:32" x14ac:dyDescent="0.4">
      <c r="A17" s="37"/>
      <c r="B17" s="6"/>
      <c r="C17" s="37"/>
      <c r="D17" s="6"/>
      <c r="E17" s="6"/>
      <c r="F17" s="5">
        <f t="shared" si="5"/>
        <v>0</v>
      </c>
      <c r="G17" s="5">
        <f t="shared" si="6"/>
        <v>0</v>
      </c>
      <c r="H17" s="5" t="str">
        <f t="shared" si="7"/>
        <v/>
      </c>
      <c r="I17" s="37"/>
      <c r="J17" s="5">
        <f t="shared" si="14"/>
        <v>0</v>
      </c>
      <c r="K17" s="5">
        <f t="shared" si="15"/>
        <v>0</v>
      </c>
      <c r="L17" s="6">
        <v>0</v>
      </c>
      <c r="M17" s="5">
        <f t="shared" si="0"/>
        <v>0</v>
      </c>
      <c r="N17" s="6">
        <v>1</v>
      </c>
      <c r="O17" s="5">
        <f t="shared" si="1"/>
        <v>0</v>
      </c>
      <c r="P17" s="6">
        <v>1</v>
      </c>
      <c r="Q17" s="5">
        <f t="shared" si="2"/>
        <v>0</v>
      </c>
      <c r="R17" s="6">
        <v>0</v>
      </c>
      <c r="S17" s="5"/>
      <c r="T17" s="6">
        <v>0</v>
      </c>
      <c r="U17" s="5"/>
      <c r="V17" s="6">
        <v>0</v>
      </c>
      <c r="W17" s="5"/>
      <c r="X17" s="37"/>
      <c r="Y17" s="6">
        <v>1</v>
      </c>
      <c r="Z17" s="5">
        <f t="shared" si="10"/>
        <v>0</v>
      </c>
      <c r="AA17" s="5">
        <f t="shared" si="11"/>
        <v>0</v>
      </c>
      <c r="AB17" s="5">
        <f t="shared" si="12"/>
        <v>0</v>
      </c>
      <c r="AC17" s="5">
        <f t="shared" si="13"/>
        <v>0</v>
      </c>
      <c r="AD17" s="37">
        <v>1</v>
      </c>
      <c r="AE17" s="5">
        <f t="shared" si="3"/>
        <v>0</v>
      </c>
      <c r="AF17" s="5">
        <f t="shared" si="4"/>
        <v>0</v>
      </c>
    </row>
    <row r="18" spans="1:32" x14ac:dyDescent="0.4">
      <c r="A18" s="37"/>
      <c r="B18" s="6"/>
      <c r="C18" s="37"/>
      <c r="D18" s="6"/>
      <c r="E18" s="6"/>
      <c r="F18" s="5">
        <f t="shared" si="5"/>
        <v>0</v>
      </c>
      <c r="G18" s="5">
        <f t="shared" si="6"/>
        <v>0</v>
      </c>
      <c r="H18" s="5" t="str">
        <f t="shared" si="7"/>
        <v/>
      </c>
      <c r="I18" s="37"/>
      <c r="J18" s="5">
        <f t="shared" si="14"/>
        <v>0</v>
      </c>
      <c r="K18" s="5">
        <f t="shared" si="15"/>
        <v>0</v>
      </c>
      <c r="L18" s="6">
        <v>0</v>
      </c>
      <c r="M18" s="5">
        <f t="shared" si="0"/>
        <v>0</v>
      </c>
      <c r="N18" s="6">
        <v>1</v>
      </c>
      <c r="O18" s="5">
        <f t="shared" si="1"/>
        <v>0</v>
      </c>
      <c r="P18" s="6">
        <v>1</v>
      </c>
      <c r="Q18" s="5">
        <f t="shared" si="2"/>
        <v>0</v>
      </c>
      <c r="R18" s="6">
        <v>0</v>
      </c>
      <c r="S18" s="5"/>
      <c r="T18" s="6">
        <v>0</v>
      </c>
      <c r="U18" s="5"/>
      <c r="V18" s="6">
        <v>0</v>
      </c>
      <c r="W18" s="5"/>
      <c r="X18" s="37"/>
      <c r="Y18" s="6">
        <v>1</v>
      </c>
      <c r="Z18" s="5">
        <f t="shared" si="10"/>
        <v>0</v>
      </c>
      <c r="AA18" s="5">
        <f t="shared" si="11"/>
        <v>0</v>
      </c>
      <c r="AB18" s="5">
        <f t="shared" si="12"/>
        <v>0</v>
      </c>
      <c r="AC18" s="5">
        <f t="shared" si="13"/>
        <v>0</v>
      </c>
      <c r="AD18" s="37">
        <v>1</v>
      </c>
      <c r="AE18" s="5">
        <f t="shared" si="3"/>
        <v>0</v>
      </c>
      <c r="AF18" s="5">
        <f t="shared" si="4"/>
        <v>0</v>
      </c>
    </row>
    <row r="19" spans="1:32" x14ac:dyDescent="0.4">
      <c r="A19" s="37"/>
      <c r="B19" s="6"/>
      <c r="C19" s="37"/>
      <c r="D19" s="6"/>
      <c r="E19" s="6"/>
      <c r="F19" s="5">
        <f t="shared" si="5"/>
        <v>0</v>
      </c>
      <c r="G19" s="5">
        <f t="shared" si="6"/>
        <v>0</v>
      </c>
      <c r="H19" s="5" t="str">
        <f t="shared" si="7"/>
        <v/>
      </c>
      <c r="I19" s="37"/>
      <c r="J19" s="5">
        <f t="shared" si="14"/>
        <v>0</v>
      </c>
      <c r="K19" s="5">
        <f t="shared" si="15"/>
        <v>0</v>
      </c>
      <c r="L19" s="6">
        <v>0</v>
      </c>
      <c r="M19" s="5">
        <f t="shared" si="0"/>
        <v>0</v>
      </c>
      <c r="N19" s="6">
        <v>1</v>
      </c>
      <c r="O19" s="5">
        <f t="shared" si="1"/>
        <v>0</v>
      </c>
      <c r="P19" s="6">
        <v>1</v>
      </c>
      <c r="Q19" s="5">
        <f t="shared" si="2"/>
        <v>0</v>
      </c>
      <c r="R19" s="6">
        <v>0</v>
      </c>
      <c r="S19" s="5"/>
      <c r="T19" s="6">
        <v>0</v>
      </c>
      <c r="U19" s="5"/>
      <c r="V19" s="6">
        <v>0</v>
      </c>
      <c r="W19" s="5"/>
      <c r="X19" s="37"/>
      <c r="Y19" s="6">
        <v>1</v>
      </c>
      <c r="Z19" s="5">
        <f t="shared" si="10"/>
        <v>0</v>
      </c>
      <c r="AA19" s="5">
        <f t="shared" si="11"/>
        <v>0</v>
      </c>
      <c r="AB19" s="5">
        <f t="shared" si="12"/>
        <v>0</v>
      </c>
      <c r="AC19" s="5">
        <f t="shared" si="13"/>
        <v>0</v>
      </c>
      <c r="AD19" s="37">
        <v>1</v>
      </c>
      <c r="AE19" s="5">
        <f t="shared" si="3"/>
        <v>0</v>
      </c>
      <c r="AF19" s="5">
        <f t="shared" si="4"/>
        <v>0</v>
      </c>
    </row>
    <row r="20" spans="1:32" x14ac:dyDescent="0.4">
      <c r="A20" s="37"/>
      <c r="B20" s="6"/>
      <c r="C20" s="37"/>
      <c r="D20" s="6"/>
      <c r="E20" s="6"/>
      <c r="F20" s="5">
        <f t="shared" si="5"/>
        <v>0</v>
      </c>
      <c r="G20" s="5">
        <f t="shared" si="6"/>
        <v>0</v>
      </c>
      <c r="H20" s="5" t="str">
        <f t="shared" si="7"/>
        <v/>
      </c>
      <c r="I20" s="37"/>
      <c r="J20" s="5">
        <f t="shared" si="14"/>
        <v>0</v>
      </c>
      <c r="K20" s="5">
        <f t="shared" si="15"/>
        <v>0</v>
      </c>
      <c r="L20" s="6">
        <v>0</v>
      </c>
      <c r="M20" s="5">
        <f t="shared" si="0"/>
        <v>0</v>
      </c>
      <c r="N20" s="6">
        <v>1</v>
      </c>
      <c r="O20" s="5">
        <f t="shared" si="1"/>
        <v>0</v>
      </c>
      <c r="P20" s="6">
        <v>1</v>
      </c>
      <c r="Q20" s="5">
        <f t="shared" si="2"/>
        <v>0</v>
      </c>
      <c r="R20" s="6">
        <v>0</v>
      </c>
      <c r="S20" s="5"/>
      <c r="T20" s="6">
        <v>0</v>
      </c>
      <c r="U20" s="5"/>
      <c r="V20" s="6">
        <v>0</v>
      </c>
      <c r="W20" s="5"/>
      <c r="X20" s="37"/>
      <c r="Y20" s="6">
        <v>1</v>
      </c>
      <c r="Z20" s="5">
        <f t="shared" si="10"/>
        <v>0</v>
      </c>
      <c r="AA20" s="5">
        <f t="shared" si="11"/>
        <v>0</v>
      </c>
      <c r="AB20" s="5">
        <f t="shared" si="12"/>
        <v>0</v>
      </c>
      <c r="AC20" s="5">
        <f t="shared" si="13"/>
        <v>0</v>
      </c>
      <c r="AD20" s="37">
        <v>1</v>
      </c>
      <c r="AE20" s="5">
        <f t="shared" si="3"/>
        <v>0</v>
      </c>
      <c r="AF20" s="5">
        <f t="shared" si="4"/>
        <v>0</v>
      </c>
    </row>
    <row r="21" spans="1:32" x14ac:dyDescent="0.4">
      <c r="A21" s="37"/>
      <c r="B21" s="6"/>
      <c r="C21" s="37"/>
      <c r="D21" s="6"/>
      <c r="E21" s="6"/>
      <c r="F21" s="5">
        <f t="shared" si="5"/>
        <v>0</v>
      </c>
      <c r="G21" s="5">
        <f t="shared" si="6"/>
        <v>0</v>
      </c>
      <c r="H21" s="5" t="str">
        <f t="shared" si="7"/>
        <v/>
      </c>
      <c r="I21" s="37"/>
      <c r="J21" s="5">
        <f t="shared" si="14"/>
        <v>0</v>
      </c>
      <c r="K21" s="5">
        <f t="shared" si="15"/>
        <v>0</v>
      </c>
      <c r="L21" s="6">
        <v>0</v>
      </c>
      <c r="M21" s="5">
        <f t="shared" si="0"/>
        <v>0</v>
      </c>
      <c r="N21" s="6">
        <v>1</v>
      </c>
      <c r="O21" s="5">
        <f t="shared" si="1"/>
        <v>0</v>
      </c>
      <c r="P21" s="6">
        <v>1</v>
      </c>
      <c r="Q21" s="5">
        <f t="shared" si="2"/>
        <v>0</v>
      </c>
      <c r="R21" s="6">
        <v>0</v>
      </c>
      <c r="S21" s="5"/>
      <c r="T21" s="6">
        <v>0</v>
      </c>
      <c r="U21" s="5"/>
      <c r="V21" s="6">
        <v>0</v>
      </c>
      <c r="W21" s="5"/>
      <c r="X21" s="37"/>
      <c r="Y21" s="6">
        <v>1</v>
      </c>
      <c r="Z21" s="5">
        <f t="shared" si="10"/>
        <v>0</v>
      </c>
      <c r="AA21" s="5">
        <f t="shared" si="11"/>
        <v>0</v>
      </c>
      <c r="AB21" s="5">
        <f t="shared" si="12"/>
        <v>0</v>
      </c>
      <c r="AC21" s="5">
        <f t="shared" si="13"/>
        <v>0</v>
      </c>
      <c r="AD21" s="37">
        <v>1</v>
      </c>
      <c r="AE21" s="5">
        <f t="shared" si="3"/>
        <v>0</v>
      </c>
      <c r="AF21" s="5">
        <f t="shared" si="4"/>
        <v>0</v>
      </c>
    </row>
    <row r="22" spans="1:32" x14ac:dyDescent="0.4">
      <c r="A22" s="37"/>
      <c r="B22" s="6"/>
      <c r="C22" s="37"/>
      <c r="D22" s="6"/>
      <c r="E22" s="6"/>
      <c r="F22" s="5">
        <f t="shared" si="5"/>
        <v>0</v>
      </c>
      <c r="G22" s="5">
        <f t="shared" si="6"/>
        <v>0</v>
      </c>
      <c r="H22" s="5" t="str">
        <f t="shared" si="7"/>
        <v/>
      </c>
      <c r="I22" s="37"/>
      <c r="J22" s="5">
        <f t="shared" si="14"/>
        <v>0</v>
      </c>
      <c r="K22" s="5">
        <f t="shared" si="15"/>
        <v>0</v>
      </c>
      <c r="L22" s="6">
        <v>0</v>
      </c>
      <c r="M22" s="5">
        <f t="shared" si="0"/>
        <v>0</v>
      </c>
      <c r="N22" s="6">
        <v>1</v>
      </c>
      <c r="O22" s="5">
        <f t="shared" si="1"/>
        <v>0</v>
      </c>
      <c r="P22" s="6">
        <v>1</v>
      </c>
      <c r="Q22" s="5">
        <f t="shared" si="2"/>
        <v>0</v>
      </c>
      <c r="R22" s="6">
        <v>0</v>
      </c>
      <c r="S22" s="5"/>
      <c r="T22" s="6">
        <v>0</v>
      </c>
      <c r="U22" s="5"/>
      <c r="V22" s="6">
        <v>0</v>
      </c>
      <c r="W22" s="5"/>
      <c r="X22" s="37"/>
      <c r="Y22" s="6">
        <v>1</v>
      </c>
      <c r="Z22" s="5">
        <f t="shared" si="10"/>
        <v>0</v>
      </c>
      <c r="AA22" s="5">
        <f t="shared" si="11"/>
        <v>0</v>
      </c>
      <c r="AB22" s="5">
        <f t="shared" si="12"/>
        <v>0</v>
      </c>
      <c r="AC22" s="5">
        <f t="shared" si="13"/>
        <v>0</v>
      </c>
      <c r="AD22" s="37">
        <v>1</v>
      </c>
      <c r="AE22" s="5">
        <f t="shared" si="3"/>
        <v>0</v>
      </c>
      <c r="AF22" s="5">
        <f t="shared" si="4"/>
        <v>0</v>
      </c>
    </row>
    <row r="23" spans="1:32" x14ac:dyDescent="0.4">
      <c r="A23" s="37"/>
      <c r="B23" s="6"/>
      <c r="C23" s="37"/>
      <c r="D23" s="6"/>
      <c r="E23" s="6"/>
      <c r="F23" s="5">
        <f t="shared" si="5"/>
        <v>0</v>
      </c>
      <c r="G23" s="5">
        <f t="shared" si="6"/>
        <v>0</v>
      </c>
      <c r="H23" s="5" t="str">
        <f t="shared" si="7"/>
        <v/>
      </c>
      <c r="I23" s="37"/>
      <c r="J23" s="5">
        <f t="shared" si="14"/>
        <v>0</v>
      </c>
      <c r="K23" s="5">
        <f t="shared" si="15"/>
        <v>0</v>
      </c>
      <c r="L23" s="6">
        <v>0</v>
      </c>
      <c r="M23" s="5">
        <f t="shared" si="0"/>
        <v>0</v>
      </c>
      <c r="N23" s="6">
        <v>1</v>
      </c>
      <c r="O23" s="5">
        <f t="shared" si="1"/>
        <v>0</v>
      </c>
      <c r="P23" s="6">
        <v>1</v>
      </c>
      <c r="Q23" s="5">
        <f t="shared" si="2"/>
        <v>0</v>
      </c>
      <c r="R23" s="6">
        <v>0</v>
      </c>
      <c r="S23" s="5"/>
      <c r="T23" s="6">
        <v>0</v>
      </c>
      <c r="U23" s="5"/>
      <c r="V23" s="6">
        <v>0</v>
      </c>
      <c r="W23" s="5"/>
      <c r="X23" s="37"/>
      <c r="Y23" s="6">
        <v>1</v>
      </c>
      <c r="Z23" s="5">
        <f t="shared" si="10"/>
        <v>0</v>
      </c>
      <c r="AA23" s="5">
        <f t="shared" si="11"/>
        <v>0</v>
      </c>
      <c r="AB23" s="5">
        <f t="shared" si="12"/>
        <v>0</v>
      </c>
      <c r="AC23" s="5">
        <f t="shared" si="13"/>
        <v>0</v>
      </c>
      <c r="AD23" s="37">
        <v>1</v>
      </c>
      <c r="AE23" s="5">
        <f t="shared" si="3"/>
        <v>0</v>
      </c>
      <c r="AF23" s="5">
        <f t="shared" si="4"/>
        <v>0</v>
      </c>
    </row>
    <row r="24" spans="1:32" x14ac:dyDescent="0.4">
      <c r="A24" s="37"/>
      <c r="B24" s="6"/>
      <c r="C24" s="37"/>
      <c r="D24" s="6"/>
      <c r="E24" s="6"/>
      <c r="F24" s="5">
        <f t="shared" si="5"/>
        <v>0</v>
      </c>
      <c r="G24" s="5">
        <f t="shared" si="6"/>
        <v>0</v>
      </c>
      <c r="H24" s="5" t="str">
        <f t="shared" si="7"/>
        <v/>
      </c>
      <c r="I24" s="37"/>
      <c r="J24" s="5">
        <f t="shared" si="14"/>
        <v>0</v>
      </c>
      <c r="K24" s="5">
        <f t="shared" si="15"/>
        <v>0</v>
      </c>
      <c r="L24" s="6">
        <v>0</v>
      </c>
      <c r="M24" s="5">
        <f t="shared" si="0"/>
        <v>0</v>
      </c>
      <c r="N24" s="6">
        <v>1</v>
      </c>
      <c r="O24" s="5">
        <f t="shared" si="1"/>
        <v>0</v>
      </c>
      <c r="P24" s="6">
        <v>1</v>
      </c>
      <c r="Q24" s="5">
        <f t="shared" si="2"/>
        <v>0</v>
      </c>
      <c r="R24" s="6">
        <v>0</v>
      </c>
      <c r="S24" s="5"/>
      <c r="T24" s="6">
        <v>0</v>
      </c>
      <c r="U24" s="5"/>
      <c r="V24" s="6">
        <v>0</v>
      </c>
      <c r="W24" s="5"/>
      <c r="X24" s="37"/>
      <c r="Y24" s="6">
        <v>1</v>
      </c>
      <c r="Z24" s="5">
        <f t="shared" si="10"/>
        <v>0</v>
      </c>
      <c r="AA24" s="5">
        <f t="shared" si="11"/>
        <v>0</v>
      </c>
      <c r="AB24" s="5">
        <f t="shared" si="12"/>
        <v>0</v>
      </c>
      <c r="AC24" s="5">
        <f t="shared" si="13"/>
        <v>0</v>
      </c>
      <c r="AD24" s="37">
        <v>1</v>
      </c>
      <c r="AE24" s="5">
        <f t="shared" si="3"/>
        <v>0</v>
      </c>
      <c r="AF24" s="5">
        <f t="shared" si="4"/>
        <v>0</v>
      </c>
    </row>
    <row r="25" spans="1:32" x14ac:dyDescent="0.4">
      <c r="A25" s="37"/>
      <c r="B25" s="6"/>
      <c r="C25" s="37"/>
      <c r="D25" s="6"/>
      <c r="E25" s="6"/>
      <c r="F25" s="5">
        <f t="shared" si="5"/>
        <v>0</v>
      </c>
      <c r="G25" s="5">
        <f t="shared" si="6"/>
        <v>0</v>
      </c>
      <c r="H25" s="5" t="str">
        <f t="shared" si="7"/>
        <v/>
      </c>
      <c r="I25" s="37"/>
      <c r="J25" s="5">
        <f t="shared" si="14"/>
        <v>0</v>
      </c>
      <c r="K25" s="5">
        <f t="shared" si="15"/>
        <v>0</v>
      </c>
      <c r="L25" s="6">
        <v>0</v>
      </c>
      <c r="M25" s="5">
        <f t="shared" si="0"/>
        <v>0</v>
      </c>
      <c r="N25" s="6">
        <v>1</v>
      </c>
      <c r="O25" s="5">
        <f t="shared" si="1"/>
        <v>0</v>
      </c>
      <c r="P25" s="6">
        <v>1</v>
      </c>
      <c r="Q25" s="5">
        <f t="shared" si="2"/>
        <v>0</v>
      </c>
      <c r="R25" s="6">
        <v>0</v>
      </c>
      <c r="S25" s="5"/>
      <c r="T25" s="6">
        <v>0</v>
      </c>
      <c r="U25" s="5"/>
      <c r="V25" s="6">
        <v>0</v>
      </c>
      <c r="W25" s="5"/>
      <c r="X25" s="37"/>
      <c r="Y25" s="6">
        <v>1</v>
      </c>
      <c r="Z25" s="5">
        <f t="shared" si="10"/>
        <v>0</v>
      </c>
      <c r="AA25" s="5">
        <f t="shared" si="11"/>
        <v>0</v>
      </c>
      <c r="AB25" s="5">
        <f t="shared" si="12"/>
        <v>0</v>
      </c>
      <c r="AC25" s="5">
        <f t="shared" si="13"/>
        <v>0</v>
      </c>
      <c r="AD25" s="37">
        <v>1</v>
      </c>
      <c r="AE25" s="5">
        <f t="shared" si="3"/>
        <v>0</v>
      </c>
      <c r="AF25" s="5">
        <f t="shared" si="4"/>
        <v>0</v>
      </c>
    </row>
    <row r="26" spans="1:32" x14ac:dyDescent="0.4">
      <c r="A26" s="37"/>
      <c r="B26" s="6"/>
      <c r="C26" s="37"/>
      <c r="D26" s="6"/>
      <c r="E26" s="6"/>
      <c r="F26" s="5">
        <f t="shared" si="5"/>
        <v>0</v>
      </c>
      <c r="G26" s="5">
        <f t="shared" si="6"/>
        <v>0</v>
      </c>
      <c r="H26" s="5" t="str">
        <f t="shared" si="7"/>
        <v/>
      </c>
      <c r="I26" s="37"/>
      <c r="J26" s="5">
        <f t="shared" si="14"/>
        <v>0</v>
      </c>
      <c r="K26" s="5">
        <f t="shared" si="15"/>
        <v>0</v>
      </c>
      <c r="L26" s="6">
        <v>0</v>
      </c>
      <c r="M26" s="5">
        <f t="shared" si="0"/>
        <v>0</v>
      </c>
      <c r="N26" s="6">
        <v>1</v>
      </c>
      <c r="O26" s="5">
        <f t="shared" si="1"/>
        <v>0</v>
      </c>
      <c r="P26" s="6">
        <v>1</v>
      </c>
      <c r="Q26" s="5">
        <f t="shared" si="2"/>
        <v>0</v>
      </c>
      <c r="R26" s="6">
        <v>0</v>
      </c>
      <c r="S26" s="5"/>
      <c r="T26" s="6">
        <v>0</v>
      </c>
      <c r="U26" s="5"/>
      <c r="V26" s="6">
        <v>0</v>
      </c>
      <c r="W26" s="5"/>
      <c r="X26" s="37"/>
      <c r="Y26" s="6">
        <v>1</v>
      </c>
      <c r="Z26" s="5">
        <f t="shared" si="10"/>
        <v>0</v>
      </c>
      <c r="AA26" s="5">
        <f t="shared" si="11"/>
        <v>0</v>
      </c>
      <c r="AB26" s="5">
        <f t="shared" si="12"/>
        <v>0</v>
      </c>
      <c r="AC26" s="5">
        <f t="shared" si="13"/>
        <v>0</v>
      </c>
      <c r="AD26" s="37">
        <v>1</v>
      </c>
      <c r="AE26" s="5">
        <f t="shared" si="3"/>
        <v>0</v>
      </c>
      <c r="AF26" s="5">
        <f t="shared" si="4"/>
        <v>0</v>
      </c>
    </row>
    <row r="27" spans="1:32" x14ac:dyDescent="0.4">
      <c r="A27" s="37"/>
      <c r="B27" s="6"/>
      <c r="C27" s="37"/>
      <c r="D27" s="6"/>
      <c r="E27" s="6"/>
      <c r="F27" s="5">
        <f t="shared" si="5"/>
        <v>0</v>
      </c>
      <c r="G27" s="5">
        <f t="shared" si="6"/>
        <v>0</v>
      </c>
      <c r="H27" s="5" t="str">
        <f t="shared" si="7"/>
        <v/>
      </c>
      <c r="I27" s="37"/>
      <c r="J27" s="5">
        <f t="shared" si="14"/>
        <v>0</v>
      </c>
      <c r="K27" s="5">
        <f t="shared" si="15"/>
        <v>0</v>
      </c>
      <c r="L27" s="6">
        <v>0</v>
      </c>
      <c r="M27" s="5">
        <f t="shared" si="0"/>
        <v>0</v>
      </c>
      <c r="N27" s="6">
        <v>1</v>
      </c>
      <c r="O27" s="5">
        <f t="shared" si="1"/>
        <v>0</v>
      </c>
      <c r="P27" s="6">
        <v>1</v>
      </c>
      <c r="Q27" s="5">
        <f t="shared" si="2"/>
        <v>0</v>
      </c>
      <c r="R27" s="6">
        <v>0</v>
      </c>
      <c r="S27" s="5"/>
      <c r="T27" s="6">
        <v>0</v>
      </c>
      <c r="U27" s="5"/>
      <c r="V27" s="6">
        <v>0</v>
      </c>
      <c r="W27" s="5"/>
      <c r="X27" s="37"/>
      <c r="Y27" s="6">
        <v>1</v>
      </c>
      <c r="Z27" s="5">
        <f t="shared" si="10"/>
        <v>0</v>
      </c>
      <c r="AA27" s="5">
        <f t="shared" si="11"/>
        <v>0</v>
      </c>
      <c r="AB27" s="5">
        <f t="shared" si="12"/>
        <v>0</v>
      </c>
      <c r="AC27" s="5">
        <f t="shared" si="13"/>
        <v>0</v>
      </c>
      <c r="AD27" s="37">
        <v>1</v>
      </c>
      <c r="AE27" s="5">
        <f t="shared" si="3"/>
        <v>0</v>
      </c>
      <c r="AF27" s="5">
        <f t="shared" si="4"/>
        <v>0</v>
      </c>
    </row>
    <row r="28" spans="1:32" x14ac:dyDescent="0.4">
      <c r="A28" s="37"/>
      <c r="B28" s="6"/>
      <c r="C28" s="37"/>
      <c r="D28" s="6"/>
      <c r="E28" s="6"/>
      <c r="F28" s="5">
        <f t="shared" si="5"/>
        <v>0</v>
      </c>
      <c r="G28" s="5">
        <f t="shared" si="6"/>
        <v>0</v>
      </c>
      <c r="H28" s="5" t="str">
        <f t="shared" si="7"/>
        <v/>
      </c>
      <c r="I28" s="37"/>
      <c r="J28" s="5">
        <f t="shared" si="14"/>
        <v>0</v>
      </c>
      <c r="K28" s="5">
        <f t="shared" si="15"/>
        <v>0</v>
      </c>
      <c r="L28" s="6">
        <v>0</v>
      </c>
      <c r="M28" s="5">
        <f t="shared" si="0"/>
        <v>0</v>
      </c>
      <c r="N28" s="6">
        <v>1</v>
      </c>
      <c r="O28" s="5">
        <f t="shared" si="1"/>
        <v>0</v>
      </c>
      <c r="P28" s="6">
        <v>1</v>
      </c>
      <c r="Q28" s="5">
        <f t="shared" si="2"/>
        <v>0</v>
      </c>
      <c r="R28" s="6">
        <v>0</v>
      </c>
      <c r="S28" s="5"/>
      <c r="T28" s="6">
        <v>0</v>
      </c>
      <c r="U28" s="5"/>
      <c r="V28" s="6">
        <v>0</v>
      </c>
      <c r="W28" s="5"/>
      <c r="X28" s="37"/>
      <c r="Y28" s="6">
        <v>1</v>
      </c>
      <c r="Z28" s="5">
        <f t="shared" si="10"/>
        <v>0</v>
      </c>
      <c r="AA28" s="5">
        <f t="shared" si="11"/>
        <v>0</v>
      </c>
      <c r="AB28" s="5">
        <f t="shared" si="12"/>
        <v>0</v>
      </c>
      <c r="AC28" s="5">
        <f t="shared" si="13"/>
        <v>0</v>
      </c>
      <c r="AD28" s="37">
        <v>1</v>
      </c>
      <c r="AE28" s="5">
        <f t="shared" si="3"/>
        <v>0</v>
      </c>
      <c r="AF28" s="5">
        <f t="shared" si="4"/>
        <v>0</v>
      </c>
    </row>
    <row r="29" spans="1:32" x14ac:dyDescent="0.4">
      <c r="A29" s="37"/>
      <c r="B29" s="6"/>
      <c r="C29" s="37"/>
      <c r="D29" s="6"/>
      <c r="E29" s="6"/>
      <c r="F29" s="5">
        <f t="shared" si="5"/>
        <v>0</v>
      </c>
      <c r="G29" s="5">
        <f t="shared" si="6"/>
        <v>0</v>
      </c>
      <c r="H29" s="5" t="str">
        <f t="shared" si="7"/>
        <v/>
      </c>
      <c r="I29" s="37"/>
      <c r="J29" s="5">
        <f t="shared" si="14"/>
        <v>0</v>
      </c>
      <c r="K29" s="5">
        <f t="shared" si="15"/>
        <v>0</v>
      </c>
      <c r="L29" s="6">
        <v>0</v>
      </c>
      <c r="M29" s="5">
        <f t="shared" si="0"/>
        <v>0</v>
      </c>
      <c r="N29" s="6">
        <v>1</v>
      </c>
      <c r="O29" s="5">
        <f t="shared" si="1"/>
        <v>0</v>
      </c>
      <c r="P29" s="6">
        <v>1</v>
      </c>
      <c r="Q29" s="5">
        <f t="shared" si="2"/>
        <v>0</v>
      </c>
      <c r="R29" s="6">
        <v>0</v>
      </c>
      <c r="S29" s="5"/>
      <c r="T29" s="6">
        <v>0</v>
      </c>
      <c r="U29" s="5"/>
      <c r="V29" s="6">
        <v>0</v>
      </c>
      <c r="W29" s="5"/>
      <c r="X29" s="37"/>
      <c r="Y29" s="6">
        <v>1</v>
      </c>
      <c r="Z29" s="5">
        <f t="shared" si="10"/>
        <v>0</v>
      </c>
      <c r="AA29" s="5">
        <f t="shared" si="11"/>
        <v>0</v>
      </c>
      <c r="AB29" s="5">
        <f t="shared" si="12"/>
        <v>0</v>
      </c>
      <c r="AC29" s="5">
        <f t="shared" si="13"/>
        <v>0</v>
      </c>
      <c r="AD29" s="37">
        <v>1</v>
      </c>
      <c r="AE29" s="5">
        <f t="shared" si="3"/>
        <v>0</v>
      </c>
      <c r="AF29" s="5">
        <f t="shared" si="4"/>
        <v>0</v>
      </c>
    </row>
    <row r="30" spans="1:32" x14ac:dyDescent="0.4">
      <c r="A30" s="37"/>
      <c r="B30" s="6"/>
      <c r="C30" s="37"/>
      <c r="D30" s="6"/>
      <c r="E30" s="6"/>
      <c r="F30" s="5">
        <f t="shared" si="5"/>
        <v>0</v>
      </c>
      <c r="G30" s="5">
        <f t="shared" si="6"/>
        <v>0</v>
      </c>
      <c r="H30" s="5" t="str">
        <f t="shared" si="7"/>
        <v/>
      </c>
      <c r="I30" s="37"/>
      <c r="J30" s="5">
        <f t="shared" si="14"/>
        <v>0</v>
      </c>
      <c r="K30" s="5">
        <f t="shared" si="15"/>
        <v>0</v>
      </c>
      <c r="L30" s="6">
        <v>0</v>
      </c>
      <c r="M30" s="5">
        <f t="shared" si="0"/>
        <v>0</v>
      </c>
      <c r="N30" s="6">
        <v>1</v>
      </c>
      <c r="O30" s="5">
        <f t="shared" si="1"/>
        <v>0</v>
      </c>
      <c r="P30" s="6">
        <v>1</v>
      </c>
      <c r="Q30" s="5">
        <f t="shared" si="2"/>
        <v>0</v>
      </c>
      <c r="R30" s="6">
        <v>0</v>
      </c>
      <c r="S30" s="5"/>
      <c r="T30" s="6">
        <v>0</v>
      </c>
      <c r="U30" s="5"/>
      <c r="V30" s="6">
        <v>0</v>
      </c>
      <c r="W30" s="5"/>
      <c r="X30" s="37"/>
      <c r="Y30" s="6">
        <v>1</v>
      </c>
      <c r="Z30" s="5">
        <f t="shared" si="10"/>
        <v>0</v>
      </c>
      <c r="AA30" s="5">
        <f t="shared" si="11"/>
        <v>0</v>
      </c>
      <c r="AB30" s="5">
        <f t="shared" si="12"/>
        <v>0</v>
      </c>
      <c r="AC30" s="5">
        <f t="shared" si="13"/>
        <v>0</v>
      </c>
      <c r="AD30" s="37">
        <v>1</v>
      </c>
      <c r="AE30" s="5">
        <f t="shared" si="3"/>
        <v>0</v>
      </c>
      <c r="AF30" s="5">
        <f t="shared" si="4"/>
        <v>0</v>
      </c>
    </row>
    <row r="31" spans="1:32" ht="5.25" customHeight="1" x14ac:dyDescent="0.4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</row>
  </sheetData>
  <mergeCells count="10">
    <mergeCell ref="AE1:AF1"/>
    <mergeCell ref="AD1:AD2"/>
    <mergeCell ref="A1:A2"/>
    <mergeCell ref="B1:B2"/>
    <mergeCell ref="C1:C2"/>
    <mergeCell ref="I1:K1"/>
    <mergeCell ref="X1:X2"/>
    <mergeCell ref="Y1:AC1"/>
    <mergeCell ref="D1:H1"/>
    <mergeCell ref="L1:W1"/>
  </mergeCells>
  <phoneticPr fontId="1" type="noConversion"/>
  <conditionalFormatting sqref="A4:A30">
    <cfRule type="expression" dxfId="4" priority="6">
      <formula>_xlfn.ISFORMULA(A4)</formula>
    </cfRule>
  </conditionalFormatting>
  <conditionalFormatting sqref="C4:C30">
    <cfRule type="expression" dxfId="3" priority="5">
      <formula>_xlfn.ISFORMULA(C4)</formula>
    </cfRule>
  </conditionalFormatting>
  <conditionalFormatting sqref="I4:I30">
    <cfRule type="expression" dxfId="2" priority="3">
      <formula>_xlfn.ISFORMULA(I4)</formula>
    </cfRule>
  </conditionalFormatting>
  <conditionalFormatting sqref="X4:X30">
    <cfRule type="expression" dxfId="1" priority="2">
      <formula>_xlfn.ISFORMULA(X4)</formula>
    </cfRule>
  </conditionalFormatting>
  <conditionalFormatting sqref="AD4:AD30">
    <cfRule type="expression" dxfId="0" priority="1">
      <formula>_xlfn.ISFORMULA(AD4)</formula>
    </cfRule>
  </conditionalFormatting>
  <dataValidations count="1">
    <dataValidation type="list" allowBlank="1" showInputMessage="1" showErrorMessage="1" sqref="C4:C30" xr:uid="{3AD1C5DE-8EA3-440C-937D-1BEB1DB1463D}">
      <formula1>"SP,TP,DP,TCAM,REG"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>
    <tabColor rgb="FF00B0F0"/>
  </sheetPr>
  <dimension ref="A1:P36"/>
  <sheetViews>
    <sheetView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F41" sqref="F41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38</v>
      </c>
      <c r="C1" s="2" t="s">
        <v>39</v>
      </c>
      <c r="D1" s="7"/>
      <c r="M1" s="9" t="s">
        <v>49</v>
      </c>
    </row>
    <row r="2" spans="1:13" x14ac:dyDescent="0.4">
      <c r="C2" s="7"/>
      <c r="D2" s="7"/>
    </row>
    <row r="3" spans="1:13" x14ac:dyDescent="0.4">
      <c r="C3" s="7"/>
      <c r="D3" s="7"/>
    </row>
    <row r="4" spans="1:13" ht="17.649999999999999" x14ac:dyDescent="0.4">
      <c r="A4" s="4" t="s">
        <v>25</v>
      </c>
    </row>
    <row r="5" spans="1:13" x14ac:dyDescent="0.4">
      <c r="B5" s="1" t="s">
        <v>4</v>
      </c>
      <c r="C5" s="1" t="s">
        <v>22</v>
      </c>
      <c r="D5" s="1" t="s">
        <v>32</v>
      </c>
      <c r="E5" s="1" t="s">
        <v>11</v>
      </c>
      <c r="F5" s="1" t="s">
        <v>40</v>
      </c>
      <c r="G5" s="1"/>
      <c r="H5" s="1"/>
      <c r="I5" s="1"/>
      <c r="J5" s="1"/>
      <c r="K5" s="1"/>
      <c r="L5" s="1"/>
      <c r="M5" s="1"/>
    </row>
    <row r="6" spans="1:13" x14ac:dyDescent="0.4">
      <c r="B6" s="2"/>
      <c r="C6" s="2">
        <v>3</v>
      </c>
      <c r="D6" s="2">
        <v>1</v>
      </c>
      <c r="E6" s="2">
        <v>512</v>
      </c>
      <c r="F6" s="2">
        <v>1</v>
      </c>
      <c r="G6" s="2"/>
      <c r="H6" s="2"/>
      <c r="I6" s="2"/>
      <c r="J6" s="2"/>
      <c r="K6" s="2"/>
      <c r="L6" s="2"/>
      <c r="M6" s="2"/>
    </row>
    <row r="9" spans="1:13" ht="17.649999999999999" x14ac:dyDescent="0.4">
      <c r="A9" s="4" t="s">
        <v>51</v>
      </c>
    </row>
    <row r="10" spans="1:13" x14ac:dyDescent="0.4">
      <c r="B10" s="1" t="s">
        <v>4</v>
      </c>
      <c r="C10" s="1" t="s">
        <v>22</v>
      </c>
      <c r="D10" s="1" t="s">
        <v>10</v>
      </c>
      <c r="E10" s="1" t="s">
        <v>11</v>
      </c>
      <c r="F10" s="1" t="s">
        <v>40</v>
      </c>
      <c r="G10" s="1" t="s">
        <v>52</v>
      </c>
      <c r="H10" s="1" t="s">
        <v>53</v>
      </c>
      <c r="I10" s="1" t="s">
        <v>54</v>
      </c>
      <c r="J10" s="12" t="s">
        <v>5</v>
      </c>
      <c r="K10" s="1"/>
      <c r="L10" s="1"/>
      <c r="M10" s="1"/>
    </row>
    <row r="11" spans="1:13" x14ac:dyDescent="0.4">
      <c r="B11" s="2"/>
      <c r="C11" s="2">
        <v>4</v>
      </c>
      <c r="D11" s="2">
        <v>1</v>
      </c>
      <c r="E11" s="2">
        <v>512</v>
      </c>
      <c r="F11" s="2">
        <v>1</v>
      </c>
      <c r="G11" s="2">
        <v>1</v>
      </c>
      <c r="H11" s="2">
        <v>2</v>
      </c>
      <c r="I11" s="2">
        <v>3</v>
      </c>
      <c r="J11" s="11" t="s">
        <v>55</v>
      </c>
      <c r="K11" s="2"/>
      <c r="L11" s="2"/>
      <c r="M11" s="2"/>
    </row>
    <row r="14" spans="1:13" ht="17.649999999999999" x14ac:dyDescent="0.4">
      <c r="A14" s="4" t="s">
        <v>35</v>
      </c>
    </row>
    <row r="15" spans="1:13" x14ac:dyDescent="0.4">
      <c r="B15" s="1" t="s">
        <v>4</v>
      </c>
      <c r="C15" s="1" t="s">
        <v>22</v>
      </c>
      <c r="D15" s="1" t="s">
        <v>32</v>
      </c>
      <c r="E15" s="1" t="s">
        <v>11</v>
      </c>
      <c r="F15" s="1" t="s">
        <v>16</v>
      </c>
      <c r="G15" s="1" t="s">
        <v>41</v>
      </c>
      <c r="H15" s="1" t="s">
        <v>43</v>
      </c>
      <c r="I15" s="1" t="s">
        <v>25</v>
      </c>
      <c r="J15" s="1" t="s">
        <v>26</v>
      </c>
      <c r="K15" s="1"/>
      <c r="L15" s="1"/>
      <c r="M15" s="1"/>
    </row>
    <row r="16" spans="1:13" x14ac:dyDescent="0.4">
      <c r="B16" s="2" t="s">
        <v>58</v>
      </c>
      <c r="C16" s="2">
        <v>3</v>
      </c>
      <c r="D16" s="2">
        <v>4</v>
      </c>
      <c r="E16" s="2">
        <v>1024</v>
      </c>
      <c r="F16" s="2">
        <v>25</v>
      </c>
      <c r="G16" s="2" t="s">
        <v>42</v>
      </c>
      <c r="H16" s="2">
        <v>4</v>
      </c>
      <c r="I16" s="2">
        <v>1</v>
      </c>
      <c r="J16" s="2" t="b">
        <v>1</v>
      </c>
      <c r="K16" s="2"/>
      <c r="L16" s="2"/>
      <c r="M16" s="2"/>
    </row>
    <row r="19" spans="1:16" ht="17.649999999999999" x14ac:dyDescent="0.4">
      <c r="A19" s="4" t="s">
        <v>33</v>
      </c>
    </row>
    <row r="20" spans="1:16" x14ac:dyDescent="0.4">
      <c r="B20" s="1" t="s">
        <v>4</v>
      </c>
      <c r="C20" s="1" t="s">
        <v>22</v>
      </c>
      <c r="D20" s="1" t="s">
        <v>32</v>
      </c>
      <c r="E20" s="1" t="s">
        <v>11</v>
      </c>
      <c r="F20" s="1" t="s">
        <v>16</v>
      </c>
      <c r="G20" s="1" t="s">
        <v>12</v>
      </c>
      <c r="H20" s="1" t="s">
        <v>44</v>
      </c>
      <c r="I20" s="1"/>
      <c r="J20" s="1"/>
      <c r="K20" s="1"/>
      <c r="L20" s="1"/>
      <c r="M20" s="1"/>
    </row>
    <row r="21" spans="1:16" x14ac:dyDescent="0.4">
      <c r="B21" s="2" t="s">
        <v>59</v>
      </c>
      <c r="C21" s="2">
        <v>3</v>
      </c>
      <c r="D21" s="2">
        <v>2</v>
      </c>
      <c r="E21" s="2">
        <v>2048</v>
      </c>
      <c r="F21" s="2">
        <v>25</v>
      </c>
      <c r="G21" s="2">
        <v>8</v>
      </c>
      <c r="H21" s="2">
        <v>4</v>
      </c>
      <c r="I21" s="2"/>
      <c r="J21" s="2"/>
      <c r="K21" s="2"/>
      <c r="L21" s="2"/>
      <c r="M21" s="2"/>
    </row>
    <row r="24" spans="1:16" ht="17.649999999999999" x14ac:dyDescent="0.4">
      <c r="A24" s="4" t="s">
        <v>34</v>
      </c>
    </row>
    <row r="25" spans="1:16" x14ac:dyDescent="0.4">
      <c r="B25" s="1" t="s">
        <v>4</v>
      </c>
      <c r="C25" s="1" t="s">
        <v>22</v>
      </c>
      <c r="D25" s="1" t="s">
        <v>32</v>
      </c>
      <c r="E25" s="1" t="s">
        <v>11</v>
      </c>
      <c r="F25" s="1" t="s">
        <v>12</v>
      </c>
      <c r="G25" s="1" t="s">
        <v>50</v>
      </c>
      <c r="H25" s="1" t="s">
        <v>24</v>
      </c>
      <c r="I25" s="1" t="s">
        <v>13</v>
      </c>
      <c r="J25" s="1" t="s">
        <v>23</v>
      </c>
      <c r="K25" s="1"/>
      <c r="L25" s="1"/>
      <c r="M25" s="1"/>
    </row>
    <row r="26" spans="1:16" x14ac:dyDescent="0.4">
      <c r="B26" s="2" t="s">
        <v>125</v>
      </c>
      <c r="C26" s="2">
        <v>3</v>
      </c>
      <c r="D26" s="2">
        <v>2</v>
      </c>
      <c r="E26" s="2">
        <v>2048</v>
      </c>
      <c r="F26" s="2">
        <v>16</v>
      </c>
      <c r="G26" s="2" t="s">
        <v>42</v>
      </c>
      <c r="H26" s="2">
        <v>32</v>
      </c>
      <c r="I26" s="2" t="b">
        <v>1</v>
      </c>
      <c r="J26" s="2">
        <v>1</v>
      </c>
      <c r="K26" s="2"/>
      <c r="L26" s="2"/>
      <c r="M26" s="2"/>
    </row>
    <row r="29" spans="1:16" ht="17.649999999999999" x14ac:dyDescent="0.4">
      <c r="A29" s="4" t="s">
        <v>36</v>
      </c>
    </row>
    <row r="30" spans="1:16" x14ac:dyDescent="0.4">
      <c r="B30" s="1" t="s">
        <v>4</v>
      </c>
      <c r="C30" s="1" t="s">
        <v>28</v>
      </c>
      <c r="D30" s="1" t="s">
        <v>32</v>
      </c>
      <c r="E30" s="1" t="s">
        <v>5</v>
      </c>
      <c r="F30" s="1" t="s">
        <v>1</v>
      </c>
      <c r="G30" s="1" t="s">
        <v>27</v>
      </c>
      <c r="H30" s="1" t="s">
        <v>2</v>
      </c>
      <c r="I30" s="1" t="s">
        <v>0</v>
      </c>
      <c r="J30" s="1" t="s">
        <v>3</v>
      </c>
      <c r="K30" s="1" t="s">
        <v>6</v>
      </c>
      <c r="L30" s="1" t="s">
        <v>7</v>
      </c>
      <c r="M30" s="1" t="s">
        <v>8</v>
      </c>
      <c r="N30" s="1" t="s">
        <v>10</v>
      </c>
      <c r="O30" s="1" t="s">
        <v>9</v>
      </c>
      <c r="P30" s="1" t="s">
        <v>60</v>
      </c>
    </row>
    <row r="31" spans="1:16" x14ac:dyDescent="0.4">
      <c r="B31" s="2" t="s">
        <v>124</v>
      </c>
      <c r="C31" s="2">
        <v>6</v>
      </c>
      <c r="D31" s="2">
        <v>6</v>
      </c>
      <c r="E31" s="2" t="s">
        <v>57</v>
      </c>
      <c r="F31" s="2">
        <v>8</v>
      </c>
      <c r="G31" s="2">
        <v>0</v>
      </c>
      <c r="H31" s="2">
        <v>6</v>
      </c>
      <c r="I31" s="2">
        <v>2</v>
      </c>
      <c r="J31" s="2">
        <v>2</v>
      </c>
      <c r="K31" s="3">
        <f>F31*H31*I31*(J31+1)</f>
        <v>288</v>
      </c>
      <c r="L31" s="3">
        <f>H31*(J31+1)</f>
        <v>18</v>
      </c>
      <c r="M31" s="3">
        <f>IF(E31="RRDPA",CEILING(LOG(MAX(F31,H31),2),1)*I31*J31,IF(E31="BDPA",(CEILING(LOG(F31,2),1)+F31*CEILING(LOG(H31,2),1))*I31*J31,IF(E31="EIAA",(H31*CEILING(LOG(F31,2),1)+F31*CEILING(LOG(H31,2),1))*I31*J31,0)))</f>
        <v>108</v>
      </c>
      <c r="N31" s="2">
        <v>1</v>
      </c>
      <c r="O31" s="3">
        <f>(K31+L31+M31+IF(P31&gt;0,CEILING(LOG(P31,2),1),0)*F31*H31)*N31</f>
        <v>414</v>
      </c>
      <c r="P31" s="2">
        <v>0</v>
      </c>
    </row>
    <row r="34" spans="1:13" ht="17.649999999999999" x14ac:dyDescent="0.4">
      <c r="A34" s="4" t="s">
        <v>37</v>
      </c>
    </row>
    <row r="35" spans="1:13" x14ac:dyDescent="0.4">
      <c r="B35" s="1" t="s">
        <v>4</v>
      </c>
      <c r="C35" s="1" t="s">
        <v>22</v>
      </c>
      <c r="D35" s="1" t="s">
        <v>32</v>
      </c>
      <c r="E35" s="1" t="s">
        <v>29</v>
      </c>
      <c r="F35" s="1" t="s">
        <v>30</v>
      </c>
      <c r="G35" s="1" t="s">
        <v>31</v>
      </c>
      <c r="H35" s="1"/>
      <c r="I35" s="1"/>
      <c r="J35" s="1"/>
      <c r="K35" s="1"/>
      <c r="L35" s="1"/>
      <c r="M35" s="1"/>
    </row>
    <row r="36" spans="1:13" x14ac:dyDescent="0.4">
      <c r="B36" s="2"/>
      <c r="C36" s="2">
        <v>6</v>
      </c>
      <c r="D36" s="2"/>
      <c r="E36" s="2">
        <v>12</v>
      </c>
      <c r="F36" s="2">
        <v>5</v>
      </c>
      <c r="G36" s="2">
        <v>6</v>
      </c>
      <c r="H36" s="2"/>
      <c r="I36" s="2"/>
      <c r="J36" s="2"/>
      <c r="K36" s="2"/>
      <c r="L36" s="2"/>
      <c r="M36" s="2"/>
    </row>
  </sheetData>
  <phoneticPr fontId="1" type="noConversion"/>
  <dataValidations count="9">
    <dataValidation type="list" showInputMessage="1" showErrorMessage="1" sqref="E31" xr:uid="{9F40F0B9-21A3-400A-8238-8B96C7F869A1}">
      <formula1>"SPDPA,RRDPA,BDPA,EIAA"</formula1>
    </dataValidation>
    <dataValidation type="whole" showInputMessage="1" showErrorMessage="1" sqref="N31 F31 H31:J31" xr:uid="{4E2318B6-493B-45F0-989C-60D9F76C3EA4}">
      <formula1>1</formula1>
      <formula2>1024</formula2>
    </dataValidation>
    <dataValidation type="whole" operator="greaterThanOrEqual" allowBlank="1" showInputMessage="1" showErrorMessage="1" sqref="C6:F6 C31:D31 C21:G21 C26:F26 C16:F16 H16 H26 C11:I11" xr:uid="{DFB266BC-50B3-4AD8-9736-2F6E173EB946}">
      <formula1>1</formula1>
    </dataValidation>
    <dataValidation type="whole" operator="greaterThanOrEqual" allowBlank="1" showInputMessage="1" showErrorMessage="1" sqref="I16 H21 J26" xr:uid="{27AEC03D-837E-47D9-85C1-CF0CE3D2284A}">
      <formula1>0</formula1>
    </dataValidation>
    <dataValidation type="list" allowBlank="1" showInputMessage="1" showErrorMessage="1" sqref="G16" xr:uid="{9AD5CDC8-46A2-44C5-BDD4-F691DE87678D}">
      <formula1>"SP,TP"</formula1>
    </dataValidation>
    <dataValidation type="list" allowBlank="1" showInputMessage="1" showErrorMessage="1" sqref="J16 I26" xr:uid="{98F56995-F533-4235-B8AE-A3F40AC386D7}">
      <formula1>"TRUE,FALSE"</formula1>
    </dataValidation>
    <dataValidation type="list" allowBlank="1" showInputMessage="1" showErrorMessage="1" sqref="G26" xr:uid="{6E4119CC-6A3A-4891-8831-413BA47AA4BA}">
      <formula1>"SP,TP,REG"</formula1>
    </dataValidation>
    <dataValidation type="list" allowBlank="1" showInputMessage="1" showErrorMessage="1" sqref="J11" xr:uid="{D4716A4B-4A2B-45DE-AB90-E9D8E084CF34}">
      <formula1>"REG,TP,DP"</formula1>
    </dataValidation>
    <dataValidation type="whole" showInputMessage="1" showErrorMessage="1" sqref="P31 G31" xr:uid="{EF164968-FBE2-4D55-B994-22A7B4BA2F43}">
      <formula1>0</formula1>
      <formula2>1024</formula2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25</xdr:row>
                    <xdr:rowOff>4763</xdr:rowOff>
                  </from>
                  <to>
                    <xdr:col>0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15</xdr:row>
                    <xdr:rowOff>4763</xdr:rowOff>
                  </from>
                  <to>
                    <xdr:col>0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30</xdr:row>
                    <xdr:rowOff>19050</xdr:rowOff>
                  </from>
                  <to>
                    <xdr:col>0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35</xdr:row>
                    <xdr:rowOff>4763</xdr:rowOff>
                  </from>
                  <to>
                    <xdr:col>0</xdr:col>
                    <xdr:colOff>495300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5</xdr:row>
                    <xdr:rowOff>4763</xdr:rowOff>
                  </from>
                  <to>
                    <xdr:col>0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20</xdr:row>
                    <xdr:rowOff>4763</xdr:rowOff>
                  </from>
                  <to>
                    <xdr:col>0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10</xdr:row>
                    <xdr:rowOff>4763</xdr:rowOff>
                  </from>
                  <to>
                    <xdr:col>0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62365-5C6E-45DA-A23B-2C9114D7E4A5}">
  <sheetPr codeName="Sheet5"/>
  <dimension ref="A2:J36"/>
  <sheetViews>
    <sheetView workbookViewId="0">
      <selection activeCell="G5" sqref="G5"/>
    </sheetView>
  </sheetViews>
  <sheetFormatPr defaultRowHeight="13.9" x14ac:dyDescent="0.4"/>
  <cols>
    <col min="2" max="2" width="8.6640625" customWidth="1"/>
    <col min="3" max="3" width="13.796875" customWidth="1"/>
    <col min="4" max="4" width="5.6640625" bestFit="1" customWidth="1"/>
    <col min="5" max="6" width="9.796875" bestFit="1" customWidth="1"/>
  </cols>
  <sheetData>
    <row r="2" spans="1:7" x14ac:dyDescent="0.4">
      <c r="A2" s="1" t="s">
        <v>63</v>
      </c>
      <c r="B2" s="1" t="s">
        <v>64</v>
      </c>
      <c r="C2" s="1" t="s">
        <v>62</v>
      </c>
      <c r="D2" s="1" t="s">
        <v>75</v>
      </c>
      <c r="E2" s="1" t="s">
        <v>61</v>
      </c>
      <c r="F2" s="1" t="s">
        <v>73</v>
      </c>
      <c r="G2" s="1" t="s">
        <v>74</v>
      </c>
    </row>
    <row r="3" spans="1:7" x14ac:dyDescent="0.4">
      <c r="A3" s="13">
        <v>0</v>
      </c>
      <c r="B3" s="14"/>
      <c r="C3" s="14" t="s">
        <v>65</v>
      </c>
      <c r="D3" s="14">
        <v>3</v>
      </c>
      <c r="E3" s="14">
        <v>4</v>
      </c>
      <c r="F3" s="15">
        <f>IF(D3&lt;&gt;"",CEILING(LOG(SUMIFS(E3:E25,B3:B25,A3)+1,2),1),"")</f>
        <v>3</v>
      </c>
      <c r="G3" s="15"/>
    </row>
    <row r="4" spans="1:7" x14ac:dyDescent="0.4">
      <c r="A4" s="13">
        <v>1</v>
      </c>
      <c r="B4" s="14"/>
      <c r="C4" s="14"/>
      <c r="D4" s="14"/>
      <c r="E4" s="14"/>
      <c r="F4" s="15" t="str">
        <f>IF(D4&lt;&gt;"",CEILING(LOG(SUMIFS(E4:E26,B4:B26,A4)+1,2),1),"")</f>
        <v/>
      </c>
      <c r="G4" s="15"/>
    </row>
    <row r="5" spans="1:7" x14ac:dyDescent="0.4">
      <c r="A5" s="13">
        <v>2</v>
      </c>
      <c r="B5" s="14"/>
      <c r="C5" s="14"/>
      <c r="D5" s="14"/>
      <c r="E5" s="14"/>
      <c r="F5" s="15" t="str">
        <f>IF(D5&lt;&gt;"",CEILING(LOG(SUMIFS(E5:E27,B5:B27,A5)+1,2),1),"")</f>
        <v/>
      </c>
      <c r="G5" s="15"/>
    </row>
    <row r="6" spans="1:7" x14ac:dyDescent="0.4">
      <c r="A6" s="13">
        <v>3</v>
      </c>
      <c r="B6" s="14">
        <v>0</v>
      </c>
      <c r="C6" s="14" t="s">
        <v>66</v>
      </c>
      <c r="D6" s="14"/>
      <c r="E6" s="14">
        <v>1</v>
      </c>
      <c r="F6" s="15" t="str">
        <f>IF(D6&lt;&gt;"",CEILING(LOG(SUMIFS(E6:E28,B6:B28,A6)+1,2),1),"")</f>
        <v/>
      </c>
      <c r="G6" s="15"/>
    </row>
    <row r="7" spans="1:7" x14ac:dyDescent="0.4">
      <c r="A7" s="13">
        <v>4</v>
      </c>
      <c r="B7" s="14">
        <v>3</v>
      </c>
      <c r="C7" s="14" t="s">
        <v>70</v>
      </c>
      <c r="D7" s="14">
        <v>4</v>
      </c>
      <c r="E7" s="14">
        <v>1</v>
      </c>
      <c r="F7" s="15">
        <f>IF(D7&lt;&gt;"",CEILING(LOG(SUMIFS(E7:E29,B7:B29,A7)+1,2),1),"")</f>
        <v>1</v>
      </c>
      <c r="G7" s="15"/>
    </row>
    <row r="8" spans="1:7" x14ac:dyDescent="0.4">
      <c r="A8" s="13">
        <v>5</v>
      </c>
      <c r="B8" s="14">
        <v>4</v>
      </c>
      <c r="C8" s="14" t="s">
        <v>77</v>
      </c>
      <c r="D8" s="14">
        <v>5</v>
      </c>
      <c r="E8" s="14">
        <v>1</v>
      </c>
      <c r="F8" s="15"/>
      <c r="G8" s="15"/>
    </row>
    <row r="9" spans="1:7" x14ac:dyDescent="0.4">
      <c r="A9" s="13">
        <v>6</v>
      </c>
      <c r="B9" s="14">
        <v>3</v>
      </c>
      <c r="C9" s="14" t="s">
        <v>71</v>
      </c>
      <c r="D9" s="14">
        <v>4</v>
      </c>
      <c r="E9" s="14">
        <v>4</v>
      </c>
      <c r="F9" s="15">
        <f t="shared" ref="F9:F25" si="0">IF(D9&lt;&gt;"",CEILING(LOG(SUMIFS(E9:E30,B9:B30,A9)+1,2),1),"")</f>
        <v>0</v>
      </c>
      <c r="G9" s="15"/>
    </row>
    <row r="10" spans="1:7" x14ac:dyDescent="0.4">
      <c r="A10" s="13">
        <v>7</v>
      </c>
      <c r="B10" s="14">
        <v>5</v>
      </c>
      <c r="C10" s="14" t="s">
        <v>72</v>
      </c>
      <c r="D10" s="14">
        <v>5</v>
      </c>
      <c r="E10" s="14">
        <f>4096-1</f>
        <v>4095</v>
      </c>
      <c r="F10" s="15">
        <f t="shared" si="0"/>
        <v>0</v>
      </c>
      <c r="G10" s="15"/>
    </row>
    <row r="11" spans="1:7" x14ac:dyDescent="0.4">
      <c r="A11" s="13">
        <v>8</v>
      </c>
      <c r="B11" s="14"/>
      <c r="C11" s="14"/>
      <c r="D11" s="14"/>
      <c r="E11" s="14"/>
      <c r="F11" s="15" t="str">
        <f t="shared" si="0"/>
        <v/>
      </c>
      <c r="G11" s="15"/>
    </row>
    <row r="12" spans="1:7" x14ac:dyDescent="0.4">
      <c r="A12" s="13">
        <v>9</v>
      </c>
      <c r="B12" s="14">
        <v>0</v>
      </c>
      <c r="C12" s="14" t="s">
        <v>67</v>
      </c>
      <c r="D12" s="14"/>
      <c r="E12" s="14">
        <v>1</v>
      </c>
      <c r="F12" s="15" t="str">
        <f t="shared" si="0"/>
        <v/>
      </c>
      <c r="G12" s="15"/>
    </row>
    <row r="13" spans="1:7" x14ac:dyDescent="0.4">
      <c r="A13" s="13">
        <v>10</v>
      </c>
      <c r="B13" s="14">
        <v>9</v>
      </c>
      <c r="C13" s="14" t="s">
        <v>78</v>
      </c>
      <c r="D13" s="14">
        <v>4</v>
      </c>
      <c r="E13" s="14">
        <v>1</v>
      </c>
      <c r="F13" s="15">
        <f t="shared" si="0"/>
        <v>1</v>
      </c>
      <c r="G13" s="15"/>
    </row>
    <row r="14" spans="1:7" x14ac:dyDescent="0.4">
      <c r="A14" s="13">
        <v>11</v>
      </c>
      <c r="B14" s="14">
        <v>10</v>
      </c>
      <c r="C14" s="14" t="s">
        <v>79</v>
      </c>
      <c r="D14" s="14">
        <v>5</v>
      </c>
      <c r="E14" s="14">
        <v>1</v>
      </c>
      <c r="F14" s="15">
        <f t="shared" si="0"/>
        <v>0</v>
      </c>
      <c r="G14" s="15"/>
    </row>
    <row r="15" spans="1:7" x14ac:dyDescent="0.4">
      <c r="A15" s="13">
        <v>12</v>
      </c>
      <c r="B15" s="14">
        <v>9</v>
      </c>
      <c r="C15" s="14" t="s">
        <v>80</v>
      </c>
      <c r="D15" s="14">
        <v>4</v>
      </c>
      <c r="E15" s="14">
        <v>4</v>
      </c>
      <c r="F15" s="15">
        <f t="shared" si="0"/>
        <v>12</v>
      </c>
      <c r="G15" s="15"/>
    </row>
    <row r="16" spans="1:7" x14ac:dyDescent="0.4">
      <c r="A16" s="13">
        <v>13</v>
      </c>
      <c r="B16" s="14">
        <v>12</v>
      </c>
      <c r="C16" s="14" t="s">
        <v>81</v>
      </c>
      <c r="D16" s="14">
        <v>5</v>
      </c>
      <c r="E16" s="14">
        <v>4095</v>
      </c>
      <c r="F16" s="15">
        <f t="shared" si="0"/>
        <v>0</v>
      </c>
      <c r="G16" s="15"/>
    </row>
    <row r="17" spans="1:10" x14ac:dyDescent="0.4">
      <c r="A17" s="13">
        <v>14</v>
      </c>
      <c r="B17" s="14"/>
      <c r="C17" s="14"/>
      <c r="D17" s="14"/>
      <c r="E17" s="14"/>
      <c r="F17" s="15" t="str">
        <f t="shared" si="0"/>
        <v/>
      </c>
      <c r="G17" s="15"/>
    </row>
    <row r="18" spans="1:10" x14ac:dyDescent="0.4">
      <c r="A18" s="13">
        <v>15</v>
      </c>
      <c r="B18" s="14">
        <v>0</v>
      </c>
      <c r="C18" s="14" t="s">
        <v>68</v>
      </c>
      <c r="D18" s="14"/>
      <c r="E18" s="14">
        <v>1</v>
      </c>
      <c r="F18" s="15" t="str">
        <f t="shared" si="0"/>
        <v/>
      </c>
      <c r="G18" s="15"/>
    </row>
    <row r="19" spans="1:10" x14ac:dyDescent="0.4">
      <c r="A19" s="13">
        <v>16</v>
      </c>
      <c r="B19" s="14">
        <v>15</v>
      </c>
      <c r="C19" s="14" t="s">
        <v>82</v>
      </c>
      <c r="D19" s="14">
        <v>4</v>
      </c>
      <c r="E19" s="14">
        <v>1</v>
      </c>
      <c r="F19" s="15">
        <f t="shared" si="0"/>
        <v>1</v>
      </c>
      <c r="G19" s="15"/>
    </row>
    <row r="20" spans="1:10" x14ac:dyDescent="0.4">
      <c r="A20" s="13">
        <v>17</v>
      </c>
      <c r="B20" s="14">
        <v>16</v>
      </c>
      <c r="C20" s="14" t="s">
        <v>83</v>
      </c>
      <c r="D20" s="14">
        <v>5</v>
      </c>
      <c r="E20" s="14">
        <v>1</v>
      </c>
      <c r="F20" s="15">
        <f t="shared" si="0"/>
        <v>0</v>
      </c>
      <c r="G20" s="15"/>
    </row>
    <row r="21" spans="1:10" x14ac:dyDescent="0.4">
      <c r="A21" s="13">
        <v>18</v>
      </c>
      <c r="B21" s="14">
        <v>15</v>
      </c>
      <c r="C21" s="14" t="s">
        <v>80</v>
      </c>
      <c r="D21" s="14">
        <v>4</v>
      </c>
      <c r="E21" s="14">
        <v>4</v>
      </c>
      <c r="F21" s="15">
        <f t="shared" si="0"/>
        <v>12</v>
      </c>
      <c r="G21" s="15"/>
    </row>
    <row r="22" spans="1:10" x14ac:dyDescent="0.4">
      <c r="A22" s="13">
        <v>19</v>
      </c>
      <c r="B22" s="14">
        <v>18</v>
      </c>
      <c r="C22" s="14" t="s">
        <v>84</v>
      </c>
      <c r="D22" s="14">
        <v>5</v>
      </c>
      <c r="E22" s="14">
        <v>4095</v>
      </c>
      <c r="F22" s="15">
        <f t="shared" si="0"/>
        <v>0</v>
      </c>
      <c r="G22" s="15"/>
    </row>
    <row r="23" spans="1:10" x14ac:dyDescent="0.4">
      <c r="A23" s="13">
        <v>20</v>
      </c>
      <c r="B23" s="14"/>
      <c r="C23" s="14"/>
      <c r="D23" s="14"/>
      <c r="E23" s="14"/>
      <c r="F23" s="15" t="str">
        <f t="shared" si="0"/>
        <v/>
      </c>
      <c r="G23" s="15"/>
    </row>
    <row r="24" spans="1:10" x14ac:dyDescent="0.4">
      <c r="A24" s="13">
        <v>21</v>
      </c>
      <c r="B24" s="14">
        <v>0</v>
      </c>
      <c r="C24" s="14" t="s">
        <v>69</v>
      </c>
      <c r="D24" s="14"/>
      <c r="E24" s="14">
        <v>1</v>
      </c>
      <c r="F24" s="15" t="str">
        <f t="shared" si="0"/>
        <v/>
      </c>
      <c r="G24" s="15"/>
    </row>
    <row r="25" spans="1:10" x14ac:dyDescent="0.4">
      <c r="A25" s="13">
        <v>22</v>
      </c>
      <c r="B25" s="14"/>
      <c r="C25" s="14"/>
      <c r="D25" s="14"/>
      <c r="E25" s="14"/>
      <c r="F25" s="15" t="str">
        <f t="shared" si="0"/>
        <v/>
      </c>
      <c r="G25" s="15"/>
    </row>
    <row r="29" spans="1:10" x14ac:dyDescent="0.4">
      <c r="I29" s="1" t="s">
        <v>76</v>
      </c>
      <c r="J29" s="1" t="s">
        <v>74</v>
      </c>
    </row>
    <row r="30" spans="1:10" x14ac:dyDescent="0.4">
      <c r="I30" s="13">
        <v>0</v>
      </c>
      <c r="J30" s="15"/>
    </row>
    <row r="31" spans="1:10" x14ac:dyDescent="0.4">
      <c r="I31" s="13">
        <v>1</v>
      </c>
      <c r="J31" s="15">
        <f t="shared" ref="J31:J36" si="1">CEILING(LOG(SUMIFS(CPY_NUM_RNG,STAGE_RNG,I31)+1,2),1)</f>
        <v>0</v>
      </c>
    </row>
    <row r="32" spans="1:10" x14ac:dyDescent="0.4">
      <c r="I32" s="13">
        <v>2</v>
      </c>
      <c r="J32" s="15">
        <f t="shared" si="1"/>
        <v>0</v>
      </c>
    </row>
    <row r="33" spans="9:10" x14ac:dyDescent="0.4">
      <c r="I33" s="13">
        <v>3</v>
      </c>
      <c r="J33" s="15">
        <f t="shared" si="1"/>
        <v>3</v>
      </c>
    </row>
    <row r="34" spans="9:10" x14ac:dyDescent="0.4">
      <c r="I34" s="13">
        <v>4</v>
      </c>
      <c r="J34" s="15">
        <f t="shared" si="1"/>
        <v>4</v>
      </c>
    </row>
    <row r="35" spans="9:10" x14ac:dyDescent="0.4">
      <c r="I35" s="13">
        <v>5</v>
      </c>
      <c r="J35" s="15">
        <f t="shared" si="1"/>
        <v>14</v>
      </c>
    </row>
    <row r="36" spans="9:10" x14ac:dyDescent="0.4">
      <c r="I36" s="13">
        <v>6</v>
      </c>
      <c r="J36" s="15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926F-5DAB-4806-BAE0-9FD77C116118}">
  <sheetPr codeName="Sheet6">
    <tabColor theme="1" tint="4.9989318521683403E-2"/>
  </sheetPr>
  <dimension ref="A1:E9"/>
  <sheetViews>
    <sheetView workbookViewId="0">
      <selection activeCell="E12" sqref="E12"/>
    </sheetView>
  </sheetViews>
  <sheetFormatPr defaultRowHeight="13.9" x14ac:dyDescent="0.4"/>
  <cols>
    <col min="1" max="1" width="21.59765625" customWidth="1"/>
    <col min="2" max="2" width="10.796875" customWidth="1"/>
    <col min="3" max="3" width="45.59765625" customWidth="1"/>
    <col min="4" max="4" width="19.73046875" customWidth="1"/>
    <col min="5" max="5" width="32.06640625" customWidth="1"/>
  </cols>
  <sheetData>
    <row r="1" spans="1:5" x14ac:dyDescent="0.4">
      <c r="A1" s="1" t="s">
        <v>63</v>
      </c>
      <c r="B1" s="1" t="s">
        <v>87</v>
      </c>
      <c r="C1" s="1" t="s">
        <v>14</v>
      </c>
      <c r="D1" s="1" t="s">
        <v>85</v>
      </c>
      <c r="E1" s="1"/>
    </row>
    <row r="2" spans="1:5" x14ac:dyDescent="0.4">
      <c r="A2" s="13" t="s">
        <v>86</v>
      </c>
      <c r="B2" s="16" t="s">
        <v>88</v>
      </c>
      <c r="C2" s="16"/>
      <c r="D2" s="17" t="s">
        <v>98</v>
      </c>
      <c r="E2" s="14"/>
    </row>
    <row r="3" spans="1:5" x14ac:dyDescent="0.4">
      <c r="A3" s="13" t="s">
        <v>89</v>
      </c>
      <c r="B3" s="16" t="s">
        <v>88</v>
      </c>
      <c r="C3" s="16"/>
      <c r="D3" s="17" t="s">
        <v>99</v>
      </c>
      <c r="E3" s="14"/>
    </row>
    <row r="4" spans="1:5" x14ac:dyDescent="0.4">
      <c r="A4" s="13" t="s">
        <v>90</v>
      </c>
      <c r="B4" s="16"/>
      <c r="C4" s="16"/>
      <c r="D4" s="14" t="s">
        <v>91</v>
      </c>
      <c r="E4" s="14"/>
    </row>
    <row r="5" spans="1:5" x14ac:dyDescent="0.4">
      <c r="A5" s="13" t="s">
        <v>92</v>
      </c>
      <c r="B5" s="16" t="s">
        <v>93</v>
      </c>
      <c r="C5" s="16"/>
      <c r="D5" s="17" t="s">
        <v>94</v>
      </c>
      <c r="E5" s="14"/>
    </row>
    <row r="6" spans="1:5" x14ac:dyDescent="0.4">
      <c r="A6" s="13" t="s">
        <v>97</v>
      </c>
      <c r="B6" s="16" t="s">
        <v>93</v>
      </c>
      <c r="C6" s="16"/>
      <c r="D6" s="14">
        <v>180</v>
      </c>
      <c r="E6" s="14"/>
    </row>
    <row r="7" spans="1:5" x14ac:dyDescent="0.4">
      <c r="A7" s="13" t="s">
        <v>95</v>
      </c>
      <c r="B7" s="16" t="s">
        <v>96</v>
      </c>
      <c r="C7" s="16"/>
      <c r="D7" s="14">
        <v>1800</v>
      </c>
      <c r="E7" s="14"/>
    </row>
    <row r="8" spans="1:5" x14ac:dyDescent="0.4">
      <c r="A8" s="13" t="s">
        <v>122</v>
      </c>
      <c r="B8" s="16" t="s">
        <v>123</v>
      </c>
      <c r="C8" s="16"/>
      <c r="D8" s="14">
        <v>2.5099999999999998</v>
      </c>
      <c r="E8" s="14"/>
    </row>
    <row r="9" spans="1:5" x14ac:dyDescent="0.4">
      <c r="A9" s="13" t="s">
        <v>141</v>
      </c>
      <c r="B9" s="16"/>
      <c r="C9" s="16"/>
      <c r="D9" s="33" t="s">
        <v>142</v>
      </c>
      <c r="E9" s="14"/>
    </row>
  </sheetData>
  <phoneticPr fontId="1" type="noConversion"/>
  <hyperlinks>
    <hyperlink ref="D5" r:id="rId1" xr:uid="{17404DD0-02F5-473E-BF6A-0D63CF6EBF0A}"/>
    <hyperlink ref="D2" r:id="rId2" xr:uid="{4AB1ED48-FB86-4371-8F16-9133C31EFBF0}"/>
    <hyperlink ref="D3" r:id="rId3" xr:uid="{384D9679-B5B8-4912-A29B-08FECB7AA84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315F-5832-45CA-83C1-4CED6D114B90}">
  <sheetPr codeName="Sheet9">
    <tabColor rgb="FF7030A0"/>
  </sheetPr>
  <dimension ref="A2:J6"/>
  <sheetViews>
    <sheetView workbookViewId="0">
      <selection activeCell="H20" sqref="H20"/>
    </sheetView>
  </sheetViews>
  <sheetFormatPr defaultRowHeight="13.9" x14ac:dyDescent="0.4"/>
  <sheetData>
    <row r="2" spans="1:10" ht="38.25" customHeight="1" x14ac:dyDescent="0.4">
      <c r="A2" s="50" t="s">
        <v>143</v>
      </c>
      <c r="B2" s="50"/>
      <c r="C2" s="50"/>
      <c r="D2" s="50" t="s">
        <v>144</v>
      </c>
      <c r="E2" s="50"/>
      <c r="F2" s="50"/>
      <c r="G2" s="50" t="s">
        <v>35</v>
      </c>
      <c r="H2" s="50"/>
      <c r="I2" s="50"/>
    </row>
    <row r="3" spans="1:10" ht="25.5" x14ac:dyDescent="0.4">
      <c r="A3" s="32" t="s">
        <v>145</v>
      </c>
      <c r="B3" s="34" t="s">
        <v>146</v>
      </c>
      <c r="C3" s="34"/>
      <c r="D3" s="34" t="s">
        <v>147</v>
      </c>
      <c r="E3" s="34" t="s">
        <v>148</v>
      </c>
      <c r="F3" s="34"/>
      <c r="G3" s="34"/>
      <c r="H3" s="34"/>
      <c r="I3" s="34"/>
      <c r="J3" s="32" t="s">
        <v>149</v>
      </c>
    </row>
    <row r="4" spans="1:10" x14ac:dyDescent="0.4">
      <c r="A4" s="21"/>
      <c r="B4" s="21"/>
      <c r="C4" s="21"/>
      <c r="D4" s="21"/>
      <c r="E4" s="21"/>
      <c r="F4" s="21"/>
      <c r="G4" s="21"/>
      <c r="H4" s="21"/>
      <c r="I4" s="21"/>
      <c r="J4" s="21"/>
    </row>
    <row r="5" spans="1:10" x14ac:dyDescent="0.4">
      <c r="A5" s="21"/>
      <c r="B5" s="21"/>
      <c r="C5" s="21"/>
      <c r="D5" s="21"/>
      <c r="E5" s="21"/>
      <c r="F5" s="21"/>
      <c r="G5" s="21"/>
      <c r="H5" s="21"/>
      <c r="I5" s="21"/>
      <c r="J5" s="21"/>
    </row>
    <row r="6" spans="1:10" x14ac:dyDescent="0.4">
      <c r="A6" s="2">
        <v>64</v>
      </c>
      <c r="B6" s="2">
        <v>64</v>
      </c>
      <c r="C6" s="2">
        <v>64</v>
      </c>
      <c r="D6" s="2">
        <v>64</v>
      </c>
      <c r="E6" s="2">
        <v>64</v>
      </c>
      <c r="F6" s="2">
        <v>64</v>
      </c>
      <c r="G6" s="2">
        <v>64</v>
      </c>
      <c r="H6" s="2"/>
      <c r="I6" s="2">
        <v>64</v>
      </c>
      <c r="J6" s="30">
        <f>A6*(D6+E6)+B6</f>
        <v>8256</v>
      </c>
    </row>
  </sheetData>
  <mergeCells count="3">
    <mergeCell ref="A2:C2"/>
    <mergeCell ref="D2:F2"/>
    <mergeCell ref="G2:I2"/>
  </mergeCells>
  <phoneticPr fontId="1" type="noConversion"/>
  <dataValidations count="1">
    <dataValidation type="textLength" operator="lessThan" allowBlank="1" showInputMessage="1" showErrorMessage="1" sqref="A4:J5" xr:uid="{A0C8EE48-3A27-4E5C-9ACE-9F5EF37CC56A}">
      <formula1>32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699A-D11B-4720-A293-883745E933CF}">
  <sheetPr codeName="Sheet7">
    <tabColor rgb="FF00B050"/>
  </sheetPr>
  <dimension ref="A5:V32"/>
  <sheetViews>
    <sheetView workbookViewId="0">
      <selection activeCell="A5" sqref="A5:B7"/>
    </sheetView>
  </sheetViews>
  <sheetFormatPr defaultRowHeight="13.9" x14ac:dyDescent="0.4"/>
  <cols>
    <col min="1" max="1" width="5.73046875" customWidth="1"/>
    <col min="2" max="2" width="22.46484375" customWidth="1"/>
    <col min="3" max="3" width="17.73046875" customWidth="1"/>
    <col min="5" max="5" width="16.796875" customWidth="1"/>
    <col min="6" max="6" width="9.46484375" customWidth="1"/>
    <col min="7" max="7" width="14.86328125" customWidth="1"/>
    <col min="8" max="8" width="12" bestFit="1" customWidth="1"/>
    <col min="9" max="9" width="14.796875" customWidth="1"/>
    <col min="10" max="10" width="7.33203125" bestFit="1" customWidth="1"/>
    <col min="11" max="11" width="16.265625" customWidth="1"/>
    <col min="17" max="17" width="2.1328125" customWidth="1"/>
    <col min="18" max="18" width="2.06640625" bestFit="1" customWidth="1"/>
    <col min="19" max="19" width="2.265625" customWidth="1"/>
    <col min="20" max="20" width="1.6640625" customWidth="1"/>
    <col min="21" max="21" width="1.73046875" customWidth="1"/>
    <col min="22" max="22" width="2" customWidth="1"/>
  </cols>
  <sheetData>
    <row r="5" spans="1:22" x14ac:dyDescent="0.4">
      <c r="A5" s="41" t="s">
        <v>117</v>
      </c>
      <c r="B5" s="41" t="s">
        <v>101</v>
      </c>
      <c r="C5" s="41" t="s">
        <v>102</v>
      </c>
      <c r="D5" s="50" t="s">
        <v>106</v>
      </c>
      <c r="E5" s="44" t="s">
        <v>107</v>
      </c>
      <c r="F5" s="46"/>
      <c r="G5" s="44" t="s">
        <v>108</v>
      </c>
      <c r="H5" s="46"/>
      <c r="I5" s="44" t="s">
        <v>109</v>
      </c>
      <c r="J5" s="46"/>
      <c r="K5" s="44" t="s">
        <v>110</v>
      </c>
      <c r="L5" s="46"/>
      <c r="M5" s="44" t="s">
        <v>111</v>
      </c>
      <c r="N5" s="46"/>
      <c r="O5" s="44" t="s">
        <v>112</v>
      </c>
      <c r="P5" s="46"/>
      <c r="Q5" s="57" t="s">
        <v>113</v>
      </c>
      <c r="R5" s="58"/>
      <c r="S5" s="58"/>
      <c r="T5" s="58"/>
      <c r="U5" s="58"/>
      <c r="V5" s="59"/>
    </row>
    <row r="6" spans="1:22" ht="25.5" x14ac:dyDescent="0.4">
      <c r="A6" s="41"/>
      <c r="B6" s="41"/>
      <c r="C6" s="41"/>
      <c r="D6" s="50"/>
      <c r="E6" s="1" t="s">
        <v>4</v>
      </c>
      <c r="F6" s="18" t="s">
        <v>106</v>
      </c>
      <c r="G6" s="1" t="s">
        <v>4</v>
      </c>
      <c r="H6" s="18" t="s">
        <v>106</v>
      </c>
      <c r="I6" s="1" t="s">
        <v>4</v>
      </c>
      <c r="J6" s="18" t="s">
        <v>106</v>
      </c>
      <c r="K6" s="1" t="s">
        <v>4</v>
      </c>
      <c r="L6" s="18" t="s">
        <v>106</v>
      </c>
      <c r="M6" s="1" t="s">
        <v>4</v>
      </c>
      <c r="N6" s="18" t="s">
        <v>106</v>
      </c>
      <c r="O6" s="1" t="s">
        <v>4</v>
      </c>
      <c r="P6" s="18" t="s">
        <v>106</v>
      </c>
      <c r="Q6" s="47"/>
      <c r="R6" s="48"/>
      <c r="S6" s="48"/>
      <c r="T6" s="48"/>
      <c r="U6" s="48"/>
      <c r="V6" s="49"/>
    </row>
    <row r="7" spans="1:22" x14ac:dyDescent="0.4">
      <c r="A7" s="2"/>
      <c r="B7" s="2">
        <v>2</v>
      </c>
      <c r="C7" s="19" t="s">
        <v>104</v>
      </c>
      <c r="D7" s="15">
        <f ca="1">OFFSET(D7,,MATCH(C7,E7:O7,0)+1)</f>
        <v>10</v>
      </c>
      <c r="E7" s="21" t="s">
        <v>105</v>
      </c>
      <c r="F7" s="20">
        <v>10</v>
      </c>
      <c r="G7" s="21" t="s">
        <v>114</v>
      </c>
      <c r="H7" s="20">
        <v>4</v>
      </c>
      <c r="I7" s="21"/>
      <c r="J7" s="20"/>
      <c r="K7" s="21"/>
      <c r="L7" s="20"/>
      <c r="M7" s="21"/>
      <c r="N7" s="20"/>
      <c r="O7" s="21"/>
      <c r="P7" s="20"/>
      <c r="Q7" s="22" t="str">
        <f t="shared" ref="Q7:Q12" si="0">IF(E7="","",E7)</f>
        <v>xxx</v>
      </c>
      <c r="R7" s="22" t="str">
        <f t="shared" ref="R7:R12" si="1">IF(G7="","",G7)</f>
        <v>yyy</v>
      </c>
      <c r="S7" s="22" t="str">
        <f t="shared" ref="S7:S12" si="2">IF(I7="","",I7)</f>
        <v/>
      </c>
      <c r="T7" s="22" t="str">
        <f t="shared" ref="T7:T12" si="3">IF(K7="","",K7)</f>
        <v/>
      </c>
      <c r="U7" s="22" t="str">
        <f t="shared" ref="U7:U12" si="4">IF(M7="","",M7)</f>
        <v/>
      </c>
      <c r="V7" s="22" t="str">
        <f t="shared" ref="V7:V12" si="5">IF(O7="","",O7)</f>
        <v/>
      </c>
    </row>
    <row r="8" spans="1:22" x14ac:dyDescent="0.4">
      <c r="A8" s="2">
        <v>2</v>
      </c>
      <c r="B8" s="2" t="s">
        <v>120</v>
      </c>
      <c r="C8" s="19" t="s">
        <v>104</v>
      </c>
      <c r="D8" s="15">
        <f t="shared" ref="D8:D12" ca="1" si="6">OFFSET(D8,,MATCH(C8,E8:O8,0)+1)</f>
        <v>10</v>
      </c>
      <c r="E8" s="21" t="s">
        <v>105</v>
      </c>
      <c r="F8" s="20">
        <v>10</v>
      </c>
      <c r="G8" s="21" t="s">
        <v>114</v>
      </c>
      <c r="H8" s="20">
        <v>4</v>
      </c>
      <c r="I8" s="21"/>
      <c r="J8" s="20"/>
      <c r="K8" s="21"/>
      <c r="L8" s="20"/>
      <c r="M8" s="21"/>
      <c r="N8" s="20"/>
      <c r="O8" s="21"/>
      <c r="P8" s="20"/>
      <c r="Q8" s="22" t="str">
        <f t="shared" si="0"/>
        <v>xxx</v>
      </c>
      <c r="R8" s="22" t="str">
        <f t="shared" si="1"/>
        <v>yyy</v>
      </c>
      <c r="S8" s="22" t="str">
        <f t="shared" si="2"/>
        <v/>
      </c>
      <c r="T8" s="22" t="str">
        <f t="shared" si="3"/>
        <v/>
      </c>
      <c r="U8" s="22" t="str">
        <f t="shared" si="4"/>
        <v/>
      </c>
      <c r="V8" s="22" t="str">
        <f t="shared" si="5"/>
        <v/>
      </c>
    </row>
    <row r="9" spans="1:22" x14ac:dyDescent="0.4">
      <c r="A9" s="2">
        <v>1</v>
      </c>
      <c r="B9" s="2" t="s">
        <v>119</v>
      </c>
      <c r="C9" s="19" t="s">
        <v>104</v>
      </c>
      <c r="D9" s="15">
        <f t="shared" ca="1" si="6"/>
        <v>10</v>
      </c>
      <c r="E9" s="21" t="s">
        <v>105</v>
      </c>
      <c r="F9" s="20">
        <v>10</v>
      </c>
      <c r="G9" s="21" t="s">
        <v>114</v>
      </c>
      <c r="H9" s="20">
        <v>4</v>
      </c>
      <c r="I9" s="21"/>
      <c r="J9" s="20"/>
      <c r="K9" s="21"/>
      <c r="L9" s="20"/>
      <c r="M9" s="21"/>
      <c r="N9" s="20"/>
      <c r="O9" s="21"/>
      <c r="P9" s="20"/>
      <c r="Q9" s="22" t="str">
        <f t="shared" si="0"/>
        <v>xxx</v>
      </c>
      <c r="R9" s="22" t="str">
        <f t="shared" si="1"/>
        <v>yyy</v>
      </c>
      <c r="S9" s="22" t="str">
        <f t="shared" si="2"/>
        <v/>
      </c>
      <c r="T9" s="22" t="str">
        <f t="shared" si="3"/>
        <v/>
      </c>
      <c r="U9" s="22" t="str">
        <f t="shared" si="4"/>
        <v/>
      </c>
      <c r="V9" s="22" t="str">
        <f t="shared" si="5"/>
        <v/>
      </c>
    </row>
    <row r="10" spans="1:22" x14ac:dyDescent="0.4">
      <c r="A10" s="2"/>
      <c r="B10" s="2">
        <v>2</v>
      </c>
      <c r="C10" s="19" t="s">
        <v>104</v>
      </c>
      <c r="D10" s="15">
        <f t="shared" ca="1" si="6"/>
        <v>10</v>
      </c>
      <c r="E10" s="21" t="s">
        <v>105</v>
      </c>
      <c r="F10" s="20">
        <v>10</v>
      </c>
      <c r="G10" s="21" t="s">
        <v>114</v>
      </c>
      <c r="H10" s="20">
        <v>4</v>
      </c>
      <c r="I10" s="21"/>
      <c r="J10" s="20"/>
      <c r="K10" s="21"/>
      <c r="L10" s="20"/>
      <c r="M10" s="21"/>
      <c r="N10" s="20"/>
      <c r="O10" s="21"/>
      <c r="P10" s="20"/>
      <c r="Q10" s="22" t="str">
        <f t="shared" si="0"/>
        <v>xxx</v>
      </c>
      <c r="R10" s="22" t="str">
        <f t="shared" si="1"/>
        <v>yyy</v>
      </c>
      <c r="S10" s="22" t="str">
        <f t="shared" si="2"/>
        <v/>
      </c>
      <c r="T10" s="22" t="str">
        <f t="shared" si="3"/>
        <v/>
      </c>
      <c r="U10" s="22" t="str">
        <f t="shared" si="4"/>
        <v/>
      </c>
      <c r="V10" s="22" t="str">
        <f t="shared" si="5"/>
        <v/>
      </c>
    </row>
    <row r="11" spans="1:22" x14ac:dyDescent="0.4">
      <c r="A11" s="2"/>
      <c r="B11" s="2">
        <v>2</v>
      </c>
      <c r="C11" s="19" t="s">
        <v>104</v>
      </c>
      <c r="D11" s="15">
        <f t="shared" ca="1" si="6"/>
        <v>10</v>
      </c>
      <c r="E11" s="21" t="s">
        <v>105</v>
      </c>
      <c r="F11" s="20">
        <v>10</v>
      </c>
      <c r="G11" s="21" t="s">
        <v>114</v>
      </c>
      <c r="H11" s="20">
        <v>4</v>
      </c>
      <c r="I11" s="21"/>
      <c r="J11" s="20"/>
      <c r="K11" s="21"/>
      <c r="L11" s="20"/>
      <c r="M11" s="21"/>
      <c r="N11" s="20"/>
      <c r="O11" s="21"/>
      <c r="P11" s="20"/>
      <c r="Q11" s="22" t="str">
        <f t="shared" si="0"/>
        <v>xxx</v>
      </c>
      <c r="R11" s="22" t="str">
        <f t="shared" si="1"/>
        <v>yyy</v>
      </c>
      <c r="S11" s="22" t="str">
        <f t="shared" si="2"/>
        <v/>
      </c>
      <c r="T11" s="22" t="str">
        <f t="shared" si="3"/>
        <v/>
      </c>
      <c r="U11" s="22" t="str">
        <f t="shared" si="4"/>
        <v/>
      </c>
      <c r="V11" s="22" t="str">
        <f t="shared" si="5"/>
        <v/>
      </c>
    </row>
    <row r="12" spans="1:22" x14ac:dyDescent="0.4">
      <c r="A12" s="2"/>
      <c r="B12" s="2">
        <v>2</v>
      </c>
      <c r="C12" s="19" t="s">
        <v>104</v>
      </c>
      <c r="D12" s="15">
        <f t="shared" ca="1" si="6"/>
        <v>10</v>
      </c>
      <c r="E12" s="21" t="s">
        <v>105</v>
      </c>
      <c r="F12" s="20">
        <v>10</v>
      </c>
      <c r="G12" s="21" t="s">
        <v>114</v>
      </c>
      <c r="H12" s="20">
        <v>4</v>
      </c>
      <c r="I12" s="21"/>
      <c r="J12" s="20"/>
      <c r="K12" s="21"/>
      <c r="L12" s="20"/>
      <c r="M12" s="21"/>
      <c r="N12" s="20"/>
      <c r="O12" s="21"/>
      <c r="P12" s="20"/>
      <c r="Q12" s="22" t="str">
        <f t="shared" si="0"/>
        <v>xxx</v>
      </c>
      <c r="R12" s="22" t="str">
        <f t="shared" si="1"/>
        <v>yyy</v>
      </c>
      <c r="S12" s="22" t="str">
        <f t="shared" si="2"/>
        <v/>
      </c>
      <c r="T12" s="22" t="str">
        <f t="shared" si="3"/>
        <v/>
      </c>
      <c r="U12" s="22" t="str">
        <f t="shared" si="4"/>
        <v/>
      </c>
      <c r="V12" s="22" t="str">
        <f t="shared" si="5"/>
        <v/>
      </c>
    </row>
    <row r="13" spans="1:22" x14ac:dyDescent="0.4">
      <c r="A13" s="51" t="s">
        <v>118</v>
      </c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3"/>
    </row>
    <row r="17" spans="1:7" x14ac:dyDescent="0.4">
      <c r="A17" s="41" t="s">
        <v>100</v>
      </c>
      <c r="B17" s="50" t="s">
        <v>115</v>
      </c>
      <c r="C17" s="50" t="s">
        <v>116</v>
      </c>
      <c r="D17" s="50" t="s">
        <v>103</v>
      </c>
      <c r="E17" s="54" t="s">
        <v>101</v>
      </c>
      <c r="F17" s="55"/>
      <c r="G17" s="56"/>
    </row>
    <row r="18" spans="1:7" x14ac:dyDescent="0.4">
      <c r="A18" s="41"/>
      <c r="B18" s="50"/>
      <c r="C18" s="50"/>
      <c r="D18" s="50"/>
      <c r="E18" s="18" t="s">
        <v>4</v>
      </c>
      <c r="F18" s="18" t="s">
        <v>117</v>
      </c>
      <c r="G18" s="18" t="s">
        <v>103</v>
      </c>
    </row>
    <row r="19" spans="1:7" x14ac:dyDescent="0.4">
      <c r="A19" s="2"/>
      <c r="B19" s="2"/>
      <c r="C19" s="15">
        <f t="array" aca="1" ref="C19" ca="1">MAX(OFFSET(INDIRECT("R[1]C[1]",),,,MATCH(TRUE,ISBLANK(OFFSET(INDIRECT("R[1]C[2]",),,,1000)),0)))</f>
        <v>30</v>
      </c>
      <c r="D19" s="24"/>
      <c r="E19" s="24"/>
      <c r="F19" s="24"/>
      <c r="G19" s="24"/>
    </row>
    <row r="20" spans="1:7" x14ac:dyDescent="0.4">
      <c r="A20" s="24"/>
      <c r="B20" s="24"/>
      <c r="C20" s="2"/>
      <c r="D20" s="15">
        <f t="array" aca="1" ref="D20" ca="1">SUM(OFFSET(INDIRECT("R[1]C[3]",),,,MATCH(TRUE,ISBLANK(OFFSET(INDIRECT("R[1]C[3]",),,,1000)),0)))</f>
        <v>30</v>
      </c>
      <c r="E20" s="18" t="s">
        <v>121</v>
      </c>
      <c r="F20" s="15">
        <f ca="1">C19-D20</f>
        <v>0</v>
      </c>
      <c r="G20" s="24"/>
    </row>
    <row r="21" spans="1:7" x14ac:dyDescent="0.4">
      <c r="A21" s="24"/>
      <c r="B21" s="24"/>
      <c r="C21" s="24"/>
      <c r="D21" s="24"/>
      <c r="E21" s="15" t="str">
        <f ca="1">IF(F21="","",OFFSET($A$6,MATCH(F21,$A$7:$A$13,0),1))</f>
        <v>hahah</v>
      </c>
      <c r="F21" s="2">
        <v>1</v>
      </c>
      <c r="G21" s="15">
        <f t="shared" ref="G21:G23" ca="1" si="7">IF(F21="","",OFFSET($A$6,MATCH(F21,$A$7:$A$13,0),3))</f>
        <v>10</v>
      </c>
    </row>
    <row r="22" spans="1:7" x14ac:dyDescent="0.4">
      <c r="A22" s="24"/>
      <c r="B22" s="24"/>
      <c r="C22" s="24"/>
      <c r="D22" s="24"/>
      <c r="E22" s="15" t="str">
        <f t="shared" ref="E22:E23" ca="1" si="8">IF(F22="","",OFFSET($A$6,MATCH(F22,$A$7:$A$13,0),1))</f>
        <v>hahah</v>
      </c>
      <c r="F22" s="2">
        <v>1</v>
      </c>
      <c r="G22" s="15">
        <f t="shared" ca="1" si="7"/>
        <v>10</v>
      </c>
    </row>
    <row r="23" spans="1:7" x14ac:dyDescent="0.4">
      <c r="A23" s="24"/>
      <c r="B23" s="24"/>
      <c r="C23" s="24"/>
      <c r="D23" s="24"/>
      <c r="E23" s="15" t="str">
        <f t="shared" ca="1" si="8"/>
        <v>hahah</v>
      </c>
      <c r="F23" s="2">
        <v>1</v>
      </c>
      <c r="G23" s="15">
        <f t="shared" ca="1" si="7"/>
        <v>10</v>
      </c>
    </row>
    <row r="24" spans="1:7" x14ac:dyDescent="0.4">
      <c r="A24" s="24"/>
      <c r="B24" s="24"/>
      <c r="C24" s="2"/>
      <c r="D24" s="15">
        <f t="array" aca="1" ref="D24" ca="1">SUM(OFFSET(INDIRECT("R[1]C[3]",),,,MATCH(TRUE,ISBLANK(OFFSET(INDIRECT("R[1]C[3]",),,,1000)),0)))</f>
        <v>30</v>
      </c>
      <c r="E24" s="18" t="s">
        <v>121</v>
      </c>
      <c r="F24" s="15">
        <f ca="1">C19-D24</f>
        <v>0</v>
      </c>
      <c r="G24" s="24"/>
    </row>
    <row r="25" spans="1:7" x14ac:dyDescent="0.4">
      <c r="A25" s="24"/>
      <c r="B25" s="24"/>
      <c r="C25" s="24"/>
      <c r="D25" s="24"/>
      <c r="E25" s="15" t="str">
        <f ca="1">IF(F25="","",OFFSET($A$6,MATCH(F25,$A$7:$A$13,0),1))</f>
        <v>hahah</v>
      </c>
      <c r="F25" s="2">
        <v>1</v>
      </c>
      <c r="G25" s="15">
        <f ca="1">IF(F25="","",OFFSET($A$6,MATCH(F25,$A$7:$A$13,0),3))</f>
        <v>10</v>
      </c>
    </row>
    <row r="26" spans="1:7" x14ac:dyDescent="0.4">
      <c r="A26" s="24"/>
      <c r="B26" s="24"/>
      <c r="C26" s="24"/>
      <c r="D26" s="24"/>
      <c r="E26" s="15" t="str">
        <f t="shared" ref="E26:E27" ca="1" si="9">IF(F26="","",OFFSET($A$6,MATCH(F26,$A$7:$A$13,0),1))</f>
        <v>hahah</v>
      </c>
      <c r="F26" s="2">
        <v>1</v>
      </c>
      <c r="G26" s="15">
        <f t="shared" ref="G26:G27" ca="1" si="10">IF(F26="","",OFFSET($A$6,MATCH(F26,$A$7:$A$13,0),3))</f>
        <v>10</v>
      </c>
    </row>
    <row r="27" spans="1:7" x14ac:dyDescent="0.4">
      <c r="A27" s="24"/>
      <c r="B27" s="24"/>
      <c r="C27" s="24"/>
      <c r="D27" s="24"/>
      <c r="E27" s="15" t="str">
        <f t="shared" ca="1" si="9"/>
        <v>hahah</v>
      </c>
      <c r="F27" s="2">
        <v>1</v>
      </c>
      <c r="G27" s="15">
        <f t="shared" ca="1" si="10"/>
        <v>10</v>
      </c>
    </row>
    <row r="28" spans="1:7" x14ac:dyDescent="0.4">
      <c r="A28" s="24"/>
      <c r="B28" s="24"/>
      <c r="C28" s="2"/>
      <c r="D28" s="15">
        <f t="array" aca="1" ref="D28" ca="1">SUM(OFFSET(INDIRECT("R[1]C[3]",),,,MATCH(TRUE,ISBLANK(OFFSET(INDIRECT("R[1]C[3]",),,,1000)),0)))</f>
        <v>30</v>
      </c>
      <c r="E28" s="18" t="s">
        <v>121</v>
      </c>
      <c r="F28" s="15">
        <f ca="1">C19-D28</f>
        <v>0</v>
      </c>
      <c r="G28" s="24"/>
    </row>
    <row r="29" spans="1:7" x14ac:dyDescent="0.4">
      <c r="A29" s="24"/>
      <c r="B29" s="24"/>
      <c r="C29" s="24"/>
      <c r="D29" s="24"/>
      <c r="E29" s="15" t="str">
        <f ca="1">IF(F29="","",OFFSET($A$6,MATCH(F29,$A$7:$A$13,0),1))</f>
        <v>hahah</v>
      </c>
      <c r="F29" s="2">
        <v>1</v>
      </c>
      <c r="G29" s="15">
        <f ca="1">IF(F29="","",OFFSET($A$6,MATCH(F29,$A$7:$A$13,0),3))</f>
        <v>10</v>
      </c>
    </row>
    <row r="30" spans="1:7" x14ac:dyDescent="0.4">
      <c r="A30" s="24"/>
      <c r="B30" s="24"/>
      <c r="C30" s="24"/>
      <c r="D30" s="24"/>
      <c r="E30" s="15" t="str">
        <f t="shared" ref="E30:E31" ca="1" si="11">IF(F30="","",OFFSET($A$6,MATCH(F30,$A$7:$A$13,0),1))</f>
        <v>hahah</v>
      </c>
      <c r="F30" s="2">
        <v>1</v>
      </c>
      <c r="G30" s="15">
        <f t="shared" ref="G30:G31" ca="1" si="12">IF(F30="","",OFFSET($A$6,MATCH(F30,$A$7:$A$13,0),3))</f>
        <v>10</v>
      </c>
    </row>
    <row r="31" spans="1:7" x14ac:dyDescent="0.4">
      <c r="A31" s="24"/>
      <c r="B31" s="24"/>
      <c r="C31" s="24"/>
      <c r="D31" s="24"/>
      <c r="E31" s="25" t="str">
        <f t="shared" ca="1" si="11"/>
        <v>hahah</v>
      </c>
      <c r="F31" s="23">
        <v>1</v>
      </c>
      <c r="G31" s="25">
        <f t="shared" ca="1" si="12"/>
        <v>10</v>
      </c>
    </row>
    <row r="32" spans="1:7" x14ac:dyDescent="0.4">
      <c r="A32" s="27" t="s">
        <v>118</v>
      </c>
      <c r="B32" s="28"/>
      <c r="C32" s="15">
        <f ca="1">SUM(OFFSET(C17,,,(ROW(END_TREE)-ROW(START_TREE))))</f>
        <v>30</v>
      </c>
      <c r="D32" s="28"/>
      <c r="E32" s="28"/>
      <c r="F32" s="28"/>
      <c r="G32" s="29"/>
    </row>
  </sheetData>
  <mergeCells count="17">
    <mergeCell ref="Q5:V6"/>
    <mergeCell ref="A5:A6"/>
    <mergeCell ref="I5:J5"/>
    <mergeCell ref="K5:L5"/>
    <mergeCell ref="M5:N5"/>
    <mergeCell ref="O5:P5"/>
    <mergeCell ref="E5:F5"/>
    <mergeCell ref="B5:B6"/>
    <mergeCell ref="C5:C6"/>
    <mergeCell ref="D5:D6"/>
    <mergeCell ref="G5:H5"/>
    <mergeCell ref="A13:V13"/>
    <mergeCell ref="E17:G17"/>
    <mergeCell ref="D17:D18"/>
    <mergeCell ref="C17:C18"/>
    <mergeCell ref="B17:B18"/>
    <mergeCell ref="A17:A18"/>
  </mergeCells>
  <phoneticPr fontId="1" type="noConversion"/>
  <dataValidations count="6">
    <dataValidation type="textLength" showInputMessage="1" showErrorMessage="1" sqref="N7:N12 L7:L12 J7:J12 H7:H12 F7:F12 P7:P12" xr:uid="{8F4548E7-580D-48B2-9012-B27730A6D3C3}">
      <formula1>0</formula1>
      <formula2>32</formula2>
    </dataValidation>
    <dataValidation type="textLength" operator="lessThan" allowBlank="1" showInputMessage="1" showErrorMessage="1" sqref="M7:M12 K7:K12 I7:I12 G7:G12 E7:E12 O7:O12" xr:uid="{31814F57-1A36-4DF1-9B01-5347ED0E845E}">
      <formula1>32</formula1>
    </dataValidation>
    <dataValidation type="custom" allowBlank="1" showInputMessage="1" showErrorMessage="1" sqref="Q7:V12" xr:uid="{ECB10D6A-6DC5-4F02-A8E1-BE5164CF8B27}">
      <formula1>" "</formula1>
    </dataValidation>
    <dataValidation type="list" allowBlank="1" showInputMessage="1" showErrorMessage="1" sqref="C7:C12" xr:uid="{19567AF1-D3FF-4308-92B5-1A9ABD20ACD0}">
      <formula1>OFFSET(Q7,,,,6-COUNTIFS(Q7:V7,""))</formula1>
    </dataValidation>
    <dataValidation type="textLength" showInputMessage="1" showErrorMessage="1" sqref="A7:B12 D29:E31 A19:C31 D19:E19 D21:E23 D25:E27 F19:G31 C32" xr:uid="{B44F5B48-FF57-40D9-800C-8697E5288A93}">
      <formula1>0</formula1>
      <formula2>64</formula2>
    </dataValidation>
    <dataValidation showInputMessage="1" showErrorMessage="1" sqref="D20 D24 D28" xr:uid="{5EFD16F8-FF26-432E-90FA-14F38CB79A6C}"/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A556E-409C-4F7E-B340-8C16EBD9B3B2}">
  <sheetPr codeName="Sheet8">
    <tabColor rgb="FFFF0000"/>
  </sheetPr>
  <dimension ref="A2:H1547"/>
  <sheetViews>
    <sheetView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A8" sqref="A8:B11"/>
    </sheetView>
  </sheetViews>
  <sheetFormatPr defaultRowHeight="13.9" x14ac:dyDescent="0.4"/>
  <cols>
    <col min="1" max="1" width="9.1328125" customWidth="1"/>
  </cols>
  <sheetData>
    <row r="2" spans="1:8" x14ac:dyDescent="0.4">
      <c r="A2" s="31" t="s">
        <v>127</v>
      </c>
      <c r="B2" s="2">
        <v>20</v>
      </c>
      <c r="D2" s="19" t="s">
        <v>132</v>
      </c>
      <c r="E2" s="2">
        <v>-4</v>
      </c>
      <c r="G2" s="31" t="s">
        <v>135</v>
      </c>
      <c r="H2" s="2">
        <v>256</v>
      </c>
    </row>
    <row r="3" spans="1:8" x14ac:dyDescent="0.4">
      <c r="A3" s="31" t="s">
        <v>130</v>
      </c>
      <c r="B3" s="2">
        <v>1</v>
      </c>
      <c r="D3" s="19" t="s">
        <v>133</v>
      </c>
      <c r="E3" s="2">
        <v>26</v>
      </c>
      <c r="G3" s="31" t="s">
        <v>136</v>
      </c>
      <c r="H3" s="2">
        <v>1.35</v>
      </c>
    </row>
    <row r="4" spans="1:8" x14ac:dyDescent="0.4">
      <c r="A4" s="31" t="s">
        <v>128</v>
      </c>
      <c r="B4" s="2">
        <v>1600</v>
      </c>
      <c r="D4" s="19"/>
      <c r="E4" s="2"/>
    </row>
    <row r="5" spans="1:8" x14ac:dyDescent="0.4">
      <c r="D5" s="19"/>
      <c r="E5" s="2"/>
    </row>
    <row r="6" spans="1:8" x14ac:dyDescent="0.4">
      <c r="D6" s="31" t="s">
        <v>131</v>
      </c>
      <c r="E6" s="30">
        <f>SUM(E2:E5)</f>
        <v>22</v>
      </c>
    </row>
    <row r="8" spans="1:8" ht="51" x14ac:dyDescent="0.4">
      <c r="A8" s="26" t="s">
        <v>126</v>
      </c>
      <c r="B8" s="26" t="s">
        <v>129</v>
      </c>
      <c r="C8" s="26" t="s">
        <v>134</v>
      </c>
      <c r="D8" s="26" t="s">
        <v>137</v>
      </c>
    </row>
    <row r="9" spans="1:8" x14ac:dyDescent="0.4">
      <c r="A9" s="21"/>
      <c r="B9" s="21"/>
      <c r="C9" s="21"/>
      <c r="D9" s="21">
        <f>MIN(D11:D1547)</f>
        <v>0.56700000000000006</v>
      </c>
    </row>
    <row r="10" spans="1:8" x14ac:dyDescent="0.4">
      <c r="A10" s="21"/>
      <c r="B10" s="21"/>
      <c r="C10" s="21"/>
      <c r="D10" s="21">
        <f ca="1">OFFSET($A$10,MATCH(D9,D11:D1547,0),)</f>
        <v>64</v>
      </c>
    </row>
    <row r="11" spans="1:8" x14ac:dyDescent="0.4">
      <c r="A11" s="2">
        <v>64</v>
      </c>
      <c r="B11" s="30">
        <f t="shared" ref="B11:B74" si="0">$B$4/8/(A11+$B$2)</f>
        <v>2.3809523809523809</v>
      </c>
      <c r="C11" s="30">
        <f>A11+$E$6</f>
        <v>86</v>
      </c>
      <c r="D11" s="30">
        <f>$H$3/B11/CEILING(C11/$H$2,1)</f>
        <v>0.56700000000000006</v>
      </c>
    </row>
    <row r="12" spans="1:8" x14ac:dyDescent="0.4">
      <c r="A12" s="30">
        <f>A11+$B$3</f>
        <v>65</v>
      </c>
      <c r="B12" s="30">
        <f t="shared" si="0"/>
        <v>2.3529411764705883</v>
      </c>
      <c r="C12" s="30">
        <f t="shared" ref="C12:C75" si="1">A12+$E$6</f>
        <v>87</v>
      </c>
      <c r="D12" s="30">
        <f t="shared" ref="D12:D75" si="2">$H$3/B12/CEILING(C12/$H$2,1)</f>
        <v>0.57374999999999998</v>
      </c>
    </row>
    <row r="13" spans="1:8" x14ac:dyDescent="0.4">
      <c r="A13" s="30">
        <f t="shared" ref="A13:A76" si="3">A12+$B$3</f>
        <v>66</v>
      </c>
      <c r="B13" s="30">
        <f t="shared" si="0"/>
        <v>2.3255813953488373</v>
      </c>
      <c r="C13" s="30">
        <f t="shared" si="1"/>
        <v>88</v>
      </c>
      <c r="D13" s="30">
        <f t="shared" si="2"/>
        <v>0.58050000000000002</v>
      </c>
    </row>
    <row r="14" spans="1:8" x14ac:dyDescent="0.4">
      <c r="A14" s="30">
        <f t="shared" si="3"/>
        <v>67</v>
      </c>
      <c r="B14" s="30">
        <f t="shared" si="0"/>
        <v>2.2988505747126435</v>
      </c>
      <c r="C14" s="30">
        <f t="shared" si="1"/>
        <v>89</v>
      </c>
      <c r="D14" s="30">
        <f t="shared" si="2"/>
        <v>0.58725000000000005</v>
      </c>
    </row>
    <row r="15" spans="1:8" x14ac:dyDescent="0.4">
      <c r="A15" s="30">
        <f t="shared" si="3"/>
        <v>68</v>
      </c>
      <c r="B15" s="30">
        <f t="shared" si="0"/>
        <v>2.2727272727272729</v>
      </c>
      <c r="C15" s="30">
        <f t="shared" si="1"/>
        <v>90</v>
      </c>
      <c r="D15" s="30">
        <f t="shared" si="2"/>
        <v>0.59399999999999997</v>
      </c>
    </row>
    <row r="16" spans="1:8" x14ac:dyDescent="0.4">
      <c r="A16" s="30">
        <f t="shared" si="3"/>
        <v>69</v>
      </c>
      <c r="B16" s="30">
        <f t="shared" si="0"/>
        <v>2.2471910112359552</v>
      </c>
      <c r="C16" s="30">
        <f t="shared" si="1"/>
        <v>91</v>
      </c>
      <c r="D16" s="30">
        <f t="shared" si="2"/>
        <v>0.60075000000000001</v>
      </c>
    </row>
    <row r="17" spans="1:4" x14ac:dyDescent="0.4">
      <c r="A17" s="30">
        <f t="shared" si="3"/>
        <v>70</v>
      </c>
      <c r="B17" s="30">
        <f t="shared" si="0"/>
        <v>2.2222222222222223</v>
      </c>
      <c r="C17" s="30">
        <f t="shared" si="1"/>
        <v>92</v>
      </c>
      <c r="D17" s="30">
        <f t="shared" si="2"/>
        <v>0.60750000000000004</v>
      </c>
    </row>
    <row r="18" spans="1:4" x14ac:dyDescent="0.4">
      <c r="A18" s="30">
        <f t="shared" si="3"/>
        <v>71</v>
      </c>
      <c r="B18" s="30">
        <f t="shared" si="0"/>
        <v>2.197802197802198</v>
      </c>
      <c r="C18" s="30">
        <f t="shared" si="1"/>
        <v>93</v>
      </c>
      <c r="D18" s="30">
        <f t="shared" si="2"/>
        <v>0.61424999999999996</v>
      </c>
    </row>
    <row r="19" spans="1:4" x14ac:dyDescent="0.4">
      <c r="A19" s="30">
        <f t="shared" si="3"/>
        <v>72</v>
      </c>
      <c r="B19" s="30">
        <f t="shared" si="0"/>
        <v>2.1739130434782608</v>
      </c>
      <c r="C19" s="30">
        <f t="shared" si="1"/>
        <v>94</v>
      </c>
      <c r="D19" s="30">
        <f t="shared" si="2"/>
        <v>0.62100000000000011</v>
      </c>
    </row>
    <row r="20" spans="1:4" x14ac:dyDescent="0.4">
      <c r="A20" s="30">
        <f t="shared" si="3"/>
        <v>73</v>
      </c>
      <c r="B20" s="30">
        <f t="shared" si="0"/>
        <v>2.150537634408602</v>
      </c>
      <c r="C20" s="30">
        <f t="shared" si="1"/>
        <v>95</v>
      </c>
      <c r="D20" s="30">
        <f t="shared" si="2"/>
        <v>0.62775000000000003</v>
      </c>
    </row>
    <row r="21" spans="1:4" x14ac:dyDescent="0.4">
      <c r="A21" s="30">
        <f t="shared" si="3"/>
        <v>74</v>
      </c>
      <c r="B21" s="30">
        <f t="shared" si="0"/>
        <v>2.1276595744680851</v>
      </c>
      <c r="C21" s="30">
        <f t="shared" si="1"/>
        <v>96</v>
      </c>
      <c r="D21" s="30">
        <f t="shared" si="2"/>
        <v>0.63450000000000006</v>
      </c>
    </row>
    <row r="22" spans="1:4" x14ac:dyDescent="0.4">
      <c r="A22" s="30">
        <f t="shared" si="3"/>
        <v>75</v>
      </c>
      <c r="B22" s="30">
        <f t="shared" si="0"/>
        <v>2.1052631578947367</v>
      </c>
      <c r="C22" s="30">
        <f t="shared" si="1"/>
        <v>97</v>
      </c>
      <c r="D22" s="30">
        <f t="shared" si="2"/>
        <v>0.6412500000000001</v>
      </c>
    </row>
    <row r="23" spans="1:4" x14ac:dyDescent="0.4">
      <c r="A23" s="30">
        <f t="shared" si="3"/>
        <v>76</v>
      </c>
      <c r="B23" s="30">
        <f t="shared" si="0"/>
        <v>2.0833333333333335</v>
      </c>
      <c r="C23" s="30">
        <f t="shared" si="1"/>
        <v>98</v>
      </c>
      <c r="D23" s="30">
        <f t="shared" si="2"/>
        <v>0.64800000000000002</v>
      </c>
    </row>
    <row r="24" spans="1:4" x14ac:dyDescent="0.4">
      <c r="A24" s="30">
        <f t="shared" si="3"/>
        <v>77</v>
      </c>
      <c r="B24" s="30">
        <f t="shared" si="0"/>
        <v>2.0618556701030926</v>
      </c>
      <c r="C24" s="30">
        <f t="shared" si="1"/>
        <v>99</v>
      </c>
      <c r="D24" s="30">
        <f t="shared" si="2"/>
        <v>0.65475000000000017</v>
      </c>
    </row>
    <row r="25" spans="1:4" x14ac:dyDescent="0.4">
      <c r="A25" s="30">
        <f t="shared" si="3"/>
        <v>78</v>
      </c>
      <c r="B25" s="30">
        <f t="shared" si="0"/>
        <v>2.0408163265306123</v>
      </c>
      <c r="C25" s="30">
        <f t="shared" si="1"/>
        <v>100</v>
      </c>
      <c r="D25" s="30">
        <f t="shared" si="2"/>
        <v>0.66149999999999998</v>
      </c>
    </row>
    <row r="26" spans="1:4" x14ac:dyDescent="0.4">
      <c r="A26" s="30">
        <f t="shared" si="3"/>
        <v>79</v>
      </c>
      <c r="B26" s="30">
        <f t="shared" si="0"/>
        <v>2.0202020202020203</v>
      </c>
      <c r="C26" s="30">
        <f t="shared" si="1"/>
        <v>101</v>
      </c>
      <c r="D26" s="30">
        <f t="shared" si="2"/>
        <v>0.66825000000000001</v>
      </c>
    </row>
    <row r="27" spans="1:4" x14ac:dyDescent="0.4">
      <c r="A27" s="30">
        <f t="shared" si="3"/>
        <v>80</v>
      </c>
      <c r="B27" s="30">
        <f t="shared" si="0"/>
        <v>2</v>
      </c>
      <c r="C27" s="30">
        <f t="shared" si="1"/>
        <v>102</v>
      </c>
      <c r="D27" s="30">
        <f t="shared" si="2"/>
        <v>0.67500000000000004</v>
      </c>
    </row>
    <row r="28" spans="1:4" x14ac:dyDescent="0.4">
      <c r="A28" s="30">
        <f t="shared" si="3"/>
        <v>81</v>
      </c>
      <c r="B28" s="30">
        <f t="shared" si="0"/>
        <v>1.9801980198019802</v>
      </c>
      <c r="C28" s="30">
        <f t="shared" si="1"/>
        <v>103</v>
      </c>
      <c r="D28" s="30">
        <f t="shared" si="2"/>
        <v>0.68175000000000008</v>
      </c>
    </row>
    <row r="29" spans="1:4" x14ac:dyDescent="0.4">
      <c r="A29" s="30">
        <f t="shared" si="3"/>
        <v>82</v>
      </c>
      <c r="B29" s="30">
        <f t="shared" si="0"/>
        <v>1.9607843137254901</v>
      </c>
      <c r="C29" s="30">
        <f t="shared" si="1"/>
        <v>104</v>
      </c>
      <c r="D29" s="30">
        <f t="shared" si="2"/>
        <v>0.68850000000000011</v>
      </c>
    </row>
    <row r="30" spans="1:4" x14ac:dyDescent="0.4">
      <c r="A30" s="30">
        <f t="shared" si="3"/>
        <v>83</v>
      </c>
      <c r="B30" s="30">
        <f t="shared" si="0"/>
        <v>1.941747572815534</v>
      </c>
      <c r="C30" s="30">
        <f t="shared" si="1"/>
        <v>105</v>
      </c>
      <c r="D30" s="30">
        <f t="shared" si="2"/>
        <v>0.69525000000000003</v>
      </c>
    </row>
    <row r="31" spans="1:4" x14ac:dyDescent="0.4">
      <c r="A31" s="30">
        <f t="shared" si="3"/>
        <v>84</v>
      </c>
      <c r="B31" s="30">
        <f t="shared" si="0"/>
        <v>1.9230769230769231</v>
      </c>
      <c r="C31" s="30">
        <f t="shared" si="1"/>
        <v>106</v>
      </c>
      <c r="D31" s="30">
        <f t="shared" si="2"/>
        <v>0.70200000000000007</v>
      </c>
    </row>
    <row r="32" spans="1:4" x14ac:dyDescent="0.4">
      <c r="A32" s="30">
        <f t="shared" si="3"/>
        <v>85</v>
      </c>
      <c r="B32" s="30">
        <f t="shared" si="0"/>
        <v>1.9047619047619047</v>
      </c>
      <c r="C32" s="30">
        <f t="shared" si="1"/>
        <v>107</v>
      </c>
      <c r="D32" s="30">
        <f t="shared" si="2"/>
        <v>0.7087500000000001</v>
      </c>
    </row>
    <row r="33" spans="1:4" x14ac:dyDescent="0.4">
      <c r="A33" s="30">
        <f t="shared" si="3"/>
        <v>86</v>
      </c>
      <c r="B33" s="30">
        <f t="shared" si="0"/>
        <v>1.8867924528301887</v>
      </c>
      <c r="C33" s="30">
        <f t="shared" si="1"/>
        <v>108</v>
      </c>
      <c r="D33" s="30">
        <f t="shared" si="2"/>
        <v>0.71550000000000002</v>
      </c>
    </row>
    <row r="34" spans="1:4" x14ac:dyDescent="0.4">
      <c r="A34" s="30">
        <f t="shared" si="3"/>
        <v>87</v>
      </c>
      <c r="B34" s="30">
        <f t="shared" si="0"/>
        <v>1.8691588785046729</v>
      </c>
      <c r="C34" s="30">
        <f t="shared" si="1"/>
        <v>109</v>
      </c>
      <c r="D34" s="30">
        <f t="shared" si="2"/>
        <v>0.72225000000000006</v>
      </c>
    </row>
    <row r="35" spans="1:4" x14ac:dyDescent="0.4">
      <c r="A35" s="30">
        <f t="shared" si="3"/>
        <v>88</v>
      </c>
      <c r="B35" s="30">
        <f t="shared" si="0"/>
        <v>1.8518518518518519</v>
      </c>
      <c r="C35" s="30">
        <f t="shared" si="1"/>
        <v>110</v>
      </c>
      <c r="D35" s="30">
        <f t="shared" si="2"/>
        <v>0.72900000000000009</v>
      </c>
    </row>
    <row r="36" spans="1:4" x14ac:dyDescent="0.4">
      <c r="A36" s="30">
        <f t="shared" si="3"/>
        <v>89</v>
      </c>
      <c r="B36" s="30">
        <f t="shared" si="0"/>
        <v>1.834862385321101</v>
      </c>
      <c r="C36" s="30">
        <f t="shared" si="1"/>
        <v>111</v>
      </c>
      <c r="D36" s="30">
        <f t="shared" si="2"/>
        <v>0.73575000000000002</v>
      </c>
    </row>
    <row r="37" spans="1:4" x14ac:dyDescent="0.4">
      <c r="A37" s="30">
        <f t="shared" si="3"/>
        <v>90</v>
      </c>
      <c r="B37" s="30">
        <f t="shared" si="0"/>
        <v>1.8181818181818181</v>
      </c>
      <c r="C37" s="30">
        <f t="shared" si="1"/>
        <v>112</v>
      </c>
      <c r="D37" s="30">
        <f t="shared" si="2"/>
        <v>0.74250000000000005</v>
      </c>
    </row>
    <row r="38" spans="1:4" x14ac:dyDescent="0.4">
      <c r="A38" s="30">
        <f t="shared" si="3"/>
        <v>91</v>
      </c>
      <c r="B38" s="30">
        <f t="shared" si="0"/>
        <v>1.8018018018018018</v>
      </c>
      <c r="C38" s="30">
        <f t="shared" si="1"/>
        <v>113</v>
      </c>
      <c r="D38" s="30">
        <f t="shared" si="2"/>
        <v>0.74925000000000008</v>
      </c>
    </row>
    <row r="39" spans="1:4" x14ac:dyDescent="0.4">
      <c r="A39" s="30">
        <f t="shared" si="3"/>
        <v>92</v>
      </c>
      <c r="B39" s="30">
        <f t="shared" si="0"/>
        <v>1.7857142857142858</v>
      </c>
      <c r="C39" s="30">
        <f t="shared" si="1"/>
        <v>114</v>
      </c>
      <c r="D39" s="30">
        <f t="shared" si="2"/>
        <v>0.75600000000000001</v>
      </c>
    </row>
    <row r="40" spans="1:4" x14ac:dyDescent="0.4">
      <c r="A40" s="30">
        <f t="shared" si="3"/>
        <v>93</v>
      </c>
      <c r="B40" s="30">
        <f t="shared" si="0"/>
        <v>1.7699115044247788</v>
      </c>
      <c r="C40" s="30">
        <f t="shared" si="1"/>
        <v>115</v>
      </c>
      <c r="D40" s="30">
        <f t="shared" si="2"/>
        <v>0.76275000000000004</v>
      </c>
    </row>
    <row r="41" spans="1:4" x14ac:dyDescent="0.4">
      <c r="A41" s="30">
        <f t="shared" si="3"/>
        <v>94</v>
      </c>
      <c r="B41" s="30">
        <f t="shared" si="0"/>
        <v>1.7543859649122806</v>
      </c>
      <c r="C41" s="30">
        <f t="shared" si="1"/>
        <v>116</v>
      </c>
      <c r="D41" s="30">
        <f t="shared" si="2"/>
        <v>0.76950000000000007</v>
      </c>
    </row>
    <row r="42" spans="1:4" x14ac:dyDescent="0.4">
      <c r="A42" s="30">
        <f t="shared" si="3"/>
        <v>95</v>
      </c>
      <c r="B42" s="30">
        <f t="shared" si="0"/>
        <v>1.7391304347826086</v>
      </c>
      <c r="C42" s="30">
        <f t="shared" si="1"/>
        <v>117</v>
      </c>
      <c r="D42" s="30">
        <f t="shared" si="2"/>
        <v>0.77625000000000011</v>
      </c>
    </row>
    <row r="43" spans="1:4" x14ac:dyDescent="0.4">
      <c r="A43" s="30">
        <f t="shared" si="3"/>
        <v>96</v>
      </c>
      <c r="B43" s="30">
        <f t="shared" si="0"/>
        <v>1.7241379310344827</v>
      </c>
      <c r="C43" s="30">
        <f t="shared" si="1"/>
        <v>118</v>
      </c>
      <c r="D43" s="30">
        <f t="shared" si="2"/>
        <v>0.78300000000000014</v>
      </c>
    </row>
    <row r="44" spans="1:4" x14ac:dyDescent="0.4">
      <c r="A44" s="30">
        <f t="shared" si="3"/>
        <v>97</v>
      </c>
      <c r="B44" s="30">
        <f t="shared" si="0"/>
        <v>1.7094017094017093</v>
      </c>
      <c r="C44" s="30">
        <f t="shared" si="1"/>
        <v>119</v>
      </c>
      <c r="D44" s="30">
        <f t="shared" si="2"/>
        <v>0.78975000000000006</v>
      </c>
    </row>
    <row r="45" spans="1:4" x14ac:dyDescent="0.4">
      <c r="A45" s="30">
        <f t="shared" si="3"/>
        <v>98</v>
      </c>
      <c r="B45" s="30">
        <f t="shared" si="0"/>
        <v>1.6949152542372881</v>
      </c>
      <c r="C45" s="30">
        <f t="shared" si="1"/>
        <v>120</v>
      </c>
      <c r="D45" s="30">
        <f t="shared" si="2"/>
        <v>0.7965000000000001</v>
      </c>
    </row>
    <row r="46" spans="1:4" x14ac:dyDescent="0.4">
      <c r="A46" s="30">
        <f t="shared" si="3"/>
        <v>99</v>
      </c>
      <c r="B46" s="30">
        <f t="shared" si="0"/>
        <v>1.680672268907563</v>
      </c>
      <c r="C46" s="30">
        <f t="shared" si="1"/>
        <v>121</v>
      </c>
      <c r="D46" s="30">
        <f t="shared" si="2"/>
        <v>0.80325000000000002</v>
      </c>
    </row>
    <row r="47" spans="1:4" x14ac:dyDescent="0.4">
      <c r="A47" s="30">
        <f t="shared" si="3"/>
        <v>100</v>
      </c>
      <c r="B47" s="30">
        <f t="shared" si="0"/>
        <v>1.6666666666666667</v>
      </c>
      <c r="C47" s="30">
        <f t="shared" si="1"/>
        <v>122</v>
      </c>
      <c r="D47" s="30">
        <f t="shared" si="2"/>
        <v>0.81</v>
      </c>
    </row>
    <row r="48" spans="1:4" x14ac:dyDescent="0.4">
      <c r="A48" s="30">
        <f t="shared" si="3"/>
        <v>101</v>
      </c>
      <c r="B48" s="30">
        <f t="shared" si="0"/>
        <v>1.6528925619834711</v>
      </c>
      <c r="C48" s="30">
        <f t="shared" si="1"/>
        <v>123</v>
      </c>
      <c r="D48" s="30">
        <f t="shared" si="2"/>
        <v>0.81674999999999998</v>
      </c>
    </row>
    <row r="49" spans="1:4" x14ac:dyDescent="0.4">
      <c r="A49" s="30">
        <f t="shared" si="3"/>
        <v>102</v>
      </c>
      <c r="B49" s="30">
        <f t="shared" si="0"/>
        <v>1.639344262295082</v>
      </c>
      <c r="C49" s="30">
        <f t="shared" si="1"/>
        <v>124</v>
      </c>
      <c r="D49" s="30">
        <f t="shared" si="2"/>
        <v>0.82350000000000001</v>
      </c>
    </row>
    <row r="50" spans="1:4" x14ac:dyDescent="0.4">
      <c r="A50" s="30">
        <f t="shared" si="3"/>
        <v>103</v>
      </c>
      <c r="B50" s="30">
        <f t="shared" si="0"/>
        <v>1.6260162601626016</v>
      </c>
      <c r="C50" s="30">
        <f t="shared" si="1"/>
        <v>125</v>
      </c>
      <c r="D50" s="30">
        <f t="shared" si="2"/>
        <v>0.83025000000000004</v>
      </c>
    </row>
    <row r="51" spans="1:4" x14ac:dyDescent="0.4">
      <c r="A51" s="30">
        <f t="shared" si="3"/>
        <v>104</v>
      </c>
      <c r="B51" s="30">
        <f t="shared" si="0"/>
        <v>1.6129032258064515</v>
      </c>
      <c r="C51" s="30">
        <f t="shared" si="1"/>
        <v>126</v>
      </c>
      <c r="D51" s="30">
        <f t="shared" si="2"/>
        <v>0.83700000000000008</v>
      </c>
    </row>
    <row r="52" spans="1:4" x14ac:dyDescent="0.4">
      <c r="A52" s="30">
        <f t="shared" si="3"/>
        <v>105</v>
      </c>
      <c r="B52" s="30">
        <f t="shared" si="0"/>
        <v>1.6</v>
      </c>
      <c r="C52" s="30">
        <f t="shared" si="1"/>
        <v>127</v>
      </c>
      <c r="D52" s="30">
        <f t="shared" si="2"/>
        <v>0.84375</v>
      </c>
    </row>
    <row r="53" spans="1:4" x14ac:dyDescent="0.4">
      <c r="A53" s="30">
        <f t="shared" si="3"/>
        <v>106</v>
      </c>
      <c r="B53" s="30">
        <f t="shared" si="0"/>
        <v>1.5873015873015872</v>
      </c>
      <c r="C53" s="30">
        <f t="shared" si="1"/>
        <v>128</v>
      </c>
      <c r="D53" s="30">
        <f t="shared" si="2"/>
        <v>0.85050000000000014</v>
      </c>
    </row>
    <row r="54" spans="1:4" x14ac:dyDescent="0.4">
      <c r="A54" s="30">
        <f t="shared" si="3"/>
        <v>107</v>
      </c>
      <c r="B54" s="30">
        <f t="shared" si="0"/>
        <v>1.5748031496062993</v>
      </c>
      <c r="C54" s="30">
        <f t="shared" si="1"/>
        <v>129</v>
      </c>
      <c r="D54" s="30">
        <f t="shared" si="2"/>
        <v>0.85724999999999996</v>
      </c>
    </row>
    <row r="55" spans="1:4" x14ac:dyDescent="0.4">
      <c r="A55" s="30">
        <f t="shared" si="3"/>
        <v>108</v>
      </c>
      <c r="B55" s="30">
        <f t="shared" si="0"/>
        <v>1.5625</v>
      </c>
      <c r="C55" s="30">
        <f t="shared" si="1"/>
        <v>130</v>
      </c>
      <c r="D55" s="30">
        <f t="shared" si="2"/>
        <v>0.8640000000000001</v>
      </c>
    </row>
    <row r="56" spans="1:4" x14ac:dyDescent="0.4">
      <c r="A56" s="30">
        <f t="shared" si="3"/>
        <v>109</v>
      </c>
      <c r="B56" s="30">
        <f t="shared" si="0"/>
        <v>1.5503875968992249</v>
      </c>
      <c r="C56" s="30">
        <f t="shared" si="1"/>
        <v>131</v>
      </c>
      <c r="D56" s="30">
        <f t="shared" si="2"/>
        <v>0.87075000000000002</v>
      </c>
    </row>
    <row r="57" spans="1:4" x14ac:dyDescent="0.4">
      <c r="A57" s="30">
        <f t="shared" si="3"/>
        <v>110</v>
      </c>
      <c r="B57" s="30">
        <f t="shared" si="0"/>
        <v>1.5384615384615385</v>
      </c>
      <c r="C57" s="30">
        <f t="shared" si="1"/>
        <v>132</v>
      </c>
      <c r="D57" s="30">
        <f t="shared" si="2"/>
        <v>0.87750000000000006</v>
      </c>
    </row>
    <row r="58" spans="1:4" x14ac:dyDescent="0.4">
      <c r="A58" s="30">
        <f t="shared" si="3"/>
        <v>111</v>
      </c>
      <c r="B58" s="30">
        <f t="shared" si="0"/>
        <v>1.5267175572519085</v>
      </c>
      <c r="C58" s="30">
        <f t="shared" si="1"/>
        <v>133</v>
      </c>
      <c r="D58" s="30">
        <f t="shared" si="2"/>
        <v>0.88424999999999998</v>
      </c>
    </row>
    <row r="59" spans="1:4" x14ac:dyDescent="0.4">
      <c r="A59" s="30">
        <f t="shared" si="3"/>
        <v>112</v>
      </c>
      <c r="B59" s="30">
        <f t="shared" si="0"/>
        <v>1.5151515151515151</v>
      </c>
      <c r="C59" s="30">
        <f t="shared" si="1"/>
        <v>134</v>
      </c>
      <c r="D59" s="30">
        <f t="shared" si="2"/>
        <v>0.89100000000000001</v>
      </c>
    </row>
    <row r="60" spans="1:4" x14ac:dyDescent="0.4">
      <c r="A60" s="30">
        <f t="shared" si="3"/>
        <v>113</v>
      </c>
      <c r="B60" s="30">
        <f t="shared" si="0"/>
        <v>1.5037593984962405</v>
      </c>
      <c r="C60" s="30">
        <f t="shared" si="1"/>
        <v>135</v>
      </c>
      <c r="D60" s="30">
        <f t="shared" si="2"/>
        <v>0.89775000000000016</v>
      </c>
    </row>
    <row r="61" spans="1:4" x14ac:dyDescent="0.4">
      <c r="A61" s="30">
        <f t="shared" si="3"/>
        <v>114</v>
      </c>
      <c r="B61" s="30">
        <f t="shared" si="0"/>
        <v>1.4925373134328359</v>
      </c>
      <c r="C61" s="30">
        <f t="shared" si="1"/>
        <v>136</v>
      </c>
      <c r="D61" s="30">
        <f t="shared" si="2"/>
        <v>0.90449999999999997</v>
      </c>
    </row>
    <row r="62" spans="1:4" x14ac:dyDescent="0.4">
      <c r="A62" s="30">
        <f t="shared" si="3"/>
        <v>115</v>
      </c>
      <c r="B62" s="30">
        <f t="shared" si="0"/>
        <v>1.4814814814814814</v>
      </c>
      <c r="C62" s="30">
        <f t="shared" si="1"/>
        <v>137</v>
      </c>
      <c r="D62" s="30">
        <f t="shared" si="2"/>
        <v>0.91125000000000012</v>
      </c>
    </row>
    <row r="63" spans="1:4" x14ac:dyDescent="0.4">
      <c r="A63" s="30">
        <f t="shared" si="3"/>
        <v>116</v>
      </c>
      <c r="B63" s="30">
        <f t="shared" si="0"/>
        <v>1.4705882352941178</v>
      </c>
      <c r="C63" s="30">
        <f t="shared" si="1"/>
        <v>138</v>
      </c>
      <c r="D63" s="30">
        <f t="shared" si="2"/>
        <v>0.91800000000000004</v>
      </c>
    </row>
    <row r="64" spans="1:4" x14ac:dyDescent="0.4">
      <c r="A64" s="30">
        <f t="shared" si="3"/>
        <v>117</v>
      </c>
      <c r="B64" s="30">
        <f t="shared" si="0"/>
        <v>1.4598540145985401</v>
      </c>
      <c r="C64" s="30">
        <f t="shared" si="1"/>
        <v>139</v>
      </c>
      <c r="D64" s="30">
        <f t="shared" si="2"/>
        <v>0.92475000000000007</v>
      </c>
    </row>
    <row r="65" spans="1:4" x14ac:dyDescent="0.4">
      <c r="A65" s="30">
        <f t="shared" si="3"/>
        <v>118</v>
      </c>
      <c r="B65" s="30">
        <f t="shared" si="0"/>
        <v>1.4492753623188406</v>
      </c>
      <c r="C65" s="30">
        <f t="shared" si="1"/>
        <v>140</v>
      </c>
      <c r="D65" s="30">
        <f t="shared" si="2"/>
        <v>0.93150000000000011</v>
      </c>
    </row>
    <row r="66" spans="1:4" x14ac:dyDescent="0.4">
      <c r="A66" s="30">
        <f t="shared" si="3"/>
        <v>119</v>
      </c>
      <c r="B66" s="30">
        <f t="shared" si="0"/>
        <v>1.4388489208633093</v>
      </c>
      <c r="C66" s="30">
        <f t="shared" si="1"/>
        <v>141</v>
      </c>
      <c r="D66" s="30">
        <f t="shared" si="2"/>
        <v>0.93825000000000014</v>
      </c>
    </row>
    <row r="67" spans="1:4" x14ac:dyDescent="0.4">
      <c r="A67" s="30">
        <f t="shared" si="3"/>
        <v>120</v>
      </c>
      <c r="B67" s="30">
        <f t="shared" si="0"/>
        <v>1.4285714285714286</v>
      </c>
      <c r="C67" s="30">
        <f t="shared" si="1"/>
        <v>142</v>
      </c>
      <c r="D67" s="30">
        <f t="shared" si="2"/>
        <v>0.94500000000000006</v>
      </c>
    </row>
    <row r="68" spans="1:4" x14ac:dyDescent="0.4">
      <c r="A68" s="30">
        <f t="shared" si="3"/>
        <v>121</v>
      </c>
      <c r="B68" s="30">
        <f t="shared" si="0"/>
        <v>1.4184397163120568</v>
      </c>
      <c r="C68" s="30">
        <f t="shared" si="1"/>
        <v>143</v>
      </c>
      <c r="D68" s="30">
        <f t="shared" si="2"/>
        <v>0.95174999999999998</v>
      </c>
    </row>
    <row r="69" spans="1:4" x14ac:dyDescent="0.4">
      <c r="A69" s="30">
        <f t="shared" si="3"/>
        <v>122</v>
      </c>
      <c r="B69" s="30">
        <f t="shared" si="0"/>
        <v>1.408450704225352</v>
      </c>
      <c r="C69" s="30">
        <f t="shared" si="1"/>
        <v>144</v>
      </c>
      <c r="D69" s="30">
        <f t="shared" si="2"/>
        <v>0.95850000000000013</v>
      </c>
    </row>
    <row r="70" spans="1:4" x14ac:dyDescent="0.4">
      <c r="A70" s="30">
        <f t="shared" si="3"/>
        <v>123</v>
      </c>
      <c r="B70" s="30">
        <f t="shared" si="0"/>
        <v>1.3986013986013985</v>
      </c>
      <c r="C70" s="30">
        <f t="shared" si="1"/>
        <v>145</v>
      </c>
      <c r="D70" s="30">
        <f t="shared" si="2"/>
        <v>0.96525000000000005</v>
      </c>
    </row>
    <row r="71" spans="1:4" x14ac:dyDescent="0.4">
      <c r="A71" s="30">
        <f t="shared" si="3"/>
        <v>124</v>
      </c>
      <c r="B71" s="30">
        <f t="shared" si="0"/>
        <v>1.3888888888888888</v>
      </c>
      <c r="C71" s="30">
        <f t="shared" si="1"/>
        <v>146</v>
      </c>
      <c r="D71" s="30">
        <f t="shared" si="2"/>
        <v>0.97200000000000009</v>
      </c>
    </row>
    <row r="72" spans="1:4" x14ac:dyDescent="0.4">
      <c r="A72" s="30">
        <f t="shared" si="3"/>
        <v>125</v>
      </c>
      <c r="B72" s="30">
        <f t="shared" si="0"/>
        <v>1.3793103448275863</v>
      </c>
      <c r="C72" s="30">
        <f t="shared" si="1"/>
        <v>147</v>
      </c>
      <c r="D72" s="30">
        <f t="shared" si="2"/>
        <v>0.97875000000000001</v>
      </c>
    </row>
    <row r="73" spans="1:4" x14ac:dyDescent="0.4">
      <c r="A73" s="30">
        <f t="shared" si="3"/>
        <v>126</v>
      </c>
      <c r="B73" s="30">
        <f t="shared" si="0"/>
        <v>1.3698630136986301</v>
      </c>
      <c r="C73" s="30">
        <f t="shared" si="1"/>
        <v>148</v>
      </c>
      <c r="D73" s="30">
        <f t="shared" si="2"/>
        <v>0.98550000000000015</v>
      </c>
    </row>
    <row r="74" spans="1:4" x14ac:dyDescent="0.4">
      <c r="A74" s="30">
        <f t="shared" si="3"/>
        <v>127</v>
      </c>
      <c r="B74" s="30">
        <f t="shared" si="0"/>
        <v>1.3605442176870748</v>
      </c>
      <c r="C74" s="30">
        <f t="shared" si="1"/>
        <v>149</v>
      </c>
      <c r="D74" s="30">
        <f t="shared" si="2"/>
        <v>0.99225000000000008</v>
      </c>
    </row>
    <row r="75" spans="1:4" x14ac:dyDescent="0.4">
      <c r="A75" s="30">
        <f t="shared" si="3"/>
        <v>128</v>
      </c>
      <c r="B75" s="30">
        <f t="shared" ref="B75:B138" si="4">$B$4/8/(A75+$B$2)</f>
        <v>1.3513513513513513</v>
      </c>
      <c r="C75" s="30">
        <f t="shared" si="1"/>
        <v>150</v>
      </c>
      <c r="D75" s="30">
        <f t="shared" si="2"/>
        <v>0.99900000000000011</v>
      </c>
    </row>
    <row r="76" spans="1:4" x14ac:dyDescent="0.4">
      <c r="A76" s="30">
        <f t="shared" si="3"/>
        <v>129</v>
      </c>
      <c r="B76" s="30">
        <f t="shared" si="4"/>
        <v>1.3422818791946309</v>
      </c>
      <c r="C76" s="30">
        <f t="shared" ref="C76:C139" si="5">A76+$E$6</f>
        <v>151</v>
      </c>
      <c r="D76" s="30">
        <f t="shared" ref="D76:D139" si="6">$H$3/B76/CEILING(C76/$H$2,1)</f>
        <v>1.0057499999999999</v>
      </c>
    </row>
    <row r="77" spans="1:4" x14ac:dyDescent="0.4">
      <c r="A77" s="30">
        <f t="shared" ref="A77:A140" si="7">A76+$B$3</f>
        <v>130</v>
      </c>
      <c r="B77" s="30">
        <f t="shared" si="4"/>
        <v>1.3333333333333333</v>
      </c>
      <c r="C77" s="30">
        <f t="shared" si="5"/>
        <v>152</v>
      </c>
      <c r="D77" s="30">
        <f t="shared" si="6"/>
        <v>1.0125000000000002</v>
      </c>
    </row>
    <row r="78" spans="1:4" x14ac:dyDescent="0.4">
      <c r="A78" s="30">
        <f t="shared" si="7"/>
        <v>131</v>
      </c>
      <c r="B78" s="30">
        <f t="shared" si="4"/>
        <v>1.3245033112582782</v>
      </c>
      <c r="C78" s="30">
        <f t="shared" si="5"/>
        <v>153</v>
      </c>
      <c r="D78" s="30">
        <f t="shared" si="6"/>
        <v>1.01925</v>
      </c>
    </row>
    <row r="79" spans="1:4" x14ac:dyDescent="0.4">
      <c r="A79" s="30">
        <f t="shared" si="7"/>
        <v>132</v>
      </c>
      <c r="B79" s="30">
        <f t="shared" si="4"/>
        <v>1.3157894736842106</v>
      </c>
      <c r="C79" s="30">
        <f t="shared" si="5"/>
        <v>154</v>
      </c>
      <c r="D79" s="30">
        <f t="shared" si="6"/>
        <v>1.026</v>
      </c>
    </row>
    <row r="80" spans="1:4" x14ac:dyDescent="0.4">
      <c r="A80" s="30">
        <f t="shared" si="7"/>
        <v>133</v>
      </c>
      <c r="B80" s="30">
        <f t="shared" si="4"/>
        <v>1.3071895424836601</v>
      </c>
      <c r="C80" s="30">
        <f t="shared" si="5"/>
        <v>155</v>
      </c>
      <c r="D80" s="30">
        <f t="shared" si="6"/>
        <v>1.0327500000000001</v>
      </c>
    </row>
    <row r="81" spans="1:4" x14ac:dyDescent="0.4">
      <c r="A81" s="30">
        <f t="shared" si="7"/>
        <v>134</v>
      </c>
      <c r="B81" s="30">
        <f t="shared" si="4"/>
        <v>1.2987012987012987</v>
      </c>
      <c r="C81" s="30">
        <f t="shared" si="5"/>
        <v>156</v>
      </c>
      <c r="D81" s="30">
        <f t="shared" si="6"/>
        <v>1.0395000000000001</v>
      </c>
    </row>
    <row r="82" spans="1:4" x14ac:dyDescent="0.4">
      <c r="A82" s="30">
        <f t="shared" si="7"/>
        <v>135</v>
      </c>
      <c r="B82" s="30">
        <f t="shared" si="4"/>
        <v>1.2903225806451613</v>
      </c>
      <c r="C82" s="30">
        <f t="shared" si="5"/>
        <v>157</v>
      </c>
      <c r="D82" s="30">
        <f t="shared" si="6"/>
        <v>1.0462500000000001</v>
      </c>
    </row>
    <row r="83" spans="1:4" x14ac:dyDescent="0.4">
      <c r="A83" s="30">
        <f t="shared" si="7"/>
        <v>136</v>
      </c>
      <c r="B83" s="30">
        <f t="shared" si="4"/>
        <v>1.2820512820512822</v>
      </c>
      <c r="C83" s="30">
        <f t="shared" si="5"/>
        <v>158</v>
      </c>
      <c r="D83" s="30">
        <f t="shared" si="6"/>
        <v>1.0529999999999999</v>
      </c>
    </row>
    <row r="84" spans="1:4" x14ac:dyDescent="0.4">
      <c r="A84" s="30">
        <f t="shared" si="7"/>
        <v>137</v>
      </c>
      <c r="B84" s="30">
        <f t="shared" si="4"/>
        <v>1.2738853503184713</v>
      </c>
      <c r="C84" s="30">
        <f t="shared" si="5"/>
        <v>159</v>
      </c>
      <c r="D84" s="30">
        <f t="shared" si="6"/>
        <v>1.0597500000000002</v>
      </c>
    </row>
    <row r="85" spans="1:4" x14ac:dyDescent="0.4">
      <c r="A85" s="30">
        <f t="shared" si="7"/>
        <v>138</v>
      </c>
      <c r="B85" s="30">
        <f t="shared" si="4"/>
        <v>1.2658227848101267</v>
      </c>
      <c r="C85" s="30">
        <f t="shared" si="5"/>
        <v>160</v>
      </c>
      <c r="D85" s="30">
        <f t="shared" si="6"/>
        <v>1.0665</v>
      </c>
    </row>
    <row r="86" spans="1:4" x14ac:dyDescent="0.4">
      <c r="A86" s="30">
        <f t="shared" si="7"/>
        <v>139</v>
      </c>
      <c r="B86" s="30">
        <f t="shared" si="4"/>
        <v>1.2578616352201257</v>
      </c>
      <c r="C86" s="30">
        <f t="shared" si="5"/>
        <v>161</v>
      </c>
      <c r="D86" s="30">
        <f t="shared" si="6"/>
        <v>1.07325</v>
      </c>
    </row>
    <row r="87" spans="1:4" x14ac:dyDescent="0.4">
      <c r="A87" s="30">
        <f t="shared" si="7"/>
        <v>140</v>
      </c>
      <c r="B87" s="30">
        <f t="shared" si="4"/>
        <v>1.25</v>
      </c>
      <c r="C87" s="30">
        <f t="shared" si="5"/>
        <v>162</v>
      </c>
      <c r="D87" s="30">
        <f t="shared" si="6"/>
        <v>1.08</v>
      </c>
    </row>
    <row r="88" spans="1:4" x14ac:dyDescent="0.4">
      <c r="A88" s="30">
        <f t="shared" si="7"/>
        <v>141</v>
      </c>
      <c r="B88" s="30">
        <f t="shared" si="4"/>
        <v>1.2422360248447204</v>
      </c>
      <c r="C88" s="30">
        <f t="shared" si="5"/>
        <v>163</v>
      </c>
      <c r="D88" s="30">
        <f t="shared" si="6"/>
        <v>1.0867500000000001</v>
      </c>
    </row>
    <row r="89" spans="1:4" x14ac:dyDescent="0.4">
      <c r="A89" s="30">
        <f t="shared" si="7"/>
        <v>142</v>
      </c>
      <c r="B89" s="30">
        <f t="shared" si="4"/>
        <v>1.2345679012345678</v>
      </c>
      <c r="C89" s="30">
        <f t="shared" si="5"/>
        <v>164</v>
      </c>
      <c r="D89" s="30">
        <f t="shared" si="6"/>
        <v>1.0935000000000001</v>
      </c>
    </row>
    <row r="90" spans="1:4" x14ac:dyDescent="0.4">
      <c r="A90" s="30">
        <f t="shared" si="7"/>
        <v>143</v>
      </c>
      <c r="B90" s="30">
        <f t="shared" si="4"/>
        <v>1.2269938650306749</v>
      </c>
      <c r="C90" s="30">
        <f t="shared" si="5"/>
        <v>165</v>
      </c>
      <c r="D90" s="30">
        <f t="shared" si="6"/>
        <v>1.10025</v>
      </c>
    </row>
    <row r="91" spans="1:4" x14ac:dyDescent="0.4">
      <c r="A91" s="30">
        <f t="shared" si="7"/>
        <v>144</v>
      </c>
      <c r="B91" s="30">
        <f t="shared" si="4"/>
        <v>1.2195121951219512</v>
      </c>
      <c r="C91" s="30">
        <f t="shared" si="5"/>
        <v>166</v>
      </c>
      <c r="D91" s="30">
        <f t="shared" si="6"/>
        <v>1.1070000000000002</v>
      </c>
    </row>
    <row r="92" spans="1:4" x14ac:dyDescent="0.4">
      <c r="A92" s="30">
        <f t="shared" si="7"/>
        <v>145</v>
      </c>
      <c r="B92" s="30">
        <f t="shared" si="4"/>
        <v>1.2121212121212122</v>
      </c>
      <c r="C92" s="30">
        <f t="shared" si="5"/>
        <v>167</v>
      </c>
      <c r="D92" s="30">
        <f t="shared" si="6"/>
        <v>1.11375</v>
      </c>
    </row>
    <row r="93" spans="1:4" x14ac:dyDescent="0.4">
      <c r="A93" s="30">
        <f t="shared" si="7"/>
        <v>146</v>
      </c>
      <c r="B93" s="30">
        <f t="shared" si="4"/>
        <v>1.2048192771084338</v>
      </c>
      <c r="C93" s="30">
        <f t="shared" si="5"/>
        <v>168</v>
      </c>
      <c r="D93" s="30">
        <f t="shared" si="6"/>
        <v>1.1205000000000001</v>
      </c>
    </row>
    <row r="94" spans="1:4" x14ac:dyDescent="0.4">
      <c r="A94" s="30">
        <f t="shared" si="7"/>
        <v>147</v>
      </c>
      <c r="B94" s="30">
        <f t="shared" si="4"/>
        <v>1.1976047904191616</v>
      </c>
      <c r="C94" s="30">
        <f t="shared" si="5"/>
        <v>169</v>
      </c>
      <c r="D94" s="30">
        <f t="shared" si="6"/>
        <v>1.1272500000000001</v>
      </c>
    </row>
    <row r="95" spans="1:4" x14ac:dyDescent="0.4">
      <c r="A95" s="30">
        <f t="shared" si="7"/>
        <v>148</v>
      </c>
      <c r="B95" s="30">
        <f t="shared" si="4"/>
        <v>1.1904761904761905</v>
      </c>
      <c r="C95" s="30">
        <f t="shared" si="5"/>
        <v>170</v>
      </c>
      <c r="D95" s="30">
        <f t="shared" si="6"/>
        <v>1.1340000000000001</v>
      </c>
    </row>
    <row r="96" spans="1:4" x14ac:dyDescent="0.4">
      <c r="A96" s="30">
        <f t="shared" si="7"/>
        <v>149</v>
      </c>
      <c r="B96" s="30">
        <f t="shared" si="4"/>
        <v>1.1834319526627219</v>
      </c>
      <c r="C96" s="30">
        <f t="shared" si="5"/>
        <v>171</v>
      </c>
      <c r="D96" s="30">
        <f t="shared" si="6"/>
        <v>1.1407499999999999</v>
      </c>
    </row>
    <row r="97" spans="1:4" x14ac:dyDescent="0.4">
      <c r="A97" s="30">
        <f t="shared" si="7"/>
        <v>150</v>
      </c>
      <c r="B97" s="30">
        <f t="shared" si="4"/>
        <v>1.1764705882352942</v>
      </c>
      <c r="C97" s="30">
        <f t="shared" si="5"/>
        <v>172</v>
      </c>
      <c r="D97" s="30">
        <f t="shared" si="6"/>
        <v>1.1475</v>
      </c>
    </row>
    <row r="98" spans="1:4" x14ac:dyDescent="0.4">
      <c r="A98" s="30">
        <f t="shared" si="7"/>
        <v>151</v>
      </c>
      <c r="B98" s="30">
        <f t="shared" si="4"/>
        <v>1.1695906432748537</v>
      </c>
      <c r="C98" s="30">
        <f t="shared" si="5"/>
        <v>173</v>
      </c>
      <c r="D98" s="30">
        <f t="shared" si="6"/>
        <v>1.1542500000000002</v>
      </c>
    </row>
    <row r="99" spans="1:4" x14ac:dyDescent="0.4">
      <c r="A99" s="30">
        <f t="shared" si="7"/>
        <v>152</v>
      </c>
      <c r="B99" s="30">
        <f t="shared" si="4"/>
        <v>1.1627906976744187</v>
      </c>
      <c r="C99" s="30">
        <f t="shared" si="5"/>
        <v>174</v>
      </c>
      <c r="D99" s="30">
        <f t="shared" si="6"/>
        <v>1.161</v>
      </c>
    </row>
    <row r="100" spans="1:4" x14ac:dyDescent="0.4">
      <c r="A100" s="30">
        <f t="shared" si="7"/>
        <v>153</v>
      </c>
      <c r="B100" s="30">
        <f t="shared" si="4"/>
        <v>1.1560693641618498</v>
      </c>
      <c r="C100" s="30">
        <f t="shared" si="5"/>
        <v>175</v>
      </c>
      <c r="D100" s="30">
        <f t="shared" si="6"/>
        <v>1.1677500000000001</v>
      </c>
    </row>
    <row r="101" spans="1:4" x14ac:dyDescent="0.4">
      <c r="A101" s="30">
        <f t="shared" si="7"/>
        <v>154</v>
      </c>
      <c r="B101" s="30">
        <f t="shared" si="4"/>
        <v>1.1494252873563218</v>
      </c>
      <c r="C101" s="30">
        <f t="shared" si="5"/>
        <v>176</v>
      </c>
      <c r="D101" s="30">
        <f t="shared" si="6"/>
        <v>1.1745000000000001</v>
      </c>
    </row>
    <row r="102" spans="1:4" x14ac:dyDescent="0.4">
      <c r="A102" s="30">
        <f t="shared" si="7"/>
        <v>155</v>
      </c>
      <c r="B102" s="30">
        <f t="shared" si="4"/>
        <v>1.1428571428571428</v>
      </c>
      <c r="C102" s="30">
        <f t="shared" si="5"/>
        <v>177</v>
      </c>
      <c r="D102" s="30">
        <f t="shared" si="6"/>
        <v>1.1812500000000001</v>
      </c>
    </row>
    <row r="103" spans="1:4" x14ac:dyDescent="0.4">
      <c r="A103" s="30">
        <f t="shared" si="7"/>
        <v>156</v>
      </c>
      <c r="B103" s="30">
        <f t="shared" si="4"/>
        <v>1.1363636363636365</v>
      </c>
      <c r="C103" s="30">
        <f t="shared" si="5"/>
        <v>178</v>
      </c>
      <c r="D103" s="30">
        <f t="shared" si="6"/>
        <v>1.1879999999999999</v>
      </c>
    </row>
    <row r="104" spans="1:4" x14ac:dyDescent="0.4">
      <c r="A104" s="30">
        <f t="shared" si="7"/>
        <v>157</v>
      </c>
      <c r="B104" s="30">
        <f t="shared" si="4"/>
        <v>1.1299435028248588</v>
      </c>
      <c r="C104" s="30">
        <f t="shared" si="5"/>
        <v>179</v>
      </c>
      <c r="D104" s="30">
        <f t="shared" si="6"/>
        <v>1.19475</v>
      </c>
    </row>
    <row r="105" spans="1:4" x14ac:dyDescent="0.4">
      <c r="A105" s="30">
        <f t="shared" si="7"/>
        <v>158</v>
      </c>
      <c r="B105" s="30">
        <f t="shared" si="4"/>
        <v>1.1235955056179776</v>
      </c>
      <c r="C105" s="30">
        <f t="shared" si="5"/>
        <v>180</v>
      </c>
      <c r="D105" s="30">
        <f t="shared" si="6"/>
        <v>1.2015</v>
      </c>
    </row>
    <row r="106" spans="1:4" x14ac:dyDescent="0.4">
      <c r="A106" s="30">
        <f t="shared" si="7"/>
        <v>159</v>
      </c>
      <c r="B106" s="30">
        <f t="shared" si="4"/>
        <v>1.1173184357541899</v>
      </c>
      <c r="C106" s="30">
        <f t="shared" si="5"/>
        <v>181</v>
      </c>
      <c r="D106" s="30">
        <f t="shared" si="6"/>
        <v>1.20825</v>
      </c>
    </row>
    <row r="107" spans="1:4" x14ac:dyDescent="0.4">
      <c r="A107" s="30">
        <f t="shared" si="7"/>
        <v>160</v>
      </c>
      <c r="B107" s="30">
        <f t="shared" si="4"/>
        <v>1.1111111111111112</v>
      </c>
      <c r="C107" s="30">
        <f t="shared" si="5"/>
        <v>182</v>
      </c>
      <c r="D107" s="30">
        <f t="shared" si="6"/>
        <v>1.2150000000000001</v>
      </c>
    </row>
    <row r="108" spans="1:4" x14ac:dyDescent="0.4">
      <c r="A108" s="30">
        <f t="shared" si="7"/>
        <v>161</v>
      </c>
      <c r="B108" s="30">
        <f t="shared" si="4"/>
        <v>1.1049723756906078</v>
      </c>
      <c r="C108" s="30">
        <f t="shared" si="5"/>
        <v>183</v>
      </c>
      <c r="D108" s="30">
        <f t="shared" si="6"/>
        <v>1.2217500000000001</v>
      </c>
    </row>
    <row r="109" spans="1:4" x14ac:dyDescent="0.4">
      <c r="A109" s="30">
        <f t="shared" si="7"/>
        <v>162</v>
      </c>
      <c r="B109" s="30">
        <f t="shared" si="4"/>
        <v>1.098901098901099</v>
      </c>
      <c r="C109" s="30">
        <f t="shared" si="5"/>
        <v>184</v>
      </c>
      <c r="D109" s="30">
        <f t="shared" si="6"/>
        <v>1.2284999999999999</v>
      </c>
    </row>
    <row r="110" spans="1:4" x14ac:dyDescent="0.4">
      <c r="A110" s="30">
        <f t="shared" si="7"/>
        <v>163</v>
      </c>
      <c r="B110" s="30">
        <f t="shared" si="4"/>
        <v>1.0928961748633881</v>
      </c>
      <c r="C110" s="30">
        <f t="shared" si="5"/>
        <v>185</v>
      </c>
      <c r="D110" s="30">
        <f t="shared" si="6"/>
        <v>1.23525</v>
      </c>
    </row>
    <row r="111" spans="1:4" x14ac:dyDescent="0.4">
      <c r="A111" s="30">
        <f t="shared" si="7"/>
        <v>164</v>
      </c>
      <c r="B111" s="30">
        <f t="shared" si="4"/>
        <v>1.0869565217391304</v>
      </c>
      <c r="C111" s="30">
        <f t="shared" si="5"/>
        <v>186</v>
      </c>
      <c r="D111" s="30">
        <f t="shared" si="6"/>
        <v>1.2420000000000002</v>
      </c>
    </row>
    <row r="112" spans="1:4" x14ac:dyDescent="0.4">
      <c r="A112" s="30">
        <f t="shared" si="7"/>
        <v>165</v>
      </c>
      <c r="B112" s="30">
        <f t="shared" si="4"/>
        <v>1.0810810810810811</v>
      </c>
      <c r="C112" s="30">
        <f t="shared" si="5"/>
        <v>187</v>
      </c>
      <c r="D112" s="30">
        <f t="shared" si="6"/>
        <v>1.24875</v>
      </c>
    </row>
    <row r="113" spans="1:4" x14ac:dyDescent="0.4">
      <c r="A113" s="30">
        <f t="shared" si="7"/>
        <v>166</v>
      </c>
      <c r="B113" s="30">
        <f t="shared" si="4"/>
        <v>1.075268817204301</v>
      </c>
      <c r="C113" s="30">
        <f t="shared" si="5"/>
        <v>188</v>
      </c>
      <c r="D113" s="30">
        <f t="shared" si="6"/>
        <v>1.2555000000000001</v>
      </c>
    </row>
    <row r="114" spans="1:4" x14ac:dyDescent="0.4">
      <c r="A114" s="30">
        <f t="shared" si="7"/>
        <v>167</v>
      </c>
      <c r="B114" s="30">
        <f t="shared" si="4"/>
        <v>1.0695187165775402</v>
      </c>
      <c r="C114" s="30">
        <f t="shared" si="5"/>
        <v>189</v>
      </c>
      <c r="D114" s="30">
        <f t="shared" si="6"/>
        <v>1.2622500000000001</v>
      </c>
    </row>
    <row r="115" spans="1:4" x14ac:dyDescent="0.4">
      <c r="A115" s="30">
        <f t="shared" si="7"/>
        <v>168</v>
      </c>
      <c r="B115" s="30">
        <f t="shared" si="4"/>
        <v>1.0638297872340425</v>
      </c>
      <c r="C115" s="30">
        <f t="shared" si="5"/>
        <v>190</v>
      </c>
      <c r="D115" s="30">
        <f t="shared" si="6"/>
        <v>1.2690000000000001</v>
      </c>
    </row>
    <row r="116" spans="1:4" x14ac:dyDescent="0.4">
      <c r="A116" s="30">
        <f t="shared" si="7"/>
        <v>169</v>
      </c>
      <c r="B116" s="30">
        <f t="shared" si="4"/>
        <v>1.0582010582010581</v>
      </c>
      <c r="C116" s="30">
        <f t="shared" si="5"/>
        <v>191</v>
      </c>
      <c r="D116" s="30">
        <f t="shared" si="6"/>
        <v>1.2757500000000002</v>
      </c>
    </row>
    <row r="117" spans="1:4" x14ac:dyDescent="0.4">
      <c r="A117" s="30">
        <f t="shared" si="7"/>
        <v>170</v>
      </c>
      <c r="B117" s="30">
        <f t="shared" si="4"/>
        <v>1.0526315789473684</v>
      </c>
      <c r="C117" s="30">
        <f t="shared" si="5"/>
        <v>192</v>
      </c>
      <c r="D117" s="30">
        <f t="shared" si="6"/>
        <v>1.2825000000000002</v>
      </c>
    </row>
    <row r="118" spans="1:4" x14ac:dyDescent="0.4">
      <c r="A118" s="30">
        <f t="shared" si="7"/>
        <v>171</v>
      </c>
      <c r="B118" s="30">
        <f t="shared" si="4"/>
        <v>1.0471204188481675</v>
      </c>
      <c r="C118" s="30">
        <f t="shared" si="5"/>
        <v>193</v>
      </c>
      <c r="D118" s="30">
        <f t="shared" si="6"/>
        <v>1.28925</v>
      </c>
    </row>
    <row r="119" spans="1:4" x14ac:dyDescent="0.4">
      <c r="A119" s="30">
        <f t="shared" si="7"/>
        <v>172</v>
      </c>
      <c r="B119" s="30">
        <f t="shared" si="4"/>
        <v>1.0416666666666667</v>
      </c>
      <c r="C119" s="30">
        <f t="shared" si="5"/>
        <v>194</v>
      </c>
      <c r="D119" s="30">
        <f t="shared" si="6"/>
        <v>1.296</v>
      </c>
    </row>
    <row r="120" spans="1:4" x14ac:dyDescent="0.4">
      <c r="A120" s="30">
        <f t="shared" si="7"/>
        <v>173</v>
      </c>
      <c r="B120" s="30">
        <f t="shared" si="4"/>
        <v>1.0362694300518134</v>
      </c>
      <c r="C120" s="30">
        <f t="shared" si="5"/>
        <v>195</v>
      </c>
      <c r="D120" s="30">
        <f t="shared" si="6"/>
        <v>1.3027500000000003</v>
      </c>
    </row>
    <row r="121" spans="1:4" x14ac:dyDescent="0.4">
      <c r="A121" s="30">
        <f t="shared" si="7"/>
        <v>174</v>
      </c>
      <c r="B121" s="30">
        <f t="shared" si="4"/>
        <v>1.0309278350515463</v>
      </c>
      <c r="C121" s="30">
        <f t="shared" si="5"/>
        <v>196</v>
      </c>
      <c r="D121" s="30">
        <f t="shared" si="6"/>
        <v>1.3095000000000003</v>
      </c>
    </row>
    <row r="122" spans="1:4" x14ac:dyDescent="0.4">
      <c r="A122" s="30">
        <f t="shared" si="7"/>
        <v>175</v>
      </c>
      <c r="B122" s="30">
        <f t="shared" si="4"/>
        <v>1.0256410256410255</v>
      </c>
      <c r="C122" s="30">
        <f t="shared" si="5"/>
        <v>197</v>
      </c>
      <c r="D122" s="30">
        <f t="shared" si="6"/>
        <v>1.3162500000000001</v>
      </c>
    </row>
    <row r="123" spans="1:4" x14ac:dyDescent="0.4">
      <c r="A123" s="30">
        <f t="shared" si="7"/>
        <v>176</v>
      </c>
      <c r="B123" s="30">
        <f t="shared" si="4"/>
        <v>1.0204081632653061</v>
      </c>
      <c r="C123" s="30">
        <f t="shared" si="5"/>
        <v>198</v>
      </c>
      <c r="D123" s="30">
        <f t="shared" si="6"/>
        <v>1.323</v>
      </c>
    </row>
    <row r="124" spans="1:4" x14ac:dyDescent="0.4">
      <c r="A124" s="30">
        <f t="shared" si="7"/>
        <v>177</v>
      </c>
      <c r="B124" s="30">
        <f t="shared" si="4"/>
        <v>1.015228426395939</v>
      </c>
      <c r="C124" s="30">
        <f t="shared" si="5"/>
        <v>199</v>
      </c>
      <c r="D124" s="30">
        <f t="shared" si="6"/>
        <v>1.3297500000000002</v>
      </c>
    </row>
    <row r="125" spans="1:4" x14ac:dyDescent="0.4">
      <c r="A125" s="30">
        <f t="shared" si="7"/>
        <v>178</v>
      </c>
      <c r="B125" s="30">
        <f t="shared" si="4"/>
        <v>1.0101010101010102</v>
      </c>
      <c r="C125" s="30">
        <f t="shared" si="5"/>
        <v>200</v>
      </c>
      <c r="D125" s="30">
        <f t="shared" si="6"/>
        <v>1.3365</v>
      </c>
    </row>
    <row r="126" spans="1:4" x14ac:dyDescent="0.4">
      <c r="A126" s="30">
        <f t="shared" si="7"/>
        <v>179</v>
      </c>
      <c r="B126" s="30">
        <f t="shared" si="4"/>
        <v>1.0050251256281406</v>
      </c>
      <c r="C126" s="30">
        <f t="shared" si="5"/>
        <v>201</v>
      </c>
      <c r="D126" s="30">
        <f t="shared" si="6"/>
        <v>1.3432500000000003</v>
      </c>
    </row>
    <row r="127" spans="1:4" x14ac:dyDescent="0.4">
      <c r="A127" s="30">
        <f t="shared" si="7"/>
        <v>180</v>
      </c>
      <c r="B127" s="30">
        <f t="shared" si="4"/>
        <v>1</v>
      </c>
      <c r="C127" s="30">
        <f t="shared" si="5"/>
        <v>202</v>
      </c>
      <c r="D127" s="30">
        <f t="shared" si="6"/>
        <v>1.35</v>
      </c>
    </row>
    <row r="128" spans="1:4" x14ac:dyDescent="0.4">
      <c r="A128" s="30">
        <f t="shared" si="7"/>
        <v>181</v>
      </c>
      <c r="B128" s="30">
        <f t="shared" si="4"/>
        <v>0.99502487562189057</v>
      </c>
      <c r="C128" s="30">
        <f t="shared" si="5"/>
        <v>203</v>
      </c>
      <c r="D128" s="30">
        <f t="shared" si="6"/>
        <v>1.3567500000000001</v>
      </c>
    </row>
    <row r="129" spans="1:4" x14ac:dyDescent="0.4">
      <c r="A129" s="30">
        <f t="shared" si="7"/>
        <v>182</v>
      </c>
      <c r="B129" s="30">
        <f t="shared" si="4"/>
        <v>0.99009900990099009</v>
      </c>
      <c r="C129" s="30">
        <f t="shared" si="5"/>
        <v>204</v>
      </c>
      <c r="D129" s="30">
        <f t="shared" si="6"/>
        <v>1.3635000000000002</v>
      </c>
    </row>
    <row r="130" spans="1:4" x14ac:dyDescent="0.4">
      <c r="A130" s="30">
        <f t="shared" si="7"/>
        <v>183</v>
      </c>
      <c r="B130" s="30">
        <f t="shared" si="4"/>
        <v>0.98522167487684731</v>
      </c>
      <c r="C130" s="30">
        <f t="shared" si="5"/>
        <v>205</v>
      </c>
      <c r="D130" s="30">
        <f t="shared" si="6"/>
        <v>1.37025</v>
      </c>
    </row>
    <row r="131" spans="1:4" x14ac:dyDescent="0.4">
      <c r="A131" s="30">
        <f t="shared" si="7"/>
        <v>184</v>
      </c>
      <c r="B131" s="30">
        <f t="shared" si="4"/>
        <v>0.98039215686274506</v>
      </c>
      <c r="C131" s="30">
        <f t="shared" si="5"/>
        <v>206</v>
      </c>
      <c r="D131" s="30">
        <f t="shared" si="6"/>
        <v>1.3770000000000002</v>
      </c>
    </row>
    <row r="132" spans="1:4" x14ac:dyDescent="0.4">
      <c r="A132" s="30">
        <f t="shared" si="7"/>
        <v>185</v>
      </c>
      <c r="B132" s="30">
        <f t="shared" si="4"/>
        <v>0.97560975609756095</v>
      </c>
      <c r="C132" s="30">
        <f t="shared" si="5"/>
        <v>207</v>
      </c>
      <c r="D132" s="30">
        <f t="shared" si="6"/>
        <v>1.38375</v>
      </c>
    </row>
    <row r="133" spans="1:4" x14ac:dyDescent="0.4">
      <c r="A133" s="30">
        <f t="shared" si="7"/>
        <v>186</v>
      </c>
      <c r="B133" s="30">
        <f t="shared" si="4"/>
        <v>0.970873786407767</v>
      </c>
      <c r="C133" s="30">
        <f t="shared" si="5"/>
        <v>208</v>
      </c>
      <c r="D133" s="30">
        <f t="shared" si="6"/>
        <v>1.3905000000000001</v>
      </c>
    </row>
    <row r="134" spans="1:4" x14ac:dyDescent="0.4">
      <c r="A134" s="30">
        <f t="shared" si="7"/>
        <v>187</v>
      </c>
      <c r="B134" s="30">
        <f t="shared" si="4"/>
        <v>0.96618357487922701</v>
      </c>
      <c r="C134" s="30">
        <f t="shared" si="5"/>
        <v>209</v>
      </c>
      <c r="D134" s="30">
        <f t="shared" si="6"/>
        <v>1.3972500000000001</v>
      </c>
    </row>
    <row r="135" spans="1:4" x14ac:dyDescent="0.4">
      <c r="A135" s="30">
        <f t="shared" si="7"/>
        <v>188</v>
      </c>
      <c r="B135" s="30">
        <f t="shared" si="4"/>
        <v>0.96153846153846156</v>
      </c>
      <c r="C135" s="30">
        <f t="shared" si="5"/>
        <v>210</v>
      </c>
      <c r="D135" s="30">
        <f t="shared" si="6"/>
        <v>1.4040000000000001</v>
      </c>
    </row>
    <row r="136" spans="1:4" x14ac:dyDescent="0.4">
      <c r="A136" s="30">
        <f t="shared" si="7"/>
        <v>189</v>
      </c>
      <c r="B136" s="30">
        <f t="shared" si="4"/>
        <v>0.9569377990430622</v>
      </c>
      <c r="C136" s="30">
        <f t="shared" si="5"/>
        <v>211</v>
      </c>
      <c r="D136" s="30">
        <f t="shared" si="6"/>
        <v>1.4107500000000002</v>
      </c>
    </row>
    <row r="137" spans="1:4" x14ac:dyDescent="0.4">
      <c r="A137" s="30">
        <f t="shared" si="7"/>
        <v>190</v>
      </c>
      <c r="B137" s="30">
        <f t="shared" si="4"/>
        <v>0.95238095238095233</v>
      </c>
      <c r="C137" s="30">
        <f t="shared" si="5"/>
        <v>212</v>
      </c>
      <c r="D137" s="30">
        <f t="shared" si="6"/>
        <v>1.4175000000000002</v>
      </c>
    </row>
    <row r="138" spans="1:4" x14ac:dyDescent="0.4">
      <c r="A138" s="30">
        <f t="shared" si="7"/>
        <v>191</v>
      </c>
      <c r="B138" s="30">
        <f t="shared" si="4"/>
        <v>0.94786729857819907</v>
      </c>
      <c r="C138" s="30">
        <f t="shared" si="5"/>
        <v>213</v>
      </c>
      <c r="D138" s="30">
        <f t="shared" si="6"/>
        <v>1.42425</v>
      </c>
    </row>
    <row r="139" spans="1:4" x14ac:dyDescent="0.4">
      <c r="A139" s="30">
        <f t="shared" si="7"/>
        <v>192</v>
      </c>
      <c r="B139" s="30">
        <f t="shared" ref="B139:B202" si="8">$B$4/8/(A139+$B$2)</f>
        <v>0.94339622641509435</v>
      </c>
      <c r="C139" s="30">
        <f t="shared" si="5"/>
        <v>214</v>
      </c>
      <c r="D139" s="30">
        <f t="shared" si="6"/>
        <v>1.431</v>
      </c>
    </row>
    <row r="140" spans="1:4" x14ac:dyDescent="0.4">
      <c r="A140" s="30">
        <f t="shared" si="7"/>
        <v>193</v>
      </c>
      <c r="B140" s="30">
        <f t="shared" si="8"/>
        <v>0.93896713615023475</v>
      </c>
      <c r="C140" s="30">
        <f t="shared" ref="C140:C203" si="9">A140+$E$6</f>
        <v>215</v>
      </c>
      <c r="D140" s="30">
        <f t="shared" ref="D140:D203" si="10">$H$3/B140/CEILING(C140/$H$2,1)</f>
        <v>1.4377500000000001</v>
      </c>
    </row>
    <row r="141" spans="1:4" x14ac:dyDescent="0.4">
      <c r="A141" s="30">
        <f t="shared" ref="A141:A204" si="11">A140+$B$3</f>
        <v>194</v>
      </c>
      <c r="B141" s="30">
        <f t="shared" si="8"/>
        <v>0.93457943925233644</v>
      </c>
      <c r="C141" s="30">
        <f t="shared" si="9"/>
        <v>216</v>
      </c>
      <c r="D141" s="30">
        <f t="shared" si="10"/>
        <v>1.4445000000000001</v>
      </c>
    </row>
    <row r="142" spans="1:4" x14ac:dyDescent="0.4">
      <c r="A142" s="30">
        <f t="shared" si="11"/>
        <v>195</v>
      </c>
      <c r="B142" s="30">
        <f t="shared" si="8"/>
        <v>0.93023255813953487</v>
      </c>
      <c r="C142" s="30">
        <f t="shared" si="9"/>
        <v>217</v>
      </c>
      <c r="D142" s="30">
        <f t="shared" si="10"/>
        <v>1.4512500000000002</v>
      </c>
    </row>
    <row r="143" spans="1:4" x14ac:dyDescent="0.4">
      <c r="A143" s="30">
        <f t="shared" si="11"/>
        <v>196</v>
      </c>
      <c r="B143" s="30">
        <f t="shared" si="8"/>
        <v>0.92592592592592593</v>
      </c>
      <c r="C143" s="30">
        <f t="shared" si="9"/>
        <v>218</v>
      </c>
      <c r="D143" s="30">
        <f t="shared" si="10"/>
        <v>1.4580000000000002</v>
      </c>
    </row>
    <row r="144" spans="1:4" x14ac:dyDescent="0.4">
      <c r="A144" s="30">
        <f t="shared" si="11"/>
        <v>197</v>
      </c>
      <c r="B144" s="30">
        <f t="shared" si="8"/>
        <v>0.92165898617511521</v>
      </c>
      <c r="C144" s="30">
        <f t="shared" si="9"/>
        <v>219</v>
      </c>
      <c r="D144" s="30">
        <f t="shared" si="10"/>
        <v>1.46475</v>
      </c>
    </row>
    <row r="145" spans="1:4" x14ac:dyDescent="0.4">
      <c r="A145" s="30">
        <f t="shared" si="11"/>
        <v>198</v>
      </c>
      <c r="B145" s="30">
        <f t="shared" si="8"/>
        <v>0.91743119266055051</v>
      </c>
      <c r="C145" s="30">
        <f t="shared" si="9"/>
        <v>220</v>
      </c>
      <c r="D145" s="30">
        <f t="shared" si="10"/>
        <v>1.4715</v>
      </c>
    </row>
    <row r="146" spans="1:4" x14ac:dyDescent="0.4">
      <c r="A146" s="30">
        <f t="shared" si="11"/>
        <v>199</v>
      </c>
      <c r="B146" s="30">
        <f t="shared" si="8"/>
        <v>0.91324200913242004</v>
      </c>
      <c r="C146" s="30">
        <f t="shared" si="9"/>
        <v>221</v>
      </c>
      <c r="D146" s="30">
        <f t="shared" si="10"/>
        <v>1.4782500000000003</v>
      </c>
    </row>
    <row r="147" spans="1:4" x14ac:dyDescent="0.4">
      <c r="A147" s="30">
        <f t="shared" si="11"/>
        <v>200</v>
      </c>
      <c r="B147" s="30">
        <f t="shared" si="8"/>
        <v>0.90909090909090906</v>
      </c>
      <c r="C147" s="30">
        <f t="shared" si="9"/>
        <v>222</v>
      </c>
      <c r="D147" s="30">
        <f t="shared" si="10"/>
        <v>1.4850000000000001</v>
      </c>
    </row>
    <row r="148" spans="1:4" x14ac:dyDescent="0.4">
      <c r="A148" s="30">
        <f t="shared" si="11"/>
        <v>201</v>
      </c>
      <c r="B148" s="30">
        <f t="shared" si="8"/>
        <v>0.90497737556561086</v>
      </c>
      <c r="C148" s="30">
        <f t="shared" si="9"/>
        <v>223</v>
      </c>
      <c r="D148" s="30">
        <f t="shared" si="10"/>
        <v>1.4917500000000001</v>
      </c>
    </row>
    <row r="149" spans="1:4" x14ac:dyDescent="0.4">
      <c r="A149" s="30">
        <f t="shared" si="11"/>
        <v>202</v>
      </c>
      <c r="B149" s="30">
        <f t="shared" si="8"/>
        <v>0.90090090090090091</v>
      </c>
      <c r="C149" s="30">
        <f t="shared" si="9"/>
        <v>224</v>
      </c>
      <c r="D149" s="30">
        <f t="shared" si="10"/>
        <v>1.4985000000000002</v>
      </c>
    </row>
    <row r="150" spans="1:4" x14ac:dyDescent="0.4">
      <c r="A150" s="30">
        <f t="shared" si="11"/>
        <v>203</v>
      </c>
      <c r="B150" s="30">
        <f t="shared" si="8"/>
        <v>0.89686098654708524</v>
      </c>
      <c r="C150" s="30">
        <f t="shared" si="9"/>
        <v>225</v>
      </c>
      <c r="D150" s="30">
        <f t="shared" si="10"/>
        <v>1.50525</v>
      </c>
    </row>
    <row r="151" spans="1:4" x14ac:dyDescent="0.4">
      <c r="A151" s="30">
        <f t="shared" si="11"/>
        <v>204</v>
      </c>
      <c r="B151" s="30">
        <f t="shared" si="8"/>
        <v>0.8928571428571429</v>
      </c>
      <c r="C151" s="30">
        <f t="shared" si="9"/>
        <v>226</v>
      </c>
      <c r="D151" s="30">
        <f t="shared" si="10"/>
        <v>1.512</v>
      </c>
    </row>
    <row r="152" spans="1:4" x14ac:dyDescent="0.4">
      <c r="A152" s="30">
        <f t="shared" si="11"/>
        <v>205</v>
      </c>
      <c r="B152" s="30">
        <f t="shared" si="8"/>
        <v>0.88888888888888884</v>
      </c>
      <c r="C152" s="30">
        <f t="shared" si="9"/>
        <v>227</v>
      </c>
      <c r="D152" s="30">
        <f t="shared" si="10"/>
        <v>1.5187500000000003</v>
      </c>
    </row>
    <row r="153" spans="1:4" x14ac:dyDescent="0.4">
      <c r="A153" s="30">
        <f t="shared" si="11"/>
        <v>206</v>
      </c>
      <c r="B153" s="30">
        <f t="shared" si="8"/>
        <v>0.88495575221238942</v>
      </c>
      <c r="C153" s="30">
        <f t="shared" si="9"/>
        <v>228</v>
      </c>
      <c r="D153" s="30">
        <f t="shared" si="10"/>
        <v>1.5255000000000001</v>
      </c>
    </row>
    <row r="154" spans="1:4" x14ac:dyDescent="0.4">
      <c r="A154" s="30">
        <f t="shared" si="11"/>
        <v>207</v>
      </c>
      <c r="B154" s="30">
        <f t="shared" si="8"/>
        <v>0.88105726872246692</v>
      </c>
      <c r="C154" s="30">
        <f t="shared" si="9"/>
        <v>229</v>
      </c>
      <c r="D154" s="30">
        <f t="shared" si="10"/>
        <v>1.5322500000000001</v>
      </c>
    </row>
    <row r="155" spans="1:4" x14ac:dyDescent="0.4">
      <c r="A155" s="30">
        <f t="shared" si="11"/>
        <v>208</v>
      </c>
      <c r="B155" s="30">
        <f t="shared" si="8"/>
        <v>0.8771929824561403</v>
      </c>
      <c r="C155" s="30">
        <f t="shared" si="9"/>
        <v>230</v>
      </c>
      <c r="D155" s="30">
        <f t="shared" si="10"/>
        <v>1.5390000000000001</v>
      </c>
    </row>
    <row r="156" spans="1:4" x14ac:dyDescent="0.4">
      <c r="A156" s="30">
        <f t="shared" si="11"/>
        <v>209</v>
      </c>
      <c r="B156" s="30">
        <f t="shared" si="8"/>
        <v>0.8733624454148472</v>
      </c>
      <c r="C156" s="30">
        <f t="shared" si="9"/>
        <v>231</v>
      </c>
      <c r="D156" s="30">
        <f t="shared" si="10"/>
        <v>1.54575</v>
      </c>
    </row>
    <row r="157" spans="1:4" x14ac:dyDescent="0.4">
      <c r="A157" s="30">
        <f t="shared" si="11"/>
        <v>210</v>
      </c>
      <c r="B157" s="30">
        <f t="shared" si="8"/>
        <v>0.86956521739130432</v>
      </c>
      <c r="C157" s="30">
        <f t="shared" si="9"/>
        <v>232</v>
      </c>
      <c r="D157" s="30">
        <f t="shared" si="10"/>
        <v>1.5525000000000002</v>
      </c>
    </row>
    <row r="158" spans="1:4" x14ac:dyDescent="0.4">
      <c r="A158" s="30">
        <f t="shared" si="11"/>
        <v>211</v>
      </c>
      <c r="B158" s="30">
        <f t="shared" si="8"/>
        <v>0.86580086580086579</v>
      </c>
      <c r="C158" s="30">
        <f t="shared" si="9"/>
        <v>233</v>
      </c>
      <c r="D158" s="30">
        <f t="shared" si="10"/>
        <v>1.55925</v>
      </c>
    </row>
    <row r="159" spans="1:4" x14ac:dyDescent="0.4">
      <c r="A159" s="30">
        <f t="shared" si="11"/>
        <v>212</v>
      </c>
      <c r="B159" s="30">
        <f t="shared" si="8"/>
        <v>0.86206896551724133</v>
      </c>
      <c r="C159" s="30">
        <f t="shared" si="9"/>
        <v>234</v>
      </c>
      <c r="D159" s="30">
        <f t="shared" si="10"/>
        <v>1.5660000000000003</v>
      </c>
    </row>
    <row r="160" spans="1:4" x14ac:dyDescent="0.4">
      <c r="A160" s="30">
        <f t="shared" si="11"/>
        <v>213</v>
      </c>
      <c r="B160" s="30">
        <f t="shared" si="8"/>
        <v>0.85836909871244638</v>
      </c>
      <c r="C160" s="30">
        <f t="shared" si="9"/>
        <v>235</v>
      </c>
      <c r="D160" s="30">
        <f t="shared" si="10"/>
        <v>1.5727500000000001</v>
      </c>
    </row>
    <row r="161" spans="1:4" x14ac:dyDescent="0.4">
      <c r="A161" s="30">
        <f t="shared" si="11"/>
        <v>214</v>
      </c>
      <c r="B161" s="30">
        <f t="shared" si="8"/>
        <v>0.85470085470085466</v>
      </c>
      <c r="C161" s="30">
        <f t="shared" si="9"/>
        <v>236</v>
      </c>
      <c r="D161" s="30">
        <f t="shared" si="10"/>
        <v>1.5795000000000001</v>
      </c>
    </row>
    <row r="162" spans="1:4" x14ac:dyDescent="0.4">
      <c r="A162" s="30">
        <f t="shared" si="11"/>
        <v>215</v>
      </c>
      <c r="B162" s="30">
        <f t="shared" si="8"/>
        <v>0.85106382978723405</v>
      </c>
      <c r="C162" s="30">
        <f t="shared" si="9"/>
        <v>237</v>
      </c>
      <c r="D162" s="30">
        <f t="shared" si="10"/>
        <v>1.5862500000000002</v>
      </c>
    </row>
    <row r="163" spans="1:4" x14ac:dyDescent="0.4">
      <c r="A163" s="30">
        <f t="shared" si="11"/>
        <v>216</v>
      </c>
      <c r="B163" s="30">
        <f t="shared" si="8"/>
        <v>0.84745762711864403</v>
      </c>
      <c r="C163" s="30">
        <f t="shared" si="9"/>
        <v>238</v>
      </c>
      <c r="D163" s="30">
        <f t="shared" si="10"/>
        <v>1.5930000000000002</v>
      </c>
    </row>
    <row r="164" spans="1:4" x14ac:dyDescent="0.4">
      <c r="A164" s="30">
        <f t="shared" si="11"/>
        <v>217</v>
      </c>
      <c r="B164" s="30">
        <f t="shared" si="8"/>
        <v>0.84388185654008441</v>
      </c>
      <c r="C164" s="30">
        <f t="shared" si="9"/>
        <v>239</v>
      </c>
      <c r="D164" s="30">
        <f t="shared" si="10"/>
        <v>1.59975</v>
      </c>
    </row>
    <row r="165" spans="1:4" x14ac:dyDescent="0.4">
      <c r="A165" s="30">
        <f t="shared" si="11"/>
        <v>218</v>
      </c>
      <c r="B165" s="30">
        <f t="shared" si="8"/>
        <v>0.84033613445378152</v>
      </c>
      <c r="C165" s="30">
        <f t="shared" si="9"/>
        <v>240</v>
      </c>
      <c r="D165" s="30">
        <f t="shared" si="10"/>
        <v>1.6065</v>
      </c>
    </row>
    <row r="166" spans="1:4" x14ac:dyDescent="0.4">
      <c r="A166" s="30">
        <f t="shared" si="11"/>
        <v>219</v>
      </c>
      <c r="B166" s="30">
        <f t="shared" si="8"/>
        <v>0.83682008368200833</v>
      </c>
      <c r="C166" s="30">
        <f t="shared" si="9"/>
        <v>241</v>
      </c>
      <c r="D166" s="30">
        <f t="shared" si="10"/>
        <v>1.6132500000000001</v>
      </c>
    </row>
    <row r="167" spans="1:4" x14ac:dyDescent="0.4">
      <c r="A167" s="30">
        <f t="shared" si="11"/>
        <v>220</v>
      </c>
      <c r="B167" s="30">
        <f t="shared" si="8"/>
        <v>0.83333333333333337</v>
      </c>
      <c r="C167" s="30">
        <f t="shared" si="9"/>
        <v>242</v>
      </c>
      <c r="D167" s="30">
        <f t="shared" si="10"/>
        <v>1.62</v>
      </c>
    </row>
    <row r="168" spans="1:4" x14ac:dyDescent="0.4">
      <c r="A168" s="30">
        <f t="shared" si="11"/>
        <v>221</v>
      </c>
      <c r="B168" s="30">
        <f t="shared" si="8"/>
        <v>0.82987551867219922</v>
      </c>
      <c r="C168" s="30">
        <f t="shared" si="9"/>
        <v>243</v>
      </c>
      <c r="D168" s="30">
        <f t="shared" si="10"/>
        <v>1.6267499999999999</v>
      </c>
    </row>
    <row r="169" spans="1:4" x14ac:dyDescent="0.4">
      <c r="A169" s="30">
        <f t="shared" si="11"/>
        <v>222</v>
      </c>
      <c r="B169" s="30">
        <f t="shared" si="8"/>
        <v>0.82644628099173556</v>
      </c>
      <c r="C169" s="30">
        <f t="shared" si="9"/>
        <v>244</v>
      </c>
      <c r="D169" s="30">
        <f t="shared" si="10"/>
        <v>1.6335</v>
      </c>
    </row>
    <row r="170" spans="1:4" x14ac:dyDescent="0.4">
      <c r="A170" s="30">
        <f t="shared" si="11"/>
        <v>223</v>
      </c>
      <c r="B170" s="30">
        <f t="shared" si="8"/>
        <v>0.82304526748971196</v>
      </c>
      <c r="C170" s="30">
        <f t="shared" si="9"/>
        <v>245</v>
      </c>
      <c r="D170" s="30">
        <f t="shared" si="10"/>
        <v>1.64025</v>
      </c>
    </row>
    <row r="171" spans="1:4" x14ac:dyDescent="0.4">
      <c r="A171" s="30">
        <f t="shared" si="11"/>
        <v>224</v>
      </c>
      <c r="B171" s="30">
        <f t="shared" si="8"/>
        <v>0.81967213114754101</v>
      </c>
      <c r="C171" s="30">
        <f t="shared" si="9"/>
        <v>246</v>
      </c>
      <c r="D171" s="30">
        <f t="shared" si="10"/>
        <v>1.647</v>
      </c>
    </row>
    <row r="172" spans="1:4" x14ac:dyDescent="0.4">
      <c r="A172" s="30">
        <f t="shared" si="11"/>
        <v>225</v>
      </c>
      <c r="B172" s="30">
        <f t="shared" si="8"/>
        <v>0.81632653061224492</v>
      </c>
      <c r="C172" s="30">
        <f t="shared" si="9"/>
        <v>247</v>
      </c>
      <c r="D172" s="30">
        <f t="shared" si="10"/>
        <v>1.6537500000000001</v>
      </c>
    </row>
    <row r="173" spans="1:4" x14ac:dyDescent="0.4">
      <c r="A173" s="30">
        <f t="shared" si="11"/>
        <v>226</v>
      </c>
      <c r="B173" s="30">
        <f t="shared" si="8"/>
        <v>0.81300813008130079</v>
      </c>
      <c r="C173" s="30">
        <f t="shared" si="9"/>
        <v>248</v>
      </c>
      <c r="D173" s="30">
        <f t="shared" si="10"/>
        <v>1.6605000000000001</v>
      </c>
    </row>
    <row r="174" spans="1:4" x14ac:dyDescent="0.4">
      <c r="A174" s="30">
        <f t="shared" si="11"/>
        <v>227</v>
      </c>
      <c r="B174" s="30">
        <f t="shared" si="8"/>
        <v>0.80971659919028338</v>
      </c>
      <c r="C174" s="30">
        <f t="shared" si="9"/>
        <v>249</v>
      </c>
      <c r="D174" s="30">
        <f t="shared" si="10"/>
        <v>1.6672500000000001</v>
      </c>
    </row>
    <row r="175" spans="1:4" x14ac:dyDescent="0.4">
      <c r="A175" s="30">
        <f t="shared" si="11"/>
        <v>228</v>
      </c>
      <c r="B175" s="30">
        <f t="shared" si="8"/>
        <v>0.80645161290322576</v>
      </c>
      <c r="C175" s="30">
        <f t="shared" si="9"/>
        <v>250</v>
      </c>
      <c r="D175" s="30">
        <f t="shared" si="10"/>
        <v>1.6740000000000002</v>
      </c>
    </row>
    <row r="176" spans="1:4" x14ac:dyDescent="0.4">
      <c r="A176" s="30">
        <f t="shared" si="11"/>
        <v>229</v>
      </c>
      <c r="B176" s="30">
        <f t="shared" si="8"/>
        <v>0.80321285140562249</v>
      </c>
      <c r="C176" s="30">
        <f t="shared" si="9"/>
        <v>251</v>
      </c>
      <c r="D176" s="30">
        <f t="shared" si="10"/>
        <v>1.6807500000000002</v>
      </c>
    </row>
    <row r="177" spans="1:4" x14ac:dyDescent="0.4">
      <c r="A177" s="30">
        <f t="shared" si="11"/>
        <v>230</v>
      </c>
      <c r="B177" s="30">
        <f t="shared" si="8"/>
        <v>0.8</v>
      </c>
      <c r="C177" s="30">
        <f t="shared" si="9"/>
        <v>252</v>
      </c>
      <c r="D177" s="30">
        <f t="shared" si="10"/>
        <v>1.6875</v>
      </c>
    </row>
    <row r="178" spans="1:4" x14ac:dyDescent="0.4">
      <c r="A178" s="30">
        <f t="shared" si="11"/>
        <v>231</v>
      </c>
      <c r="B178" s="30">
        <f t="shared" si="8"/>
        <v>0.79681274900398402</v>
      </c>
      <c r="C178" s="30">
        <f t="shared" si="9"/>
        <v>253</v>
      </c>
      <c r="D178" s="30">
        <f t="shared" si="10"/>
        <v>1.6942500000000003</v>
      </c>
    </row>
    <row r="179" spans="1:4" x14ac:dyDescent="0.4">
      <c r="A179" s="30">
        <f t="shared" si="11"/>
        <v>232</v>
      </c>
      <c r="B179" s="30">
        <f t="shared" si="8"/>
        <v>0.79365079365079361</v>
      </c>
      <c r="C179" s="30">
        <f t="shared" si="9"/>
        <v>254</v>
      </c>
      <c r="D179" s="30">
        <f t="shared" si="10"/>
        <v>1.7010000000000003</v>
      </c>
    </row>
    <row r="180" spans="1:4" x14ac:dyDescent="0.4">
      <c r="A180" s="30">
        <f t="shared" si="11"/>
        <v>233</v>
      </c>
      <c r="B180" s="30">
        <f t="shared" si="8"/>
        <v>0.79051383399209485</v>
      </c>
      <c r="C180" s="30">
        <f t="shared" si="9"/>
        <v>255</v>
      </c>
      <c r="D180" s="30">
        <f t="shared" si="10"/>
        <v>1.7077500000000001</v>
      </c>
    </row>
    <row r="181" spans="1:4" x14ac:dyDescent="0.4">
      <c r="A181" s="30">
        <f t="shared" si="11"/>
        <v>234</v>
      </c>
      <c r="B181" s="30">
        <f t="shared" si="8"/>
        <v>0.78740157480314965</v>
      </c>
      <c r="C181" s="30">
        <f t="shared" si="9"/>
        <v>256</v>
      </c>
      <c r="D181" s="30">
        <f t="shared" si="10"/>
        <v>1.7144999999999999</v>
      </c>
    </row>
    <row r="182" spans="1:4" x14ac:dyDescent="0.4">
      <c r="A182" s="30">
        <f t="shared" si="11"/>
        <v>235</v>
      </c>
      <c r="B182" s="30">
        <f t="shared" si="8"/>
        <v>0.78431372549019607</v>
      </c>
      <c r="C182" s="30">
        <f t="shared" si="9"/>
        <v>257</v>
      </c>
      <c r="D182" s="30">
        <f t="shared" si="10"/>
        <v>0.86062500000000008</v>
      </c>
    </row>
    <row r="183" spans="1:4" x14ac:dyDescent="0.4">
      <c r="A183" s="30">
        <f t="shared" si="11"/>
        <v>236</v>
      </c>
      <c r="B183" s="30">
        <f t="shared" si="8"/>
        <v>0.78125</v>
      </c>
      <c r="C183" s="30">
        <f t="shared" si="9"/>
        <v>258</v>
      </c>
      <c r="D183" s="30">
        <f t="shared" si="10"/>
        <v>0.8640000000000001</v>
      </c>
    </row>
    <row r="184" spans="1:4" x14ac:dyDescent="0.4">
      <c r="A184" s="30">
        <f t="shared" si="11"/>
        <v>237</v>
      </c>
      <c r="B184" s="30">
        <f t="shared" si="8"/>
        <v>0.77821011673151752</v>
      </c>
      <c r="C184" s="30">
        <f t="shared" si="9"/>
        <v>259</v>
      </c>
      <c r="D184" s="30">
        <f t="shared" si="10"/>
        <v>0.86737500000000001</v>
      </c>
    </row>
    <row r="185" spans="1:4" x14ac:dyDescent="0.4">
      <c r="A185" s="30">
        <f t="shared" si="11"/>
        <v>238</v>
      </c>
      <c r="B185" s="30">
        <f t="shared" si="8"/>
        <v>0.77519379844961245</v>
      </c>
      <c r="C185" s="30">
        <f t="shared" si="9"/>
        <v>260</v>
      </c>
      <c r="D185" s="30">
        <f t="shared" si="10"/>
        <v>0.87075000000000002</v>
      </c>
    </row>
    <row r="186" spans="1:4" x14ac:dyDescent="0.4">
      <c r="A186" s="30">
        <f t="shared" si="11"/>
        <v>239</v>
      </c>
      <c r="B186" s="30">
        <f t="shared" si="8"/>
        <v>0.77220077220077221</v>
      </c>
      <c r="C186" s="30">
        <f t="shared" si="9"/>
        <v>261</v>
      </c>
      <c r="D186" s="30">
        <f t="shared" si="10"/>
        <v>0.87412500000000004</v>
      </c>
    </row>
    <row r="187" spans="1:4" x14ac:dyDescent="0.4">
      <c r="A187" s="30">
        <f t="shared" si="11"/>
        <v>240</v>
      </c>
      <c r="B187" s="30">
        <f t="shared" si="8"/>
        <v>0.76923076923076927</v>
      </c>
      <c r="C187" s="30">
        <f t="shared" si="9"/>
        <v>262</v>
      </c>
      <c r="D187" s="30">
        <f t="shared" si="10"/>
        <v>0.87750000000000006</v>
      </c>
    </row>
    <row r="188" spans="1:4" x14ac:dyDescent="0.4">
      <c r="A188" s="30">
        <f t="shared" si="11"/>
        <v>241</v>
      </c>
      <c r="B188" s="30">
        <f t="shared" si="8"/>
        <v>0.76628352490421459</v>
      </c>
      <c r="C188" s="30">
        <f t="shared" si="9"/>
        <v>263</v>
      </c>
      <c r="D188" s="30">
        <f t="shared" si="10"/>
        <v>0.88087500000000007</v>
      </c>
    </row>
    <row r="189" spans="1:4" x14ac:dyDescent="0.4">
      <c r="A189" s="30">
        <f t="shared" si="11"/>
        <v>242</v>
      </c>
      <c r="B189" s="30">
        <f t="shared" si="8"/>
        <v>0.76335877862595425</v>
      </c>
      <c r="C189" s="30">
        <f t="shared" si="9"/>
        <v>264</v>
      </c>
      <c r="D189" s="30">
        <f t="shared" si="10"/>
        <v>0.88424999999999998</v>
      </c>
    </row>
    <row r="190" spans="1:4" x14ac:dyDescent="0.4">
      <c r="A190" s="30">
        <f t="shared" si="11"/>
        <v>243</v>
      </c>
      <c r="B190" s="30">
        <f t="shared" si="8"/>
        <v>0.76045627376425851</v>
      </c>
      <c r="C190" s="30">
        <f t="shared" si="9"/>
        <v>265</v>
      </c>
      <c r="D190" s="30">
        <f t="shared" si="10"/>
        <v>0.88762500000000011</v>
      </c>
    </row>
    <row r="191" spans="1:4" x14ac:dyDescent="0.4">
      <c r="A191" s="30">
        <f t="shared" si="11"/>
        <v>244</v>
      </c>
      <c r="B191" s="30">
        <f t="shared" si="8"/>
        <v>0.75757575757575757</v>
      </c>
      <c r="C191" s="30">
        <f t="shared" si="9"/>
        <v>266</v>
      </c>
      <c r="D191" s="30">
        <f t="shared" si="10"/>
        <v>0.89100000000000001</v>
      </c>
    </row>
    <row r="192" spans="1:4" x14ac:dyDescent="0.4">
      <c r="A192" s="30">
        <f t="shared" si="11"/>
        <v>245</v>
      </c>
      <c r="B192" s="30">
        <f t="shared" si="8"/>
        <v>0.75471698113207553</v>
      </c>
      <c r="C192" s="30">
        <f t="shared" si="9"/>
        <v>267</v>
      </c>
      <c r="D192" s="30">
        <f t="shared" si="10"/>
        <v>0.89437500000000003</v>
      </c>
    </row>
    <row r="193" spans="1:4" x14ac:dyDescent="0.4">
      <c r="A193" s="30">
        <f t="shared" si="11"/>
        <v>246</v>
      </c>
      <c r="B193" s="30">
        <f t="shared" si="8"/>
        <v>0.75187969924812026</v>
      </c>
      <c r="C193" s="30">
        <f t="shared" si="9"/>
        <v>268</v>
      </c>
      <c r="D193" s="30">
        <f t="shared" si="10"/>
        <v>0.89775000000000016</v>
      </c>
    </row>
    <row r="194" spans="1:4" x14ac:dyDescent="0.4">
      <c r="A194" s="30">
        <f t="shared" si="11"/>
        <v>247</v>
      </c>
      <c r="B194" s="30">
        <f t="shared" si="8"/>
        <v>0.74906367041198507</v>
      </c>
      <c r="C194" s="30">
        <f t="shared" si="9"/>
        <v>269</v>
      </c>
      <c r="D194" s="30">
        <f t="shared" si="10"/>
        <v>0.90112499999999995</v>
      </c>
    </row>
    <row r="195" spans="1:4" x14ac:dyDescent="0.4">
      <c r="A195" s="30">
        <f t="shared" si="11"/>
        <v>248</v>
      </c>
      <c r="B195" s="30">
        <f t="shared" si="8"/>
        <v>0.74626865671641796</v>
      </c>
      <c r="C195" s="30">
        <f t="shared" si="9"/>
        <v>270</v>
      </c>
      <c r="D195" s="30">
        <f t="shared" si="10"/>
        <v>0.90449999999999997</v>
      </c>
    </row>
    <row r="196" spans="1:4" x14ac:dyDescent="0.4">
      <c r="A196" s="30">
        <f t="shared" si="11"/>
        <v>249</v>
      </c>
      <c r="B196" s="30">
        <f t="shared" si="8"/>
        <v>0.74349442379182151</v>
      </c>
      <c r="C196" s="30">
        <f t="shared" si="9"/>
        <v>271</v>
      </c>
      <c r="D196" s="30">
        <f t="shared" si="10"/>
        <v>0.9078750000000001</v>
      </c>
    </row>
    <row r="197" spans="1:4" x14ac:dyDescent="0.4">
      <c r="A197" s="30">
        <f t="shared" si="11"/>
        <v>250</v>
      </c>
      <c r="B197" s="30">
        <f t="shared" si="8"/>
        <v>0.7407407407407407</v>
      </c>
      <c r="C197" s="30">
        <f t="shared" si="9"/>
        <v>272</v>
      </c>
      <c r="D197" s="30">
        <f t="shared" si="10"/>
        <v>0.91125000000000012</v>
      </c>
    </row>
    <row r="198" spans="1:4" x14ac:dyDescent="0.4">
      <c r="A198" s="30">
        <f t="shared" si="11"/>
        <v>251</v>
      </c>
      <c r="B198" s="30">
        <f t="shared" si="8"/>
        <v>0.73800738007380073</v>
      </c>
      <c r="C198" s="30">
        <f t="shared" si="9"/>
        <v>273</v>
      </c>
      <c r="D198" s="30">
        <f t="shared" si="10"/>
        <v>0.91462500000000002</v>
      </c>
    </row>
    <row r="199" spans="1:4" x14ac:dyDescent="0.4">
      <c r="A199" s="30">
        <f t="shared" si="11"/>
        <v>252</v>
      </c>
      <c r="B199" s="30">
        <f t="shared" si="8"/>
        <v>0.73529411764705888</v>
      </c>
      <c r="C199" s="30">
        <f t="shared" si="9"/>
        <v>274</v>
      </c>
      <c r="D199" s="30">
        <f t="shared" si="10"/>
        <v>0.91800000000000004</v>
      </c>
    </row>
    <row r="200" spans="1:4" x14ac:dyDescent="0.4">
      <c r="A200" s="30">
        <f t="shared" si="11"/>
        <v>253</v>
      </c>
      <c r="B200" s="30">
        <f t="shared" si="8"/>
        <v>0.73260073260073255</v>
      </c>
      <c r="C200" s="30">
        <f t="shared" si="9"/>
        <v>275</v>
      </c>
      <c r="D200" s="30">
        <f t="shared" si="10"/>
        <v>0.92137500000000017</v>
      </c>
    </row>
    <row r="201" spans="1:4" x14ac:dyDescent="0.4">
      <c r="A201" s="30">
        <f t="shared" si="11"/>
        <v>254</v>
      </c>
      <c r="B201" s="30">
        <f t="shared" si="8"/>
        <v>0.72992700729927007</v>
      </c>
      <c r="C201" s="30">
        <f t="shared" si="9"/>
        <v>276</v>
      </c>
      <c r="D201" s="30">
        <f t="shared" si="10"/>
        <v>0.92475000000000007</v>
      </c>
    </row>
    <row r="202" spans="1:4" x14ac:dyDescent="0.4">
      <c r="A202" s="30">
        <f t="shared" si="11"/>
        <v>255</v>
      </c>
      <c r="B202" s="30">
        <f t="shared" si="8"/>
        <v>0.72727272727272729</v>
      </c>
      <c r="C202" s="30">
        <f t="shared" si="9"/>
        <v>277</v>
      </c>
      <c r="D202" s="30">
        <f t="shared" si="10"/>
        <v>0.92812500000000009</v>
      </c>
    </row>
    <row r="203" spans="1:4" x14ac:dyDescent="0.4">
      <c r="A203" s="30">
        <f t="shared" si="11"/>
        <v>256</v>
      </c>
      <c r="B203" s="30">
        <f t="shared" ref="B203:B266" si="12">$B$4/8/(A203+$B$2)</f>
        <v>0.72463768115942029</v>
      </c>
      <c r="C203" s="30">
        <f t="shared" si="9"/>
        <v>278</v>
      </c>
      <c r="D203" s="30">
        <f t="shared" si="10"/>
        <v>0.93150000000000011</v>
      </c>
    </row>
    <row r="204" spans="1:4" x14ac:dyDescent="0.4">
      <c r="A204" s="30">
        <f t="shared" si="11"/>
        <v>257</v>
      </c>
      <c r="B204" s="30">
        <f t="shared" si="12"/>
        <v>0.72202166064981954</v>
      </c>
      <c r="C204" s="30">
        <f t="shared" ref="C204:C267" si="13">A204+$E$6</f>
        <v>279</v>
      </c>
      <c r="D204" s="30">
        <f t="shared" ref="D204:D267" si="14">$H$3/B204/CEILING(C204/$H$2,1)</f>
        <v>0.93487500000000001</v>
      </c>
    </row>
    <row r="205" spans="1:4" x14ac:dyDescent="0.4">
      <c r="A205" s="30">
        <f t="shared" ref="A205:A268" si="15">A204+$B$3</f>
        <v>258</v>
      </c>
      <c r="B205" s="30">
        <f t="shared" si="12"/>
        <v>0.71942446043165464</v>
      </c>
      <c r="C205" s="30">
        <f t="shared" si="13"/>
        <v>280</v>
      </c>
      <c r="D205" s="30">
        <f t="shared" si="14"/>
        <v>0.93825000000000014</v>
      </c>
    </row>
    <row r="206" spans="1:4" x14ac:dyDescent="0.4">
      <c r="A206" s="30">
        <f t="shared" si="15"/>
        <v>259</v>
      </c>
      <c r="B206" s="30">
        <f t="shared" si="12"/>
        <v>0.71684587813620071</v>
      </c>
      <c r="C206" s="30">
        <f t="shared" si="13"/>
        <v>281</v>
      </c>
      <c r="D206" s="30">
        <f t="shared" si="14"/>
        <v>0.94162500000000005</v>
      </c>
    </row>
    <row r="207" spans="1:4" x14ac:dyDescent="0.4">
      <c r="A207" s="30">
        <f t="shared" si="15"/>
        <v>260</v>
      </c>
      <c r="B207" s="30">
        <f t="shared" si="12"/>
        <v>0.7142857142857143</v>
      </c>
      <c r="C207" s="30">
        <f t="shared" si="13"/>
        <v>282</v>
      </c>
      <c r="D207" s="30">
        <f t="shared" si="14"/>
        <v>0.94500000000000006</v>
      </c>
    </row>
    <row r="208" spans="1:4" x14ac:dyDescent="0.4">
      <c r="A208" s="30">
        <f t="shared" si="15"/>
        <v>261</v>
      </c>
      <c r="B208" s="30">
        <f t="shared" si="12"/>
        <v>0.71174377224199292</v>
      </c>
      <c r="C208" s="30">
        <f t="shared" si="13"/>
        <v>283</v>
      </c>
      <c r="D208" s="30">
        <f t="shared" si="14"/>
        <v>0.94837499999999997</v>
      </c>
    </row>
    <row r="209" spans="1:4" x14ac:dyDescent="0.4">
      <c r="A209" s="30">
        <f t="shared" si="15"/>
        <v>262</v>
      </c>
      <c r="B209" s="30">
        <f t="shared" si="12"/>
        <v>0.70921985815602839</v>
      </c>
      <c r="C209" s="30">
        <f t="shared" si="13"/>
        <v>284</v>
      </c>
      <c r="D209" s="30">
        <f t="shared" si="14"/>
        <v>0.95174999999999998</v>
      </c>
    </row>
    <row r="210" spans="1:4" x14ac:dyDescent="0.4">
      <c r="A210" s="30">
        <f t="shared" si="15"/>
        <v>263</v>
      </c>
      <c r="B210" s="30">
        <f t="shared" si="12"/>
        <v>0.70671378091872794</v>
      </c>
      <c r="C210" s="30">
        <f t="shared" si="13"/>
        <v>285</v>
      </c>
      <c r="D210" s="30">
        <f t="shared" si="14"/>
        <v>0.955125</v>
      </c>
    </row>
    <row r="211" spans="1:4" x14ac:dyDescent="0.4">
      <c r="A211" s="30">
        <f t="shared" si="15"/>
        <v>264</v>
      </c>
      <c r="B211" s="30">
        <f t="shared" si="12"/>
        <v>0.70422535211267601</v>
      </c>
      <c r="C211" s="30">
        <f t="shared" si="13"/>
        <v>286</v>
      </c>
      <c r="D211" s="30">
        <f t="shared" si="14"/>
        <v>0.95850000000000013</v>
      </c>
    </row>
    <row r="212" spans="1:4" x14ac:dyDescent="0.4">
      <c r="A212" s="30">
        <f t="shared" si="15"/>
        <v>265</v>
      </c>
      <c r="B212" s="30">
        <f t="shared" si="12"/>
        <v>0.70175438596491224</v>
      </c>
      <c r="C212" s="30">
        <f t="shared" si="13"/>
        <v>287</v>
      </c>
      <c r="D212" s="30">
        <f t="shared" si="14"/>
        <v>0.96187500000000015</v>
      </c>
    </row>
    <row r="213" spans="1:4" x14ac:dyDescent="0.4">
      <c r="A213" s="30">
        <f t="shared" si="15"/>
        <v>266</v>
      </c>
      <c r="B213" s="30">
        <f t="shared" si="12"/>
        <v>0.69930069930069927</v>
      </c>
      <c r="C213" s="30">
        <f t="shared" si="13"/>
        <v>288</v>
      </c>
      <c r="D213" s="30">
        <f t="shared" si="14"/>
        <v>0.96525000000000005</v>
      </c>
    </row>
    <row r="214" spans="1:4" x14ac:dyDescent="0.4">
      <c r="A214" s="30">
        <f t="shared" si="15"/>
        <v>267</v>
      </c>
      <c r="B214" s="30">
        <f t="shared" si="12"/>
        <v>0.69686411149825789</v>
      </c>
      <c r="C214" s="30">
        <f t="shared" si="13"/>
        <v>289</v>
      </c>
      <c r="D214" s="30">
        <f t="shared" si="14"/>
        <v>0.96862499999999996</v>
      </c>
    </row>
    <row r="215" spans="1:4" x14ac:dyDescent="0.4">
      <c r="A215" s="30">
        <f t="shared" si="15"/>
        <v>268</v>
      </c>
      <c r="B215" s="30">
        <f t="shared" si="12"/>
        <v>0.69444444444444442</v>
      </c>
      <c r="C215" s="30">
        <f t="shared" si="13"/>
        <v>290</v>
      </c>
      <c r="D215" s="30">
        <f t="shared" si="14"/>
        <v>0.97200000000000009</v>
      </c>
    </row>
    <row r="216" spans="1:4" x14ac:dyDescent="0.4">
      <c r="A216" s="30">
        <f t="shared" si="15"/>
        <v>269</v>
      </c>
      <c r="B216" s="30">
        <f t="shared" si="12"/>
        <v>0.69204152249134943</v>
      </c>
      <c r="C216" s="30">
        <f t="shared" si="13"/>
        <v>291</v>
      </c>
      <c r="D216" s="30">
        <f t="shared" si="14"/>
        <v>0.9753750000000001</v>
      </c>
    </row>
    <row r="217" spans="1:4" x14ac:dyDescent="0.4">
      <c r="A217" s="30">
        <f t="shared" si="15"/>
        <v>270</v>
      </c>
      <c r="B217" s="30">
        <f t="shared" si="12"/>
        <v>0.68965517241379315</v>
      </c>
      <c r="C217" s="30">
        <f t="shared" si="13"/>
        <v>292</v>
      </c>
      <c r="D217" s="30">
        <f t="shared" si="14"/>
        <v>0.97875000000000001</v>
      </c>
    </row>
    <row r="218" spans="1:4" x14ac:dyDescent="0.4">
      <c r="A218" s="30">
        <f t="shared" si="15"/>
        <v>271</v>
      </c>
      <c r="B218" s="30">
        <f t="shared" si="12"/>
        <v>0.6872852233676976</v>
      </c>
      <c r="C218" s="30">
        <f t="shared" si="13"/>
        <v>293</v>
      </c>
      <c r="D218" s="30">
        <f t="shared" si="14"/>
        <v>0.98212500000000003</v>
      </c>
    </row>
    <row r="219" spans="1:4" x14ac:dyDescent="0.4">
      <c r="A219" s="30">
        <f t="shared" si="15"/>
        <v>272</v>
      </c>
      <c r="B219" s="30">
        <f t="shared" si="12"/>
        <v>0.68493150684931503</v>
      </c>
      <c r="C219" s="30">
        <f t="shared" si="13"/>
        <v>294</v>
      </c>
      <c r="D219" s="30">
        <f t="shared" si="14"/>
        <v>0.98550000000000015</v>
      </c>
    </row>
    <row r="220" spans="1:4" x14ac:dyDescent="0.4">
      <c r="A220" s="30">
        <f t="shared" si="15"/>
        <v>273</v>
      </c>
      <c r="B220" s="30">
        <f t="shared" si="12"/>
        <v>0.68259385665529015</v>
      </c>
      <c r="C220" s="30">
        <f t="shared" si="13"/>
        <v>295</v>
      </c>
      <c r="D220" s="30">
        <f t="shared" si="14"/>
        <v>0.98887499999999995</v>
      </c>
    </row>
    <row r="221" spans="1:4" x14ac:dyDescent="0.4">
      <c r="A221" s="30">
        <f t="shared" si="15"/>
        <v>274</v>
      </c>
      <c r="B221" s="30">
        <f t="shared" si="12"/>
        <v>0.68027210884353739</v>
      </c>
      <c r="C221" s="30">
        <f t="shared" si="13"/>
        <v>296</v>
      </c>
      <c r="D221" s="30">
        <f t="shared" si="14"/>
        <v>0.99225000000000008</v>
      </c>
    </row>
    <row r="222" spans="1:4" x14ac:dyDescent="0.4">
      <c r="A222" s="30">
        <f t="shared" si="15"/>
        <v>275</v>
      </c>
      <c r="B222" s="30">
        <f t="shared" si="12"/>
        <v>0.67796610169491522</v>
      </c>
      <c r="C222" s="30">
        <f t="shared" si="13"/>
        <v>297</v>
      </c>
      <c r="D222" s="30">
        <f t="shared" si="14"/>
        <v>0.99562500000000009</v>
      </c>
    </row>
    <row r="223" spans="1:4" x14ac:dyDescent="0.4">
      <c r="A223" s="30">
        <f t="shared" si="15"/>
        <v>276</v>
      </c>
      <c r="B223" s="30">
        <f t="shared" si="12"/>
        <v>0.67567567567567566</v>
      </c>
      <c r="C223" s="30">
        <f t="shared" si="13"/>
        <v>298</v>
      </c>
      <c r="D223" s="30">
        <f t="shared" si="14"/>
        <v>0.99900000000000011</v>
      </c>
    </row>
    <row r="224" spans="1:4" x14ac:dyDescent="0.4">
      <c r="A224" s="30">
        <f t="shared" si="15"/>
        <v>277</v>
      </c>
      <c r="B224" s="30">
        <f t="shared" si="12"/>
        <v>0.67340067340067344</v>
      </c>
      <c r="C224" s="30">
        <f t="shared" si="13"/>
        <v>299</v>
      </c>
      <c r="D224" s="30">
        <f t="shared" si="14"/>
        <v>1.002375</v>
      </c>
    </row>
    <row r="225" spans="1:4" x14ac:dyDescent="0.4">
      <c r="A225" s="30">
        <f t="shared" si="15"/>
        <v>278</v>
      </c>
      <c r="B225" s="30">
        <f t="shared" si="12"/>
        <v>0.67114093959731547</v>
      </c>
      <c r="C225" s="30">
        <f t="shared" si="13"/>
        <v>300</v>
      </c>
      <c r="D225" s="30">
        <f t="shared" si="14"/>
        <v>1.0057499999999999</v>
      </c>
    </row>
    <row r="226" spans="1:4" x14ac:dyDescent="0.4">
      <c r="A226" s="30">
        <f t="shared" si="15"/>
        <v>279</v>
      </c>
      <c r="B226" s="30">
        <f t="shared" si="12"/>
        <v>0.66889632107023411</v>
      </c>
      <c r="C226" s="30">
        <f t="shared" si="13"/>
        <v>301</v>
      </c>
      <c r="D226" s="30">
        <f t="shared" si="14"/>
        <v>1.009125</v>
      </c>
    </row>
    <row r="227" spans="1:4" x14ac:dyDescent="0.4">
      <c r="A227" s="30">
        <f t="shared" si="15"/>
        <v>280</v>
      </c>
      <c r="B227" s="30">
        <f t="shared" si="12"/>
        <v>0.66666666666666663</v>
      </c>
      <c r="C227" s="30">
        <f t="shared" si="13"/>
        <v>302</v>
      </c>
      <c r="D227" s="30">
        <f t="shared" si="14"/>
        <v>1.0125000000000002</v>
      </c>
    </row>
    <row r="228" spans="1:4" x14ac:dyDescent="0.4">
      <c r="A228" s="30">
        <f t="shared" si="15"/>
        <v>281</v>
      </c>
      <c r="B228" s="30">
        <f t="shared" si="12"/>
        <v>0.66445182724252494</v>
      </c>
      <c r="C228" s="30">
        <f t="shared" si="13"/>
        <v>303</v>
      </c>
      <c r="D228" s="30">
        <f t="shared" si="14"/>
        <v>1.0158750000000001</v>
      </c>
    </row>
    <row r="229" spans="1:4" x14ac:dyDescent="0.4">
      <c r="A229" s="30">
        <f t="shared" si="15"/>
        <v>282</v>
      </c>
      <c r="B229" s="30">
        <f t="shared" si="12"/>
        <v>0.66225165562913912</v>
      </c>
      <c r="C229" s="30">
        <f t="shared" si="13"/>
        <v>304</v>
      </c>
      <c r="D229" s="30">
        <f t="shared" si="14"/>
        <v>1.01925</v>
      </c>
    </row>
    <row r="230" spans="1:4" x14ac:dyDescent="0.4">
      <c r="A230" s="30">
        <f t="shared" si="15"/>
        <v>283</v>
      </c>
      <c r="B230" s="30">
        <f t="shared" si="12"/>
        <v>0.66006600660066006</v>
      </c>
      <c r="C230" s="30">
        <f t="shared" si="13"/>
        <v>305</v>
      </c>
      <c r="D230" s="30">
        <f t="shared" si="14"/>
        <v>1.0226250000000001</v>
      </c>
    </row>
    <row r="231" spans="1:4" x14ac:dyDescent="0.4">
      <c r="A231" s="30">
        <f t="shared" si="15"/>
        <v>284</v>
      </c>
      <c r="B231" s="30">
        <f t="shared" si="12"/>
        <v>0.65789473684210531</v>
      </c>
      <c r="C231" s="30">
        <f t="shared" si="13"/>
        <v>306</v>
      </c>
      <c r="D231" s="30">
        <f t="shared" si="14"/>
        <v>1.026</v>
      </c>
    </row>
    <row r="232" spans="1:4" x14ac:dyDescent="0.4">
      <c r="A232" s="30">
        <f t="shared" si="15"/>
        <v>285</v>
      </c>
      <c r="B232" s="30">
        <f t="shared" si="12"/>
        <v>0.65573770491803274</v>
      </c>
      <c r="C232" s="30">
        <f t="shared" si="13"/>
        <v>307</v>
      </c>
      <c r="D232" s="30">
        <f t="shared" si="14"/>
        <v>1.0293750000000002</v>
      </c>
    </row>
    <row r="233" spans="1:4" x14ac:dyDescent="0.4">
      <c r="A233" s="30">
        <f t="shared" si="15"/>
        <v>286</v>
      </c>
      <c r="B233" s="30">
        <f t="shared" si="12"/>
        <v>0.65359477124183007</v>
      </c>
      <c r="C233" s="30">
        <f t="shared" si="13"/>
        <v>308</v>
      </c>
      <c r="D233" s="30">
        <f t="shared" si="14"/>
        <v>1.0327500000000001</v>
      </c>
    </row>
    <row r="234" spans="1:4" x14ac:dyDescent="0.4">
      <c r="A234" s="30">
        <f t="shared" si="15"/>
        <v>287</v>
      </c>
      <c r="B234" s="30">
        <f t="shared" si="12"/>
        <v>0.65146579804560256</v>
      </c>
      <c r="C234" s="30">
        <f t="shared" si="13"/>
        <v>309</v>
      </c>
      <c r="D234" s="30">
        <f t="shared" si="14"/>
        <v>1.0361250000000002</v>
      </c>
    </row>
    <row r="235" spans="1:4" x14ac:dyDescent="0.4">
      <c r="A235" s="30">
        <f t="shared" si="15"/>
        <v>288</v>
      </c>
      <c r="B235" s="30">
        <f t="shared" si="12"/>
        <v>0.64935064935064934</v>
      </c>
      <c r="C235" s="30">
        <f t="shared" si="13"/>
        <v>310</v>
      </c>
      <c r="D235" s="30">
        <f t="shared" si="14"/>
        <v>1.0395000000000001</v>
      </c>
    </row>
    <row r="236" spans="1:4" x14ac:dyDescent="0.4">
      <c r="A236" s="30">
        <f t="shared" si="15"/>
        <v>289</v>
      </c>
      <c r="B236" s="30">
        <f t="shared" si="12"/>
        <v>0.6472491909385113</v>
      </c>
      <c r="C236" s="30">
        <f t="shared" si="13"/>
        <v>311</v>
      </c>
      <c r="D236" s="30">
        <f t="shared" si="14"/>
        <v>1.0428750000000002</v>
      </c>
    </row>
    <row r="237" spans="1:4" x14ac:dyDescent="0.4">
      <c r="A237" s="30">
        <f t="shared" si="15"/>
        <v>290</v>
      </c>
      <c r="B237" s="30">
        <f t="shared" si="12"/>
        <v>0.64516129032258063</v>
      </c>
      <c r="C237" s="30">
        <f t="shared" si="13"/>
        <v>312</v>
      </c>
      <c r="D237" s="30">
        <f t="shared" si="14"/>
        <v>1.0462500000000001</v>
      </c>
    </row>
    <row r="238" spans="1:4" x14ac:dyDescent="0.4">
      <c r="A238" s="30">
        <f t="shared" si="15"/>
        <v>291</v>
      </c>
      <c r="B238" s="30">
        <f t="shared" si="12"/>
        <v>0.64308681672025725</v>
      </c>
      <c r="C238" s="30">
        <f t="shared" si="13"/>
        <v>313</v>
      </c>
      <c r="D238" s="30">
        <f t="shared" si="14"/>
        <v>1.049625</v>
      </c>
    </row>
    <row r="239" spans="1:4" x14ac:dyDescent="0.4">
      <c r="A239" s="30">
        <f t="shared" si="15"/>
        <v>292</v>
      </c>
      <c r="B239" s="30">
        <f t="shared" si="12"/>
        <v>0.64102564102564108</v>
      </c>
      <c r="C239" s="30">
        <f t="shared" si="13"/>
        <v>314</v>
      </c>
      <c r="D239" s="30">
        <f t="shared" si="14"/>
        <v>1.0529999999999999</v>
      </c>
    </row>
    <row r="240" spans="1:4" x14ac:dyDescent="0.4">
      <c r="A240" s="30">
        <f t="shared" si="15"/>
        <v>293</v>
      </c>
      <c r="B240" s="30">
        <f t="shared" si="12"/>
        <v>0.63897763578274758</v>
      </c>
      <c r="C240" s="30">
        <f t="shared" si="13"/>
        <v>315</v>
      </c>
      <c r="D240" s="30">
        <f t="shared" si="14"/>
        <v>1.0563750000000001</v>
      </c>
    </row>
    <row r="241" spans="1:4" x14ac:dyDescent="0.4">
      <c r="A241" s="30">
        <f t="shared" si="15"/>
        <v>294</v>
      </c>
      <c r="B241" s="30">
        <f t="shared" si="12"/>
        <v>0.63694267515923564</v>
      </c>
      <c r="C241" s="30">
        <f t="shared" si="13"/>
        <v>316</v>
      </c>
      <c r="D241" s="30">
        <f t="shared" si="14"/>
        <v>1.0597500000000002</v>
      </c>
    </row>
    <row r="242" spans="1:4" x14ac:dyDescent="0.4">
      <c r="A242" s="30">
        <f t="shared" si="15"/>
        <v>295</v>
      </c>
      <c r="B242" s="30">
        <f t="shared" si="12"/>
        <v>0.63492063492063489</v>
      </c>
      <c r="C242" s="30">
        <f t="shared" si="13"/>
        <v>317</v>
      </c>
      <c r="D242" s="30">
        <f t="shared" si="14"/>
        <v>1.0631250000000001</v>
      </c>
    </row>
    <row r="243" spans="1:4" x14ac:dyDescent="0.4">
      <c r="A243" s="30">
        <f t="shared" si="15"/>
        <v>296</v>
      </c>
      <c r="B243" s="30">
        <f t="shared" si="12"/>
        <v>0.63291139240506333</v>
      </c>
      <c r="C243" s="30">
        <f t="shared" si="13"/>
        <v>318</v>
      </c>
      <c r="D243" s="30">
        <f t="shared" si="14"/>
        <v>1.0665</v>
      </c>
    </row>
    <row r="244" spans="1:4" x14ac:dyDescent="0.4">
      <c r="A244" s="30">
        <f t="shared" si="15"/>
        <v>297</v>
      </c>
      <c r="B244" s="30">
        <f t="shared" si="12"/>
        <v>0.63091482649842268</v>
      </c>
      <c r="C244" s="30">
        <f t="shared" si="13"/>
        <v>319</v>
      </c>
      <c r="D244" s="30">
        <f t="shared" si="14"/>
        <v>1.0698750000000001</v>
      </c>
    </row>
    <row r="245" spans="1:4" x14ac:dyDescent="0.4">
      <c r="A245" s="30">
        <f t="shared" si="15"/>
        <v>298</v>
      </c>
      <c r="B245" s="30">
        <f t="shared" si="12"/>
        <v>0.62893081761006286</v>
      </c>
      <c r="C245" s="30">
        <f t="shared" si="13"/>
        <v>320</v>
      </c>
      <c r="D245" s="30">
        <f t="shared" si="14"/>
        <v>1.07325</v>
      </c>
    </row>
    <row r="246" spans="1:4" x14ac:dyDescent="0.4">
      <c r="A246" s="30">
        <f t="shared" si="15"/>
        <v>299</v>
      </c>
      <c r="B246" s="30">
        <f t="shared" si="12"/>
        <v>0.62695924764890287</v>
      </c>
      <c r="C246" s="30">
        <f t="shared" si="13"/>
        <v>321</v>
      </c>
      <c r="D246" s="30">
        <f t="shared" si="14"/>
        <v>1.0766249999999999</v>
      </c>
    </row>
    <row r="247" spans="1:4" x14ac:dyDescent="0.4">
      <c r="A247" s="30">
        <f t="shared" si="15"/>
        <v>300</v>
      </c>
      <c r="B247" s="30">
        <f t="shared" si="12"/>
        <v>0.625</v>
      </c>
      <c r="C247" s="30">
        <f t="shared" si="13"/>
        <v>322</v>
      </c>
      <c r="D247" s="30">
        <f t="shared" si="14"/>
        <v>1.08</v>
      </c>
    </row>
    <row r="248" spans="1:4" x14ac:dyDescent="0.4">
      <c r="A248" s="30">
        <f t="shared" si="15"/>
        <v>301</v>
      </c>
      <c r="B248" s="30">
        <f t="shared" si="12"/>
        <v>0.62305295950155759</v>
      </c>
      <c r="C248" s="30">
        <f t="shared" si="13"/>
        <v>323</v>
      </c>
      <c r="D248" s="30">
        <f t="shared" si="14"/>
        <v>1.0833750000000002</v>
      </c>
    </row>
    <row r="249" spans="1:4" x14ac:dyDescent="0.4">
      <c r="A249" s="30">
        <f t="shared" si="15"/>
        <v>302</v>
      </c>
      <c r="B249" s="30">
        <f t="shared" si="12"/>
        <v>0.6211180124223602</v>
      </c>
      <c r="C249" s="30">
        <f t="shared" si="13"/>
        <v>324</v>
      </c>
      <c r="D249" s="30">
        <f t="shared" si="14"/>
        <v>1.0867500000000001</v>
      </c>
    </row>
    <row r="250" spans="1:4" x14ac:dyDescent="0.4">
      <c r="A250" s="30">
        <f t="shared" si="15"/>
        <v>303</v>
      </c>
      <c r="B250" s="30">
        <f t="shared" si="12"/>
        <v>0.61919504643962853</v>
      </c>
      <c r="C250" s="30">
        <f t="shared" si="13"/>
        <v>325</v>
      </c>
      <c r="D250" s="30">
        <f t="shared" si="14"/>
        <v>1.090125</v>
      </c>
    </row>
    <row r="251" spans="1:4" x14ac:dyDescent="0.4">
      <c r="A251" s="30">
        <f t="shared" si="15"/>
        <v>304</v>
      </c>
      <c r="B251" s="30">
        <f t="shared" si="12"/>
        <v>0.61728395061728392</v>
      </c>
      <c r="C251" s="30">
        <f t="shared" si="13"/>
        <v>326</v>
      </c>
      <c r="D251" s="30">
        <f t="shared" si="14"/>
        <v>1.0935000000000001</v>
      </c>
    </row>
    <row r="252" spans="1:4" x14ac:dyDescent="0.4">
      <c r="A252" s="30">
        <f t="shared" si="15"/>
        <v>305</v>
      </c>
      <c r="B252" s="30">
        <f t="shared" si="12"/>
        <v>0.61538461538461542</v>
      </c>
      <c r="C252" s="30">
        <f t="shared" si="13"/>
        <v>327</v>
      </c>
      <c r="D252" s="30">
        <f t="shared" si="14"/>
        <v>1.096875</v>
      </c>
    </row>
    <row r="253" spans="1:4" x14ac:dyDescent="0.4">
      <c r="A253" s="30">
        <f t="shared" si="15"/>
        <v>306</v>
      </c>
      <c r="B253" s="30">
        <f t="shared" si="12"/>
        <v>0.61349693251533743</v>
      </c>
      <c r="C253" s="30">
        <f t="shared" si="13"/>
        <v>328</v>
      </c>
      <c r="D253" s="30">
        <f t="shared" si="14"/>
        <v>1.10025</v>
      </c>
    </row>
    <row r="254" spans="1:4" x14ac:dyDescent="0.4">
      <c r="A254" s="30">
        <f t="shared" si="15"/>
        <v>307</v>
      </c>
      <c r="B254" s="30">
        <f t="shared" si="12"/>
        <v>0.6116207951070336</v>
      </c>
      <c r="C254" s="30">
        <f t="shared" si="13"/>
        <v>329</v>
      </c>
      <c r="D254" s="30">
        <f t="shared" si="14"/>
        <v>1.1036250000000001</v>
      </c>
    </row>
    <row r="255" spans="1:4" x14ac:dyDescent="0.4">
      <c r="A255" s="30">
        <f t="shared" si="15"/>
        <v>308</v>
      </c>
      <c r="B255" s="30">
        <f t="shared" si="12"/>
        <v>0.6097560975609756</v>
      </c>
      <c r="C255" s="30">
        <f t="shared" si="13"/>
        <v>330</v>
      </c>
      <c r="D255" s="30">
        <f t="shared" si="14"/>
        <v>1.1070000000000002</v>
      </c>
    </row>
    <row r="256" spans="1:4" x14ac:dyDescent="0.4">
      <c r="A256" s="30">
        <f t="shared" si="15"/>
        <v>309</v>
      </c>
      <c r="B256" s="30">
        <f t="shared" si="12"/>
        <v>0.60790273556231</v>
      </c>
      <c r="C256" s="30">
        <f t="shared" si="13"/>
        <v>331</v>
      </c>
      <c r="D256" s="30">
        <f t="shared" si="14"/>
        <v>1.1103750000000001</v>
      </c>
    </row>
    <row r="257" spans="1:4" x14ac:dyDescent="0.4">
      <c r="A257" s="30">
        <f t="shared" si="15"/>
        <v>310</v>
      </c>
      <c r="B257" s="30">
        <f t="shared" si="12"/>
        <v>0.60606060606060608</v>
      </c>
      <c r="C257" s="30">
        <f t="shared" si="13"/>
        <v>332</v>
      </c>
      <c r="D257" s="30">
        <f t="shared" si="14"/>
        <v>1.11375</v>
      </c>
    </row>
    <row r="258" spans="1:4" x14ac:dyDescent="0.4">
      <c r="A258" s="30">
        <f t="shared" si="15"/>
        <v>311</v>
      </c>
      <c r="B258" s="30">
        <f t="shared" si="12"/>
        <v>0.60422960725075525</v>
      </c>
      <c r="C258" s="30">
        <f t="shared" si="13"/>
        <v>333</v>
      </c>
      <c r="D258" s="30">
        <f t="shared" si="14"/>
        <v>1.1171250000000001</v>
      </c>
    </row>
    <row r="259" spans="1:4" x14ac:dyDescent="0.4">
      <c r="A259" s="30">
        <f t="shared" si="15"/>
        <v>312</v>
      </c>
      <c r="B259" s="30">
        <f t="shared" si="12"/>
        <v>0.60240963855421692</v>
      </c>
      <c r="C259" s="30">
        <f t="shared" si="13"/>
        <v>334</v>
      </c>
      <c r="D259" s="30">
        <f t="shared" si="14"/>
        <v>1.1205000000000001</v>
      </c>
    </row>
    <row r="260" spans="1:4" x14ac:dyDescent="0.4">
      <c r="A260" s="30">
        <f t="shared" si="15"/>
        <v>313</v>
      </c>
      <c r="B260" s="30">
        <f t="shared" si="12"/>
        <v>0.60060060060060061</v>
      </c>
      <c r="C260" s="30">
        <f t="shared" si="13"/>
        <v>335</v>
      </c>
      <c r="D260" s="30">
        <f t="shared" si="14"/>
        <v>1.123875</v>
      </c>
    </row>
    <row r="261" spans="1:4" x14ac:dyDescent="0.4">
      <c r="A261" s="30">
        <f t="shared" si="15"/>
        <v>314</v>
      </c>
      <c r="B261" s="30">
        <f t="shared" si="12"/>
        <v>0.59880239520958078</v>
      </c>
      <c r="C261" s="30">
        <f t="shared" si="13"/>
        <v>336</v>
      </c>
      <c r="D261" s="30">
        <f t="shared" si="14"/>
        <v>1.1272500000000001</v>
      </c>
    </row>
    <row r="262" spans="1:4" x14ac:dyDescent="0.4">
      <c r="A262" s="30">
        <f t="shared" si="15"/>
        <v>315</v>
      </c>
      <c r="B262" s="30">
        <f t="shared" si="12"/>
        <v>0.59701492537313428</v>
      </c>
      <c r="C262" s="30">
        <f t="shared" si="13"/>
        <v>337</v>
      </c>
      <c r="D262" s="30">
        <f t="shared" si="14"/>
        <v>1.1306250000000002</v>
      </c>
    </row>
    <row r="263" spans="1:4" x14ac:dyDescent="0.4">
      <c r="A263" s="30">
        <f t="shared" si="15"/>
        <v>316</v>
      </c>
      <c r="B263" s="30">
        <f t="shared" si="12"/>
        <v>0.59523809523809523</v>
      </c>
      <c r="C263" s="30">
        <f t="shared" si="13"/>
        <v>338</v>
      </c>
      <c r="D263" s="30">
        <f t="shared" si="14"/>
        <v>1.1340000000000001</v>
      </c>
    </row>
    <row r="264" spans="1:4" x14ac:dyDescent="0.4">
      <c r="A264" s="30">
        <f t="shared" si="15"/>
        <v>317</v>
      </c>
      <c r="B264" s="30">
        <f t="shared" si="12"/>
        <v>0.59347181008902072</v>
      </c>
      <c r="C264" s="30">
        <f t="shared" si="13"/>
        <v>339</v>
      </c>
      <c r="D264" s="30">
        <f t="shared" si="14"/>
        <v>1.1373750000000002</v>
      </c>
    </row>
    <row r="265" spans="1:4" x14ac:dyDescent="0.4">
      <c r="A265" s="30">
        <f t="shared" si="15"/>
        <v>318</v>
      </c>
      <c r="B265" s="30">
        <f t="shared" si="12"/>
        <v>0.59171597633136097</v>
      </c>
      <c r="C265" s="30">
        <f t="shared" si="13"/>
        <v>340</v>
      </c>
      <c r="D265" s="30">
        <f t="shared" si="14"/>
        <v>1.1407499999999999</v>
      </c>
    </row>
    <row r="266" spans="1:4" x14ac:dyDescent="0.4">
      <c r="A266" s="30">
        <f t="shared" si="15"/>
        <v>319</v>
      </c>
      <c r="B266" s="30">
        <f t="shared" si="12"/>
        <v>0.58997050147492625</v>
      </c>
      <c r="C266" s="30">
        <f t="shared" si="13"/>
        <v>341</v>
      </c>
      <c r="D266" s="30">
        <f t="shared" si="14"/>
        <v>1.1441250000000001</v>
      </c>
    </row>
    <row r="267" spans="1:4" x14ac:dyDescent="0.4">
      <c r="A267" s="30">
        <f t="shared" si="15"/>
        <v>320</v>
      </c>
      <c r="B267" s="30">
        <f t="shared" ref="B267:B330" si="16">$B$4/8/(A267+$B$2)</f>
        <v>0.58823529411764708</v>
      </c>
      <c r="C267" s="30">
        <f t="shared" si="13"/>
        <v>342</v>
      </c>
      <c r="D267" s="30">
        <f t="shared" si="14"/>
        <v>1.1475</v>
      </c>
    </row>
    <row r="268" spans="1:4" x14ac:dyDescent="0.4">
      <c r="A268" s="30">
        <f t="shared" si="15"/>
        <v>321</v>
      </c>
      <c r="B268" s="30">
        <f t="shared" si="16"/>
        <v>0.5865102639296188</v>
      </c>
      <c r="C268" s="30">
        <f t="shared" ref="C268:C331" si="17">A268+$E$6</f>
        <v>343</v>
      </c>
      <c r="D268" s="30">
        <f t="shared" ref="D268:D331" si="18">$H$3/B268/CEILING(C268/$H$2,1)</f>
        <v>1.1508750000000001</v>
      </c>
    </row>
    <row r="269" spans="1:4" x14ac:dyDescent="0.4">
      <c r="A269" s="30">
        <f t="shared" ref="A269:A332" si="19">A268+$B$3</f>
        <v>322</v>
      </c>
      <c r="B269" s="30">
        <f t="shared" si="16"/>
        <v>0.58479532163742687</v>
      </c>
      <c r="C269" s="30">
        <f t="shared" si="17"/>
        <v>344</v>
      </c>
      <c r="D269" s="30">
        <f t="shared" si="18"/>
        <v>1.1542500000000002</v>
      </c>
    </row>
    <row r="270" spans="1:4" x14ac:dyDescent="0.4">
      <c r="A270" s="30">
        <f t="shared" si="19"/>
        <v>323</v>
      </c>
      <c r="B270" s="30">
        <f t="shared" si="16"/>
        <v>0.58309037900874638</v>
      </c>
      <c r="C270" s="30">
        <f t="shared" si="17"/>
        <v>345</v>
      </c>
      <c r="D270" s="30">
        <f t="shared" si="18"/>
        <v>1.1576250000000001</v>
      </c>
    </row>
    <row r="271" spans="1:4" x14ac:dyDescent="0.4">
      <c r="A271" s="30">
        <f t="shared" si="19"/>
        <v>324</v>
      </c>
      <c r="B271" s="30">
        <f t="shared" si="16"/>
        <v>0.58139534883720934</v>
      </c>
      <c r="C271" s="30">
        <f t="shared" si="17"/>
        <v>346</v>
      </c>
      <c r="D271" s="30">
        <f t="shared" si="18"/>
        <v>1.161</v>
      </c>
    </row>
    <row r="272" spans="1:4" x14ac:dyDescent="0.4">
      <c r="A272" s="30">
        <f t="shared" si="19"/>
        <v>325</v>
      </c>
      <c r="B272" s="30">
        <f t="shared" si="16"/>
        <v>0.57971014492753625</v>
      </c>
      <c r="C272" s="30">
        <f t="shared" si="17"/>
        <v>347</v>
      </c>
      <c r="D272" s="30">
        <f t="shared" si="18"/>
        <v>1.1643749999999999</v>
      </c>
    </row>
    <row r="273" spans="1:4" x14ac:dyDescent="0.4">
      <c r="A273" s="30">
        <f t="shared" si="19"/>
        <v>326</v>
      </c>
      <c r="B273" s="30">
        <f t="shared" si="16"/>
        <v>0.5780346820809249</v>
      </c>
      <c r="C273" s="30">
        <f t="shared" si="17"/>
        <v>348</v>
      </c>
      <c r="D273" s="30">
        <f t="shared" si="18"/>
        <v>1.1677500000000001</v>
      </c>
    </row>
    <row r="274" spans="1:4" x14ac:dyDescent="0.4">
      <c r="A274" s="30">
        <f t="shared" si="19"/>
        <v>327</v>
      </c>
      <c r="B274" s="30">
        <f t="shared" si="16"/>
        <v>0.57636887608069165</v>
      </c>
      <c r="C274" s="30">
        <f t="shared" si="17"/>
        <v>349</v>
      </c>
      <c r="D274" s="30">
        <f t="shared" si="18"/>
        <v>1.171125</v>
      </c>
    </row>
    <row r="275" spans="1:4" x14ac:dyDescent="0.4">
      <c r="A275" s="30">
        <f t="shared" si="19"/>
        <v>328</v>
      </c>
      <c r="B275" s="30">
        <f t="shared" si="16"/>
        <v>0.57471264367816088</v>
      </c>
      <c r="C275" s="30">
        <f t="shared" si="17"/>
        <v>350</v>
      </c>
      <c r="D275" s="30">
        <f t="shared" si="18"/>
        <v>1.1745000000000001</v>
      </c>
    </row>
    <row r="276" spans="1:4" x14ac:dyDescent="0.4">
      <c r="A276" s="30">
        <f t="shared" si="19"/>
        <v>329</v>
      </c>
      <c r="B276" s="30">
        <f t="shared" si="16"/>
        <v>0.57306590257879653</v>
      </c>
      <c r="C276" s="30">
        <f t="shared" si="17"/>
        <v>351</v>
      </c>
      <c r="D276" s="30">
        <f t="shared" si="18"/>
        <v>1.1778750000000002</v>
      </c>
    </row>
    <row r="277" spans="1:4" x14ac:dyDescent="0.4">
      <c r="A277" s="30">
        <f t="shared" si="19"/>
        <v>330</v>
      </c>
      <c r="B277" s="30">
        <f t="shared" si="16"/>
        <v>0.5714285714285714</v>
      </c>
      <c r="C277" s="30">
        <f t="shared" si="17"/>
        <v>352</v>
      </c>
      <c r="D277" s="30">
        <f t="shared" si="18"/>
        <v>1.1812500000000001</v>
      </c>
    </row>
    <row r="278" spans="1:4" x14ac:dyDescent="0.4">
      <c r="A278" s="30">
        <f t="shared" si="19"/>
        <v>331</v>
      </c>
      <c r="B278" s="30">
        <f t="shared" si="16"/>
        <v>0.56980056980056981</v>
      </c>
      <c r="C278" s="30">
        <f t="shared" si="17"/>
        <v>353</v>
      </c>
      <c r="D278" s="30">
        <f t="shared" si="18"/>
        <v>1.184625</v>
      </c>
    </row>
    <row r="279" spans="1:4" x14ac:dyDescent="0.4">
      <c r="A279" s="30">
        <f t="shared" si="19"/>
        <v>332</v>
      </c>
      <c r="B279" s="30">
        <f t="shared" si="16"/>
        <v>0.56818181818181823</v>
      </c>
      <c r="C279" s="30">
        <f t="shared" si="17"/>
        <v>354</v>
      </c>
      <c r="D279" s="30">
        <f t="shared" si="18"/>
        <v>1.1879999999999999</v>
      </c>
    </row>
    <row r="280" spans="1:4" x14ac:dyDescent="0.4">
      <c r="A280" s="30">
        <f t="shared" si="19"/>
        <v>333</v>
      </c>
      <c r="B280" s="30">
        <f t="shared" si="16"/>
        <v>0.56657223796033995</v>
      </c>
      <c r="C280" s="30">
        <f t="shared" si="17"/>
        <v>355</v>
      </c>
      <c r="D280" s="30">
        <f t="shared" si="18"/>
        <v>1.1913750000000001</v>
      </c>
    </row>
    <row r="281" spans="1:4" x14ac:dyDescent="0.4">
      <c r="A281" s="30">
        <f t="shared" si="19"/>
        <v>334</v>
      </c>
      <c r="B281" s="30">
        <f t="shared" si="16"/>
        <v>0.56497175141242939</v>
      </c>
      <c r="C281" s="30">
        <f t="shared" si="17"/>
        <v>356</v>
      </c>
      <c r="D281" s="30">
        <f t="shared" si="18"/>
        <v>1.19475</v>
      </c>
    </row>
    <row r="282" spans="1:4" x14ac:dyDescent="0.4">
      <c r="A282" s="30">
        <f t="shared" si="19"/>
        <v>335</v>
      </c>
      <c r="B282" s="30">
        <f t="shared" si="16"/>
        <v>0.56338028169014087</v>
      </c>
      <c r="C282" s="30">
        <f t="shared" si="17"/>
        <v>357</v>
      </c>
      <c r="D282" s="30">
        <f t="shared" si="18"/>
        <v>1.1981250000000001</v>
      </c>
    </row>
    <row r="283" spans="1:4" x14ac:dyDescent="0.4">
      <c r="A283" s="30">
        <f t="shared" si="19"/>
        <v>336</v>
      </c>
      <c r="B283" s="30">
        <f t="shared" si="16"/>
        <v>0.5617977528089888</v>
      </c>
      <c r="C283" s="30">
        <f t="shared" si="17"/>
        <v>358</v>
      </c>
      <c r="D283" s="30">
        <f t="shared" si="18"/>
        <v>1.2015</v>
      </c>
    </row>
    <row r="284" spans="1:4" x14ac:dyDescent="0.4">
      <c r="A284" s="30">
        <f t="shared" si="19"/>
        <v>337</v>
      </c>
      <c r="B284" s="30">
        <f t="shared" si="16"/>
        <v>0.56022408963585435</v>
      </c>
      <c r="C284" s="30">
        <f t="shared" si="17"/>
        <v>359</v>
      </c>
      <c r="D284" s="30">
        <f t="shared" si="18"/>
        <v>1.2048750000000001</v>
      </c>
    </row>
    <row r="285" spans="1:4" x14ac:dyDescent="0.4">
      <c r="A285" s="30">
        <f t="shared" si="19"/>
        <v>338</v>
      </c>
      <c r="B285" s="30">
        <f t="shared" si="16"/>
        <v>0.55865921787709494</v>
      </c>
      <c r="C285" s="30">
        <f t="shared" si="17"/>
        <v>360</v>
      </c>
      <c r="D285" s="30">
        <f t="shared" si="18"/>
        <v>1.20825</v>
      </c>
    </row>
    <row r="286" spans="1:4" x14ac:dyDescent="0.4">
      <c r="A286" s="30">
        <f t="shared" si="19"/>
        <v>339</v>
      </c>
      <c r="B286" s="30">
        <f t="shared" si="16"/>
        <v>0.55710306406685239</v>
      </c>
      <c r="C286" s="30">
        <f t="shared" si="17"/>
        <v>361</v>
      </c>
      <c r="D286" s="30">
        <f t="shared" si="18"/>
        <v>1.211625</v>
      </c>
    </row>
    <row r="287" spans="1:4" x14ac:dyDescent="0.4">
      <c r="A287" s="30">
        <f t="shared" si="19"/>
        <v>340</v>
      </c>
      <c r="B287" s="30">
        <f t="shared" si="16"/>
        <v>0.55555555555555558</v>
      </c>
      <c r="C287" s="30">
        <f t="shared" si="17"/>
        <v>362</v>
      </c>
      <c r="D287" s="30">
        <f t="shared" si="18"/>
        <v>1.2150000000000001</v>
      </c>
    </row>
    <row r="288" spans="1:4" x14ac:dyDescent="0.4">
      <c r="A288" s="30">
        <f t="shared" si="19"/>
        <v>341</v>
      </c>
      <c r="B288" s="30">
        <f t="shared" si="16"/>
        <v>0.554016620498615</v>
      </c>
      <c r="C288" s="30">
        <f t="shared" si="17"/>
        <v>363</v>
      </c>
      <c r="D288" s="30">
        <f t="shared" si="18"/>
        <v>1.218375</v>
      </c>
    </row>
    <row r="289" spans="1:4" x14ac:dyDescent="0.4">
      <c r="A289" s="30">
        <f t="shared" si="19"/>
        <v>342</v>
      </c>
      <c r="B289" s="30">
        <f t="shared" si="16"/>
        <v>0.5524861878453039</v>
      </c>
      <c r="C289" s="30">
        <f t="shared" si="17"/>
        <v>364</v>
      </c>
      <c r="D289" s="30">
        <f t="shared" si="18"/>
        <v>1.2217500000000001</v>
      </c>
    </row>
    <row r="290" spans="1:4" x14ac:dyDescent="0.4">
      <c r="A290" s="30">
        <f t="shared" si="19"/>
        <v>343</v>
      </c>
      <c r="B290" s="30">
        <f t="shared" si="16"/>
        <v>0.55096418732782371</v>
      </c>
      <c r="C290" s="30">
        <f t="shared" si="17"/>
        <v>365</v>
      </c>
      <c r="D290" s="30">
        <f t="shared" si="18"/>
        <v>1.225125</v>
      </c>
    </row>
    <row r="291" spans="1:4" x14ac:dyDescent="0.4">
      <c r="A291" s="30">
        <f t="shared" si="19"/>
        <v>344</v>
      </c>
      <c r="B291" s="30">
        <f t="shared" si="16"/>
        <v>0.5494505494505495</v>
      </c>
      <c r="C291" s="30">
        <f t="shared" si="17"/>
        <v>366</v>
      </c>
      <c r="D291" s="30">
        <f t="shared" si="18"/>
        <v>1.2284999999999999</v>
      </c>
    </row>
    <row r="292" spans="1:4" x14ac:dyDescent="0.4">
      <c r="A292" s="30">
        <f t="shared" si="19"/>
        <v>345</v>
      </c>
      <c r="B292" s="30">
        <f t="shared" si="16"/>
        <v>0.54794520547945202</v>
      </c>
      <c r="C292" s="30">
        <f t="shared" si="17"/>
        <v>367</v>
      </c>
      <c r="D292" s="30">
        <f t="shared" si="18"/>
        <v>1.2318750000000001</v>
      </c>
    </row>
    <row r="293" spans="1:4" x14ac:dyDescent="0.4">
      <c r="A293" s="30">
        <f t="shared" si="19"/>
        <v>346</v>
      </c>
      <c r="B293" s="30">
        <f t="shared" si="16"/>
        <v>0.54644808743169404</v>
      </c>
      <c r="C293" s="30">
        <f t="shared" si="17"/>
        <v>368</v>
      </c>
      <c r="D293" s="30">
        <f t="shared" si="18"/>
        <v>1.23525</v>
      </c>
    </row>
    <row r="294" spans="1:4" x14ac:dyDescent="0.4">
      <c r="A294" s="30">
        <f t="shared" si="19"/>
        <v>347</v>
      </c>
      <c r="B294" s="30">
        <f t="shared" si="16"/>
        <v>0.54495912806539515</v>
      </c>
      <c r="C294" s="30">
        <f t="shared" si="17"/>
        <v>369</v>
      </c>
      <c r="D294" s="30">
        <f t="shared" si="18"/>
        <v>1.2386249999999999</v>
      </c>
    </row>
    <row r="295" spans="1:4" x14ac:dyDescent="0.4">
      <c r="A295" s="30">
        <f t="shared" si="19"/>
        <v>348</v>
      </c>
      <c r="B295" s="30">
        <f t="shared" si="16"/>
        <v>0.54347826086956519</v>
      </c>
      <c r="C295" s="30">
        <f t="shared" si="17"/>
        <v>370</v>
      </c>
      <c r="D295" s="30">
        <f t="shared" si="18"/>
        <v>1.2420000000000002</v>
      </c>
    </row>
    <row r="296" spans="1:4" x14ac:dyDescent="0.4">
      <c r="A296" s="30">
        <f t="shared" si="19"/>
        <v>349</v>
      </c>
      <c r="B296" s="30">
        <f t="shared" si="16"/>
        <v>0.54200542005420049</v>
      </c>
      <c r="C296" s="30">
        <f t="shared" si="17"/>
        <v>371</v>
      </c>
      <c r="D296" s="30">
        <f t="shared" si="18"/>
        <v>1.2453750000000001</v>
      </c>
    </row>
    <row r="297" spans="1:4" x14ac:dyDescent="0.4">
      <c r="A297" s="30">
        <f t="shared" si="19"/>
        <v>350</v>
      </c>
      <c r="B297" s="30">
        <f t="shared" si="16"/>
        <v>0.54054054054054057</v>
      </c>
      <c r="C297" s="30">
        <f t="shared" si="17"/>
        <v>372</v>
      </c>
      <c r="D297" s="30">
        <f t="shared" si="18"/>
        <v>1.24875</v>
      </c>
    </row>
    <row r="298" spans="1:4" x14ac:dyDescent="0.4">
      <c r="A298" s="30">
        <f t="shared" si="19"/>
        <v>351</v>
      </c>
      <c r="B298" s="30">
        <f t="shared" si="16"/>
        <v>0.53908355795148244</v>
      </c>
      <c r="C298" s="30">
        <f t="shared" si="17"/>
        <v>373</v>
      </c>
      <c r="D298" s="30">
        <f t="shared" si="18"/>
        <v>1.2521250000000002</v>
      </c>
    </row>
    <row r="299" spans="1:4" x14ac:dyDescent="0.4">
      <c r="A299" s="30">
        <f t="shared" si="19"/>
        <v>352</v>
      </c>
      <c r="B299" s="30">
        <f t="shared" si="16"/>
        <v>0.5376344086021505</v>
      </c>
      <c r="C299" s="30">
        <f t="shared" si="17"/>
        <v>374</v>
      </c>
      <c r="D299" s="30">
        <f t="shared" si="18"/>
        <v>1.2555000000000001</v>
      </c>
    </row>
    <row r="300" spans="1:4" x14ac:dyDescent="0.4">
      <c r="A300" s="30">
        <f t="shared" si="19"/>
        <v>353</v>
      </c>
      <c r="B300" s="30">
        <f t="shared" si="16"/>
        <v>0.53619302949061665</v>
      </c>
      <c r="C300" s="30">
        <f t="shared" si="17"/>
        <v>375</v>
      </c>
      <c r="D300" s="30">
        <f t="shared" si="18"/>
        <v>1.258875</v>
      </c>
    </row>
    <row r="301" spans="1:4" x14ac:dyDescent="0.4">
      <c r="A301" s="30">
        <f t="shared" si="19"/>
        <v>354</v>
      </c>
      <c r="B301" s="30">
        <f t="shared" si="16"/>
        <v>0.53475935828877008</v>
      </c>
      <c r="C301" s="30">
        <f t="shared" si="17"/>
        <v>376</v>
      </c>
      <c r="D301" s="30">
        <f t="shared" si="18"/>
        <v>1.2622500000000001</v>
      </c>
    </row>
    <row r="302" spans="1:4" x14ac:dyDescent="0.4">
      <c r="A302" s="30">
        <f t="shared" si="19"/>
        <v>355</v>
      </c>
      <c r="B302" s="30">
        <f t="shared" si="16"/>
        <v>0.53333333333333333</v>
      </c>
      <c r="C302" s="30">
        <f t="shared" si="17"/>
        <v>377</v>
      </c>
      <c r="D302" s="30">
        <f t="shared" si="18"/>
        <v>1.265625</v>
      </c>
    </row>
    <row r="303" spans="1:4" x14ac:dyDescent="0.4">
      <c r="A303" s="30">
        <f t="shared" si="19"/>
        <v>356</v>
      </c>
      <c r="B303" s="30">
        <f t="shared" si="16"/>
        <v>0.53191489361702127</v>
      </c>
      <c r="C303" s="30">
        <f t="shared" si="17"/>
        <v>378</v>
      </c>
      <c r="D303" s="30">
        <f t="shared" si="18"/>
        <v>1.2690000000000001</v>
      </c>
    </row>
    <row r="304" spans="1:4" x14ac:dyDescent="0.4">
      <c r="A304" s="30">
        <f t="shared" si="19"/>
        <v>357</v>
      </c>
      <c r="B304" s="30">
        <f t="shared" si="16"/>
        <v>0.5305039787798409</v>
      </c>
      <c r="C304" s="30">
        <f t="shared" si="17"/>
        <v>379</v>
      </c>
      <c r="D304" s="30">
        <f t="shared" si="18"/>
        <v>1.272375</v>
      </c>
    </row>
    <row r="305" spans="1:4" x14ac:dyDescent="0.4">
      <c r="A305" s="30">
        <f t="shared" si="19"/>
        <v>358</v>
      </c>
      <c r="B305" s="30">
        <f t="shared" si="16"/>
        <v>0.52910052910052907</v>
      </c>
      <c r="C305" s="30">
        <f t="shared" si="17"/>
        <v>380</v>
      </c>
      <c r="D305" s="30">
        <f t="shared" si="18"/>
        <v>1.2757500000000002</v>
      </c>
    </row>
    <row r="306" spans="1:4" x14ac:dyDescent="0.4">
      <c r="A306" s="30">
        <f t="shared" si="19"/>
        <v>359</v>
      </c>
      <c r="B306" s="30">
        <f t="shared" si="16"/>
        <v>0.52770448548812665</v>
      </c>
      <c r="C306" s="30">
        <f t="shared" si="17"/>
        <v>381</v>
      </c>
      <c r="D306" s="30">
        <f t="shared" si="18"/>
        <v>1.2791250000000001</v>
      </c>
    </row>
    <row r="307" spans="1:4" x14ac:dyDescent="0.4">
      <c r="A307" s="30">
        <f t="shared" si="19"/>
        <v>360</v>
      </c>
      <c r="B307" s="30">
        <f t="shared" si="16"/>
        <v>0.52631578947368418</v>
      </c>
      <c r="C307" s="30">
        <f t="shared" si="17"/>
        <v>382</v>
      </c>
      <c r="D307" s="30">
        <f t="shared" si="18"/>
        <v>1.2825000000000002</v>
      </c>
    </row>
    <row r="308" spans="1:4" x14ac:dyDescent="0.4">
      <c r="A308" s="30">
        <f t="shared" si="19"/>
        <v>361</v>
      </c>
      <c r="B308" s="30">
        <f t="shared" si="16"/>
        <v>0.52493438320209973</v>
      </c>
      <c r="C308" s="30">
        <f t="shared" si="17"/>
        <v>383</v>
      </c>
      <c r="D308" s="30">
        <f t="shared" si="18"/>
        <v>1.2858750000000001</v>
      </c>
    </row>
    <row r="309" spans="1:4" x14ac:dyDescent="0.4">
      <c r="A309" s="30">
        <f t="shared" si="19"/>
        <v>362</v>
      </c>
      <c r="B309" s="30">
        <f t="shared" si="16"/>
        <v>0.52356020942408377</v>
      </c>
      <c r="C309" s="30">
        <f t="shared" si="17"/>
        <v>384</v>
      </c>
      <c r="D309" s="30">
        <f t="shared" si="18"/>
        <v>1.28925</v>
      </c>
    </row>
    <row r="310" spans="1:4" x14ac:dyDescent="0.4">
      <c r="A310" s="30">
        <f t="shared" si="19"/>
        <v>363</v>
      </c>
      <c r="B310" s="30">
        <f t="shared" si="16"/>
        <v>0.52219321148825071</v>
      </c>
      <c r="C310" s="30">
        <f t="shared" si="17"/>
        <v>385</v>
      </c>
      <c r="D310" s="30">
        <f t="shared" si="18"/>
        <v>1.2926249999999999</v>
      </c>
    </row>
    <row r="311" spans="1:4" x14ac:dyDescent="0.4">
      <c r="A311" s="30">
        <f t="shared" si="19"/>
        <v>364</v>
      </c>
      <c r="B311" s="30">
        <f t="shared" si="16"/>
        <v>0.52083333333333337</v>
      </c>
      <c r="C311" s="30">
        <f t="shared" si="17"/>
        <v>386</v>
      </c>
      <c r="D311" s="30">
        <f t="shared" si="18"/>
        <v>1.296</v>
      </c>
    </row>
    <row r="312" spans="1:4" x14ac:dyDescent="0.4">
      <c r="A312" s="30">
        <f t="shared" si="19"/>
        <v>365</v>
      </c>
      <c r="B312" s="30">
        <f t="shared" si="16"/>
        <v>0.51948051948051943</v>
      </c>
      <c r="C312" s="30">
        <f t="shared" si="17"/>
        <v>387</v>
      </c>
      <c r="D312" s="30">
        <f t="shared" si="18"/>
        <v>1.2993750000000002</v>
      </c>
    </row>
    <row r="313" spans="1:4" x14ac:dyDescent="0.4">
      <c r="A313" s="30">
        <f t="shared" si="19"/>
        <v>366</v>
      </c>
      <c r="B313" s="30">
        <f t="shared" si="16"/>
        <v>0.51813471502590669</v>
      </c>
      <c r="C313" s="30">
        <f t="shared" si="17"/>
        <v>388</v>
      </c>
      <c r="D313" s="30">
        <f t="shared" si="18"/>
        <v>1.3027500000000003</v>
      </c>
    </row>
    <row r="314" spans="1:4" x14ac:dyDescent="0.4">
      <c r="A314" s="30">
        <f t="shared" si="19"/>
        <v>367</v>
      </c>
      <c r="B314" s="30">
        <f t="shared" si="16"/>
        <v>0.51679586563307489</v>
      </c>
      <c r="C314" s="30">
        <f t="shared" si="17"/>
        <v>389</v>
      </c>
      <c r="D314" s="30">
        <f t="shared" si="18"/>
        <v>1.3061250000000002</v>
      </c>
    </row>
    <row r="315" spans="1:4" x14ac:dyDescent="0.4">
      <c r="A315" s="30">
        <f t="shared" si="19"/>
        <v>368</v>
      </c>
      <c r="B315" s="30">
        <f t="shared" si="16"/>
        <v>0.51546391752577314</v>
      </c>
      <c r="C315" s="30">
        <f t="shared" si="17"/>
        <v>390</v>
      </c>
      <c r="D315" s="30">
        <f t="shared" si="18"/>
        <v>1.3095000000000003</v>
      </c>
    </row>
    <row r="316" spans="1:4" x14ac:dyDescent="0.4">
      <c r="A316" s="30">
        <f t="shared" si="19"/>
        <v>369</v>
      </c>
      <c r="B316" s="30">
        <f t="shared" si="16"/>
        <v>0.51413881748071977</v>
      </c>
      <c r="C316" s="30">
        <f t="shared" si="17"/>
        <v>391</v>
      </c>
      <c r="D316" s="30">
        <f t="shared" si="18"/>
        <v>1.3128750000000002</v>
      </c>
    </row>
    <row r="317" spans="1:4" x14ac:dyDescent="0.4">
      <c r="A317" s="30">
        <f t="shared" si="19"/>
        <v>370</v>
      </c>
      <c r="B317" s="30">
        <f t="shared" si="16"/>
        <v>0.51282051282051277</v>
      </c>
      <c r="C317" s="30">
        <f t="shared" si="17"/>
        <v>392</v>
      </c>
      <c r="D317" s="30">
        <f t="shared" si="18"/>
        <v>1.3162500000000001</v>
      </c>
    </row>
    <row r="318" spans="1:4" x14ac:dyDescent="0.4">
      <c r="A318" s="30">
        <f t="shared" si="19"/>
        <v>371</v>
      </c>
      <c r="B318" s="30">
        <f t="shared" si="16"/>
        <v>0.51150895140664965</v>
      </c>
      <c r="C318" s="30">
        <f t="shared" si="17"/>
        <v>393</v>
      </c>
      <c r="D318" s="30">
        <f t="shared" si="18"/>
        <v>1.319625</v>
      </c>
    </row>
    <row r="319" spans="1:4" x14ac:dyDescent="0.4">
      <c r="A319" s="30">
        <f t="shared" si="19"/>
        <v>372</v>
      </c>
      <c r="B319" s="30">
        <f t="shared" si="16"/>
        <v>0.51020408163265307</v>
      </c>
      <c r="C319" s="30">
        <f t="shared" si="17"/>
        <v>394</v>
      </c>
      <c r="D319" s="30">
        <f t="shared" si="18"/>
        <v>1.323</v>
      </c>
    </row>
    <row r="320" spans="1:4" x14ac:dyDescent="0.4">
      <c r="A320" s="30">
        <f t="shared" si="19"/>
        <v>373</v>
      </c>
      <c r="B320" s="30">
        <f t="shared" si="16"/>
        <v>0.5089058524173028</v>
      </c>
      <c r="C320" s="30">
        <f t="shared" si="17"/>
        <v>395</v>
      </c>
      <c r="D320" s="30">
        <f t="shared" si="18"/>
        <v>1.3263750000000001</v>
      </c>
    </row>
    <row r="321" spans="1:4" x14ac:dyDescent="0.4">
      <c r="A321" s="30">
        <f t="shared" si="19"/>
        <v>374</v>
      </c>
      <c r="B321" s="30">
        <f t="shared" si="16"/>
        <v>0.50761421319796951</v>
      </c>
      <c r="C321" s="30">
        <f t="shared" si="17"/>
        <v>396</v>
      </c>
      <c r="D321" s="30">
        <f t="shared" si="18"/>
        <v>1.3297500000000002</v>
      </c>
    </row>
    <row r="322" spans="1:4" x14ac:dyDescent="0.4">
      <c r="A322" s="30">
        <f t="shared" si="19"/>
        <v>375</v>
      </c>
      <c r="B322" s="30">
        <f t="shared" si="16"/>
        <v>0.50632911392405067</v>
      </c>
      <c r="C322" s="30">
        <f t="shared" si="17"/>
        <v>397</v>
      </c>
      <c r="D322" s="30">
        <f t="shared" si="18"/>
        <v>1.3331249999999999</v>
      </c>
    </row>
    <row r="323" spans="1:4" x14ac:dyDescent="0.4">
      <c r="A323" s="30">
        <f t="shared" si="19"/>
        <v>376</v>
      </c>
      <c r="B323" s="30">
        <f t="shared" si="16"/>
        <v>0.50505050505050508</v>
      </c>
      <c r="C323" s="30">
        <f t="shared" si="17"/>
        <v>398</v>
      </c>
      <c r="D323" s="30">
        <f t="shared" si="18"/>
        <v>1.3365</v>
      </c>
    </row>
    <row r="324" spans="1:4" x14ac:dyDescent="0.4">
      <c r="A324" s="30">
        <f t="shared" si="19"/>
        <v>377</v>
      </c>
      <c r="B324" s="30">
        <f t="shared" si="16"/>
        <v>0.50377833753148615</v>
      </c>
      <c r="C324" s="30">
        <f t="shared" si="17"/>
        <v>399</v>
      </c>
      <c r="D324" s="30">
        <f t="shared" si="18"/>
        <v>1.3398750000000001</v>
      </c>
    </row>
    <row r="325" spans="1:4" x14ac:dyDescent="0.4">
      <c r="A325" s="30">
        <f t="shared" si="19"/>
        <v>378</v>
      </c>
      <c r="B325" s="30">
        <f t="shared" si="16"/>
        <v>0.50251256281407031</v>
      </c>
      <c r="C325" s="30">
        <f t="shared" si="17"/>
        <v>400</v>
      </c>
      <c r="D325" s="30">
        <f t="shared" si="18"/>
        <v>1.3432500000000003</v>
      </c>
    </row>
    <row r="326" spans="1:4" x14ac:dyDescent="0.4">
      <c r="A326" s="30">
        <f t="shared" si="19"/>
        <v>379</v>
      </c>
      <c r="B326" s="30">
        <f t="shared" si="16"/>
        <v>0.50125313283208017</v>
      </c>
      <c r="C326" s="30">
        <f t="shared" si="17"/>
        <v>401</v>
      </c>
      <c r="D326" s="30">
        <f t="shared" si="18"/>
        <v>1.3466250000000002</v>
      </c>
    </row>
    <row r="327" spans="1:4" x14ac:dyDescent="0.4">
      <c r="A327" s="30">
        <f t="shared" si="19"/>
        <v>380</v>
      </c>
      <c r="B327" s="30">
        <f t="shared" si="16"/>
        <v>0.5</v>
      </c>
      <c r="C327" s="30">
        <f t="shared" si="17"/>
        <v>402</v>
      </c>
      <c r="D327" s="30">
        <f t="shared" si="18"/>
        <v>1.35</v>
      </c>
    </row>
    <row r="328" spans="1:4" x14ac:dyDescent="0.4">
      <c r="A328" s="30">
        <f t="shared" si="19"/>
        <v>381</v>
      </c>
      <c r="B328" s="30">
        <f t="shared" si="16"/>
        <v>0.49875311720698257</v>
      </c>
      <c r="C328" s="30">
        <f t="shared" si="17"/>
        <v>403</v>
      </c>
      <c r="D328" s="30">
        <f t="shared" si="18"/>
        <v>1.353375</v>
      </c>
    </row>
    <row r="329" spans="1:4" x14ac:dyDescent="0.4">
      <c r="A329" s="30">
        <f t="shared" si="19"/>
        <v>382</v>
      </c>
      <c r="B329" s="30">
        <f t="shared" si="16"/>
        <v>0.49751243781094528</v>
      </c>
      <c r="C329" s="30">
        <f t="shared" si="17"/>
        <v>404</v>
      </c>
      <c r="D329" s="30">
        <f t="shared" si="18"/>
        <v>1.3567500000000001</v>
      </c>
    </row>
    <row r="330" spans="1:4" x14ac:dyDescent="0.4">
      <c r="A330" s="30">
        <f t="shared" si="19"/>
        <v>383</v>
      </c>
      <c r="B330" s="30">
        <f t="shared" si="16"/>
        <v>0.49627791563275436</v>
      </c>
      <c r="C330" s="30">
        <f t="shared" si="17"/>
        <v>405</v>
      </c>
      <c r="D330" s="30">
        <f t="shared" si="18"/>
        <v>1.360125</v>
      </c>
    </row>
    <row r="331" spans="1:4" x14ac:dyDescent="0.4">
      <c r="A331" s="30">
        <f t="shared" si="19"/>
        <v>384</v>
      </c>
      <c r="B331" s="30">
        <f t="shared" ref="B331:B394" si="20">$B$4/8/(A331+$B$2)</f>
        <v>0.49504950495049505</v>
      </c>
      <c r="C331" s="30">
        <f t="shared" si="17"/>
        <v>406</v>
      </c>
      <c r="D331" s="30">
        <f t="shared" si="18"/>
        <v>1.3635000000000002</v>
      </c>
    </row>
    <row r="332" spans="1:4" x14ac:dyDescent="0.4">
      <c r="A332" s="30">
        <f t="shared" si="19"/>
        <v>385</v>
      </c>
      <c r="B332" s="30">
        <f t="shared" si="20"/>
        <v>0.49382716049382713</v>
      </c>
      <c r="C332" s="30">
        <f t="shared" ref="C332:C395" si="21">A332+$E$6</f>
        <v>407</v>
      </c>
      <c r="D332" s="30">
        <f t="shared" ref="D332:D395" si="22">$H$3/B332/CEILING(C332/$H$2,1)</f>
        <v>1.3668750000000001</v>
      </c>
    </row>
    <row r="333" spans="1:4" x14ac:dyDescent="0.4">
      <c r="A333" s="30">
        <f t="shared" ref="A333:A396" si="23">A332+$B$3</f>
        <v>386</v>
      </c>
      <c r="B333" s="30">
        <f t="shared" si="20"/>
        <v>0.49261083743842365</v>
      </c>
      <c r="C333" s="30">
        <f t="shared" si="21"/>
        <v>408</v>
      </c>
      <c r="D333" s="30">
        <f t="shared" si="22"/>
        <v>1.37025</v>
      </c>
    </row>
    <row r="334" spans="1:4" x14ac:dyDescent="0.4">
      <c r="A334" s="30">
        <f t="shared" si="23"/>
        <v>387</v>
      </c>
      <c r="B334" s="30">
        <f t="shared" si="20"/>
        <v>0.49140049140049141</v>
      </c>
      <c r="C334" s="30">
        <f t="shared" si="21"/>
        <v>409</v>
      </c>
      <c r="D334" s="30">
        <f t="shared" si="22"/>
        <v>1.3736250000000001</v>
      </c>
    </row>
    <row r="335" spans="1:4" x14ac:dyDescent="0.4">
      <c r="A335" s="30">
        <f t="shared" si="23"/>
        <v>388</v>
      </c>
      <c r="B335" s="30">
        <f t="shared" si="20"/>
        <v>0.49019607843137253</v>
      </c>
      <c r="C335" s="30">
        <f t="shared" si="21"/>
        <v>410</v>
      </c>
      <c r="D335" s="30">
        <f t="shared" si="22"/>
        <v>1.3770000000000002</v>
      </c>
    </row>
    <row r="336" spans="1:4" x14ac:dyDescent="0.4">
      <c r="A336" s="30">
        <f t="shared" si="23"/>
        <v>389</v>
      </c>
      <c r="B336" s="30">
        <f t="shared" si="20"/>
        <v>0.48899755501222492</v>
      </c>
      <c r="C336" s="30">
        <f t="shared" si="21"/>
        <v>411</v>
      </c>
      <c r="D336" s="30">
        <f t="shared" si="22"/>
        <v>1.3803750000000001</v>
      </c>
    </row>
    <row r="337" spans="1:4" x14ac:dyDescent="0.4">
      <c r="A337" s="30">
        <f t="shared" si="23"/>
        <v>390</v>
      </c>
      <c r="B337" s="30">
        <f t="shared" si="20"/>
        <v>0.48780487804878048</v>
      </c>
      <c r="C337" s="30">
        <f t="shared" si="21"/>
        <v>412</v>
      </c>
      <c r="D337" s="30">
        <f t="shared" si="22"/>
        <v>1.38375</v>
      </c>
    </row>
    <row r="338" spans="1:4" x14ac:dyDescent="0.4">
      <c r="A338" s="30">
        <f t="shared" si="23"/>
        <v>391</v>
      </c>
      <c r="B338" s="30">
        <f t="shared" si="20"/>
        <v>0.48661800486618007</v>
      </c>
      <c r="C338" s="30">
        <f t="shared" si="21"/>
        <v>413</v>
      </c>
      <c r="D338" s="30">
        <f t="shared" si="22"/>
        <v>1.3871249999999999</v>
      </c>
    </row>
    <row r="339" spans="1:4" x14ac:dyDescent="0.4">
      <c r="A339" s="30">
        <f t="shared" si="23"/>
        <v>392</v>
      </c>
      <c r="B339" s="30">
        <f t="shared" si="20"/>
        <v>0.4854368932038835</v>
      </c>
      <c r="C339" s="30">
        <f t="shared" si="21"/>
        <v>414</v>
      </c>
      <c r="D339" s="30">
        <f t="shared" si="22"/>
        <v>1.3905000000000001</v>
      </c>
    </row>
    <row r="340" spans="1:4" x14ac:dyDescent="0.4">
      <c r="A340" s="30">
        <f t="shared" si="23"/>
        <v>393</v>
      </c>
      <c r="B340" s="30">
        <f t="shared" si="20"/>
        <v>0.48426150121065376</v>
      </c>
      <c r="C340" s="30">
        <f t="shared" si="21"/>
        <v>415</v>
      </c>
      <c r="D340" s="30">
        <f t="shared" si="22"/>
        <v>1.393875</v>
      </c>
    </row>
    <row r="341" spans="1:4" x14ac:dyDescent="0.4">
      <c r="A341" s="30">
        <f t="shared" si="23"/>
        <v>394</v>
      </c>
      <c r="B341" s="30">
        <f t="shared" si="20"/>
        <v>0.48309178743961351</v>
      </c>
      <c r="C341" s="30">
        <f t="shared" si="21"/>
        <v>416</v>
      </c>
      <c r="D341" s="30">
        <f t="shared" si="22"/>
        <v>1.3972500000000001</v>
      </c>
    </row>
    <row r="342" spans="1:4" x14ac:dyDescent="0.4">
      <c r="A342" s="30">
        <f t="shared" si="23"/>
        <v>395</v>
      </c>
      <c r="B342" s="30">
        <f t="shared" si="20"/>
        <v>0.48192771084337349</v>
      </c>
      <c r="C342" s="30">
        <f t="shared" si="21"/>
        <v>417</v>
      </c>
      <c r="D342" s="30">
        <f t="shared" si="22"/>
        <v>1.400625</v>
      </c>
    </row>
    <row r="343" spans="1:4" x14ac:dyDescent="0.4">
      <c r="A343" s="30">
        <f t="shared" si="23"/>
        <v>396</v>
      </c>
      <c r="B343" s="30">
        <f t="shared" si="20"/>
        <v>0.48076923076923078</v>
      </c>
      <c r="C343" s="30">
        <f t="shared" si="21"/>
        <v>418</v>
      </c>
      <c r="D343" s="30">
        <f t="shared" si="22"/>
        <v>1.4040000000000001</v>
      </c>
    </row>
    <row r="344" spans="1:4" x14ac:dyDescent="0.4">
      <c r="A344" s="30">
        <f t="shared" si="23"/>
        <v>397</v>
      </c>
      <c r="B344" s="30">
        <f t="shared" si="20"/>
        <v>0.47961630695443647</v>
      </c>
      <c r="C344" s="30">
        <f t="shared" si="21"/>
        <v>419</v>
      </c>
      <c r="D344" s="30">
        <f t="shared" si="22"/>
        <v>1.407375</v>
      </c>
    </row>
    <row r="345" spans="1:4" x14ac:dyDescent="0.4">
      <c r="A345" s="30">
        <f t="shared" si="23"/>
        <v>398</v>
      </c>
      <c r="B345" s="30">
        <f t="shared" si="20"/>
        <v>0.4784688995215311</v>
      </c>
      <c r="C345" s="30">
        <f t="shared" si="21"/>
        <v>420</v>
      </c>
      <c r="D345" s="30">
        <f t="shared" si="22"/>
        <v>1.4107500000000002</v>
      </c>
    </row>
    <row r="346" spans="1:4" x14ac:dyDescent="0.4">
      <c r="A346" s="30">
        <f t="shared" si="23"/>
        <v>399</v>
      </c>
      <c r="B346" s="30">
        <f t="shared" si="20"/>
        <v>0.47732696897374699</v>
      </c>
      <c r="C346" s="30">
        <f t="shared" si="21"/>
        <v>421</v>
      </c>
      <c r="D346" s="30">
        <f t="shared" si="22"/>
        <v>1.4141250000000001</v>
      </c>
    </row>
    <row r="347" spans="1:4" x14ac:dyDescent="0.4">
      <c r="A347" s="30">
        <f t="shared" si="23"/>
        <v>400</v>
      </c>
      <c r="B347" s="30">
        <f t="shared" si="20"/>
        <v>0.47619047619047616</v>
      </c>
      <c r="C347" s="30">
        <f t="shared" si="21"/>
        <v>422</v>
      </c>
      <c r="D347" s="30">
        <f t="shared" si="22"/>
        <v>1.4175000000000002</v>
      </c>
    </row>
    <row r="348" spans="1:4" x14ac:dyDescent="0.4">
      <c r="A348" s="30">
        <f t="shared" si="23"/>
        <v>401</v>
      </c>
      <c r="B348" s="30">
        <f t="shared" si="20"/>
        <v>0.47505938242280282</v>
      </c>
      <c r="C348" s="30">
        <f t="shared" si="21"/>
        <v>423</v>
      </c>
      <c r="D348" s="30">
        <f t="shared" si="22"/>
        <v>1.4208750000000001</v>
      </c>
    </row>
    <row r="349" spans="1:4" x14ac:dyDescent="0.4">
      <c r="A349" s="30">
        <f t="shared" si="23"/>
        <v>402</v>
      </c>
      <c r="B349" s="30">
        <f t="shared" si="20"/>
        <v>0.47393364928909953</v>
      </c>
      <c r="C349" s="30">
        <f t="shared" si="21"/>
        <v>424</v>
      </c>
      <c r="D349" s="30">
        <f t="shared" si="22"/>
        <v>1.42425</v>
      </c>
    </row>
    <row r="350" spans="1:4" x14ac:dyDescent="0.4">
      <c r="A350" s="30">
        <f t="shared" si="23"/>
        <v>403</v>
      </c>
      <c r="B350" s="30">
        <f t="shared" si="20"/>
        <v>0.4728132387706856</v>
      </c>
      <c r="C350" s="30">
        <f t="shared" si="21"/>
        <v>425</v>
      </c>
      <c r="D350" s="30">
        <f t="shared" si="22"/>
        <v>1.4276250000000001</v>
      </c>
    </row>
    <row r="351" spans="1:4" x14ac:dyDescent="0.4">
      <c r="A351" s="30">
        <f t="shared" si="23"/>
        <v>404</v>
      </c>
      <c r="B351" s="30">
        <f t="shared" si="20"/>
        <v>0.47169811320754718</v>
      </c>
      <c r="C351" s="30">
        <f t="shared" si="21"/>
        <v>426</v>
      </c>
      <c r="D351" s="30">
        <f t="shared" si="22"/>
        <v>1.431</v>
      </c>
    </row>
    <row r="352" spans="1:4" x14ac:dyDescent="0.4">
      <c r="A352" s="30">
        <f t="shared" si="23"/>
        <v>405</v>
      </c>
      <c r="B352" s="30">
        <f t="shared" si="20"/>
        <v>0.47058823529411764</v>
      </c>
      <c r="C352" s="30">
        <f t="shared" si="21"/>
        <v>427</v>
      </c>
      <c r="D352" s="30">
        <f t="shared" si="22"/>
        <v>1.4343750000000002</v>
      </c>
    </row>
    <row r="353" spans="1:4" x14ac:dyDescent="0.4">
      <c r="A353" s="30">
        <f t="shared" si="23"/>
        <v>406</v>
      </c>
      <c r="B353" s="30">
        <f t="shared" si="20"/>
        <v>0.46948356807511737</v>
      </c>
      <c r="C353" s="30">
        <f t="shared" si="21"/>
        <v>428</v>
      </c>
      <c r="D353" s="30">
        <f t="shared" si="22"/>
        <v>1.4377500000000001</v>
      </c>
    </row>
    <row r="354" spans="1:4" x14ac:dyDescent="0.4">
      <c r="A354" s="30">
        <f t="shared" si="23"/>
        <v>407</v>
      </c>
      <c r="B354" s="30">
        <f t="shared" si="20"/>
        <v>0.46838407494145201</v>
      </c>
      <c r="C354" s="30">
        <f t="shared" si="21"/>
        <v>429</v>
      </c>
      <c r="D354" s="30">
        <f t="shared" si="22"/>
        <v>1.441125</v>
      </c>
    </row>
    <row r="355" spans="1:4" x14ac:dyDescent="0.4">
      <c r="A355" s="30">
        <f t="shared" si="23"/>
        <v>408</v>
      </c>
      <c r="B355" s="30">
        <f t="shared" si="20"/>
        <v>0.46728971962616822</v>
      </c>
      <c r="C355" s="30">
        <f t="shared" si="21"/>
        <v>430</v>
      </c>
      <c r="D355" s="30">
        <f t="shared" si="22"/>
        <v>1.4445000000000001</v>
      </c>
    </row>
    <row r="356" spans="1:4" x14ac:dyDescent="0.4">
      <c r="A356" s="30">
        <f t="shared" si="23"/>
        <v>409</v>
      </c>
      <c r="B356" s="30">
        <f t="shared" si="20"/>
        <v>0.46620046620046618</v>
      </c>
      <c r="C356" s="30">
        <f t="shared" si="21"/>
        <v>431</v>
      </c>
      <c r="D356" s="30">
        <f t="shared" si="22"/>
        <v>1.4478750000000002</v>
      </c>
    </row>
    <row r="357" spans="1:4" x14ac:dyDescent="0.4">
      <c r="A357" s="30">
        <f t="shared" si="23"/>
        <v>410</v>
      </c>
      <c r="B357" s="30">
        <f t="shared" si="20"/>
        <v>0.46511627906976744</v>
      </c>
      <c r="C357" s="30">
        <f t="shared" si="21"/>
        <v>432</v>
      </c>
      <c r="D357" s="30">
        <f t="shared" si="22"/>
        <v>1.4512500000000002</v>
      </c>
    </row>
    <row r="358" spans="1:4" x14ac:dyDescent="0.4">
      <c r="A358" s="30">
        <f t="shared" si="23"/>
        <v>411</v>
      </c>
      <c r="B358" s="30">
        <f t="shared" si="20"/>
        <v>0.46403712296983757</v>
      </c>
      <c r="C358" s="30">
        <f t="shared" si="21"/>
        <v>433</v>
      </c>
      <c r="D358" s="30">
        <f t="shared" si="22"/>
        <v>1.4546250000000001</v>
      </c>
    </row>
    <row r="359" spans="1:4" x14ac:dyDescent="0.4">
      <c r="A359" s="30">
        <f t="shared" si="23"/>
        <v>412</v>
      </c>
      <c r="B359" s="30">
        <f t="shared" si="20"/>
        <v>0.46296296296296297</v>
      </c>
      <c r="C359" s="30">
        <f t="shared" si="21"/>
        <v>434</v>
      </c>
      <c r="D359" s="30">
        <f t="shared" si="22"/>
        <v>1.4580000000000002</v>
      </c>
    </row>
    <row r="360" spans="1:4" x14ac:dyDescent="0.4">
      <c r="A360" s="30">
        <f t="shared" si="23"/>
        <v>413</v>
      </c>
      <c r="B360" s="30">
        <f t="shared" si="20"/>
        <v>0.46189376443418012</v>
      </c>
      <c r="C360" s="30">
        <f t="shared" si="21"/>
        <v>435</v>
      </c>
      <c r="D360" s="30">
        <f t="shared" si="22"/>
        <v>1.4613750000000001</v>
      </c>
    </row>
    <row r="361" spans="1:4" x14ac:dyDescent="0.4">
      <c r="A361" s="30">
        <f t="shared" si="23"/>
        <v>414</v>
      </c>
      <c r="B361" s="30">
        <f t="shared" si="20"/>
        <v>0.46082949308755761</v>
      </c>
      <c r="C361" s="30">
        <f t="shared" si="21"/>
        <v>436</v>
      </c>
      <c r="D361" s="30">
        <f t="shared" si="22"/>
        <v>1.46475</v>
      </c>
    </row>
    <row r="362" spans="1:4" x14ac:dyDescent="0.4">
      <c r="A362" s="30">
        <f t="shared" si="23"/>
        <v>415</v>
      </c>
      <c r="B362" s="30">
        <f t="shared" si="20"/>
        <v>0.45977011494252873</v>
      </c>
      <c r="C362" s="30">
        <f t="shared" si="21"/>
        <v>437</v>
      </c>
      <c r="D362" s="30">
        <f t="shared" si="22"/>
        <v>1.4681250000000001</v>
      </c>
    </row>
    <row r="363" spans="1:4" x14ac:dyDescent="0.4">
      <c r="A363" s="30">
        <f t="shared" si="23"/>
        <v>416</v>
      </c>
      <c r="B363" s="30">
        <f t="shared" si="20"/>
        <v>0.45871559633027525</v>
      </c>
      <c r="C363" s="30">
        <f t="shared" si="21"/>
        <v>438</v>
      </c>
      <c r="D363" s="30">
        <f t="shared" si="22"/>
        <v>1.4715</v>
      </c>
    </row>
    <row r="364" spans="1:4" x14ac:dyDescent="0.4">
      <c r="A364" s="30">
        <f t="shared" si="23"/>
        <v>417</v>
      </c>
      <c r="B364" s="30">
        <f t="shared" si="20"/>
        <v>0.45766590389016021</v>
      </c>
      <c r="C364" s="30">
        <f t="shared" si="21"/>
        <v>439</v>
      </c>
      <c r="D364" s="30">
        <f t="shared" si="22"/>
        <v>1.4748749999999999</v>
      </c>
    </row>
    <row r="365" spans="1:4" x14ac:dyDescent="0.4">
      <c r="A365" s="30">
        <f t="shared" si="23"/>
        <v>418</v>
      </c>
      <c r="B365" s="30">
        <f t="shared" si="20"/>
        <v>0.45662100456621002</v>
      </c>
      <c r="C365" s="30">
        <f t="shared" si="21"/>
        <v>440</v>
      </c>
      <c r="D365" s="30">
        <f t="shared" si="22"/>
        <v>1.4782500000000003</v>
      </c>
    </row>
    <row r="366" spans="1:4" x14ac:dyDescent="0.4">
      <c r="A366" s="30">
        <f t="shared" si="23"/>
        <v>419</v>
      </c>
      <c r="B366" s="30">
        <f t="shared" si="20"/>
        <v>0.45558086560364464</v>
      </c>
      <c r="C366" s="30">
        <f t="shared" si="21"/>
        <v>441</v>
      </c>
      <c r="D366" s="30">
        <f t="shared" si="22"/>
        <v>1.4816250000000002</v>
      </c>
    </row>
    <row r="367" spans="1:4" x14ac:dyDescent="0.4">
      <c r="A367" s="30">
        <f t="shared" si="23"/>
        <v>420</v>
      </c>
      <c r="B367" s="30">
        <f t="shared" si="20"/>
        <v>0.45454545454545453</v>
      </c>
      <c r="C367" s="30">
        <f t="shared" si="21"/>
        <v>442</v>
      </c>
      <c r="D367" s="30">
        <f t="shared" si="22"/>
        <v>1.4850000000000001</v>
      </c>
    </row>
    <row r="368" spans="1:4" x14ac:dyDescent="0.4">
      <c r="A368" s="30">
        <f t="shared" si="23"/>
        <v>421</v>
      </c>
      <c r="B368" s="30">
        <f t="shared" si="20"/>
        <v>0.45351473922902497</v>
      </c>
      <c r="C368" s="30">
        <f t="shared" si="21"/>
        <v>443</v>
      </c>
      <c r="D368" s="30">
        <f t="shared" si="22"/>
        <v>1.488375</v>
      </c>
    </row>
    <row r="369" spans="1:4" x14ac:dyDescent="0.4">
      <c r="A369" s="30">
        <f t="shared" si="23"/>
        <v>422</v>
      </c>
      <c r="B369" s="30">
        <f t="shared" si="20"/>
        <v>0.45248868778280543</v>
      </c>
      <c r="C369" s="30">
        <f t="shared" si="21"/>
        <v>444</v>
      </c>
      <c r="D369" s="30">
        <f t="shared" si="22"/>
        <v>1.4917500000000001</v>
      </c>
    </row>
    <row r="370" spans="1:4" x14ac:dyDescent="0.4">
      <c r="A370" s="30">
        <f t="shared" si="23"/>
        <v>423</v>
      </c>
      <c r="B370" s="30">
        <f t="shared" si="20"/>
        <v>0.45146726862302483</v>
      </c>
      <c r="C370" s="30">
        <f t="shared" si="21"/>
        <v>445</v>
      </c>
      <c r="D370" s="30">
        <f t="shared" si="22"/>
        <v>1.495125</v>
      </c>
    </row>
    <row r="371" spans="1:4" x14ac:dyDescent="0.4">
      <c r="A371" s="30">
        <f t="shared" si="23"/>
        <v>424</v>
      </c>
      <c r="B371" s="30">
        <f t="shared" si="20"/>
        <v>0.45045045045045046</v>
      </c>
      <c r="C371" s="30">
        <f t="shared" si="21"/>
        <v>446</v>
      </c>
      <c r="D371" s="30">
        <f t="shared" si="22"/>
        <v>1.4985000000000002</v>
      </c>
    </row>
    <row r="372" spans="1:4" x14ac:dyDescent="0.4">
      <c r="A372" s="30">
        <f t="shared" si="23"/>
        <v>425</v>
      </c>
      <c r="B372" s="30">
        <f t="shared" si="20"/>
        <v>0.449438202247191</v>
      </c>
      <c r="C372" s="30">
        <f t="shared" si="21"/>
        <v>447</v>
      </c>
      <c r="D372" s="30">
        <f t="shared" si="22"/>
        <v>1.5018750000000001</v>
      </c>
    </row>
    <row r="373" spans="1:4" x14ac:dyDescent="0.4">
      <c r="A373" s="30">
        <f t="shared" si="23"/>
        <v>426</v>
      </c>
      <c r="B373" s="30">
        <f t="shared" si="20"/>
        <v>0.44843049327354262</v>
      </c>
      <c r="C373" s="30">
        <f t="shared" si="21"/>
        <v>448</v>
      </c>
      <c r="D373" s="30">
        <f t="shared" si="22"/>
        <v>1.50525</v>
      </c>
    </row>
    <row r="374" spans="1:4" x14ac:dyDescent="0.4">
      <c r="A374" s="30">
        <f t="shared" si="23"/>
        <v>427</v>
      </c>
      <c r="B374" s="30">
        <f t="shared" si="20"/>
        <v>0.44742729306487694</v>
      </c>
      <c r="C374" s="30">
        <f t="shared" si="21"/>
        <v>449</v>
      </c>
      <c r="D374" s="30">
        <f t="shared" si="22"/>
        <v>1.5086250000000001</v>
      </c>
    </row>
    <row r="375" spans="1:4" x14ac:dyDescent="0.4">
      <c r="A375" s="30">
        <f t="shared" si="23"/>
        <v>428</v>
      </c>
      <c r="B375" s="30">
        <f t="shared" si="20"/>
        <v>0.44642857142857145</v>
      </c>
      <c r="C375" s="30">
        <f t="shared" si="21"/>
        <v>450</v>
      </c>
      <c r="D375" s="30">
        <f t="shared" si="22"/>
        <v>1.512</v>
      </c>
    </row>
    <row r="376" spans="1:4" x14ac:dyDescent="0.4">
      <c r="A376" s="30">
        <f t="shared" si="23"/>
        <v>429</v>
      </c>
      <c r="B376" s="30">
        <f t="shared" si="20"/>
        <v>0.44543429844097998</v>
      </c>
      <c r="C376" s="30">
        <f t="shared" si="21"/>
        <v>451</v>
      </c>
      <c r="D376" s="30">
        <f t="shared" si="22"/>
        <v>1.5153749999999999</v>
      </c>
    </row>
    <row r="377" spans="1:4" x14ac:dyDescent="0.4">
      <c r="A377" s="30">
        <f t="shared" si="23"/>
        <v>430</v>
      </c>
      <c r="B377" s="30">
        <f t="shared" si="20"/>
        <v>0.44444444444444442</v>
      </c>
      <c r="C377" s="30">
        <f t="shared" si="21"/>
        <v>452</v>
      </c>
      <c r="D377" s="30">
        <f t="shared" si="22"/>
        <v>1.5187500000000003</v>
      </c>
    </row>
    <row r="378" spans="1:4" x14ac:dyDescent="0.4">
      <c r="A378" s="30">
        <f t="shared" si="23"/>
        <v>431</v>
      </c>
      <c r="B378" s="30">
        <f t="shared" si="20"/>
        <v>0.44345898004434592</v>
      </c>
      <c r="C378" s="30">
        <f t="shared" si="21"/>
        <v>453</v>
      </c>
      <c r="D378" s="30">
        <f t="shared" si="22"/>
        <v>1.522125</v>
      </c>
    </row>
    <row r="379" spans="1:4" x14ac:dyDescent="0.4">
      <c r="A379" s="30">
        <f t="shared" si="23"/>
        <v>432</v>
      </c>
      <c r="B379" s="30">
        <f t="shared" si="20"/>
        <v>0.44247787610619471</v>
      </c>
      <c r="C379" s="30">
        <f t="shared" si="21"/>
        <v>454</v>
      </c>
      <c r="D379" s="30">
        <f t="shared" si="22"/>
        <v>1.5255000000000001</v>
      </c>
    </row>
    <row r="380" spans="1:4" x14ac:dyDescent="0.4">
      <c r="A380" s="30">
        <f t="shared" si="23"/>
        <v>433</v>
      </c>
      <c r="B380" s="30">
        <f t="shared" si="20"/>
        <v>0.44150110375275936</v>
      </c>
      <c r="C380" s="30">
        <f t="shared" si="21"/>
        <v>455</v>
      </c>
      <c r="D380" s="30">
        <f t="shared" si="22"/>
        <v>1.5288750000000002</v>
      </c>
    </row>
    <row r="381" spans="1:4" x14ac:dyDescent="0.4">
      <c r="A381" s="30">
        <f t="shared" si="23"/>
        <v>434</v>
      </c>
      <c r="B381" s="30">
        <f t="shared" si="20"/>
        <v>0.44052863436123346</v>
      </c>
      <c r="C381" s="30">
        <f t="shared" si="21"/>
        <v>456</v>
      </c>
      <c r="D381" s="30">
        <f t="shared" si="22"/>
        <v>1.5322500000000001</v>
      </c>
    </row>
    <row r="382" spans="1:4" x14ac:dyDescent="0.4">
      <c r="A382" s="30">
        <f t="shared" si="23"/>
        <v>435</v>
      </c>
      <c r="B382" s="30">
        <f t="shared" si="20"/>
        <v>0.43956043956043955</v>
      </c>
      <c r="C382" s="30">
        <f t="shared" si="21"/>
        <v>457</v>
      </c>
      <c r="D382" s="30">
        <f t="shared" si="22"/>
        <v>1.535625</v>
      </c>
    </row>
    <row r="383" spans="1:4" x14ac:dyDescent="0.4">
      <c r="A383" s="30">
        <f t="shared" si="23"/>
        <v>436</v>
      </c>
      <c r="B383" s="30">
        <f t="shared" si="20"/>
        <v>0.43859649122807015</v>
      </c>
      <c r="C383" s="30">
        <f t="shared" si="21"/>
        <v>458</v>
      </c>
      <c r="D383" s="30">
        <f t="shared" si="22"/>
        <v>1.5390000000000001</v>
      </c>
    </row>
    <row r="384" spans="1:4" x14ac:dyDescent="0.4">
      <c r="A384" s="30">
        <f t="shared" si="23"/>
        <v>437</v>
      </c>
      <c r="B384" s="30">
        <f t="shared" si="20"/>
        <v>0.43763676148796499</v>
      </c>
      <c r="C384" s="30">
        <f t="shared" si="21"/>
        <v>459</v>
      </c>
      <c r="D384" s="30">
        <f t="shared" si="22"/>
        <v>1.5423750000000001</v>
      </c>
    </row>
    <row r="385" spans="1:4" x14ac:dyDescent="0.4">
      <c r="A385" s="30">
        <f t="shared" si="23"/>
        <v>438</v>
      </c>
      <c r="B385" s="30">
        <f t="shared" si="20"/>
        <v>0.4366812227074236</v>
      </c>
      <c r="C385" s="30">
        <f t="shared" si="21"/>
        <v>460</v>
      </c>
      <c r="D385" s="30">
        <f t="shared" si="22"/>
        <v>1.54575</v>
      </c>
    </row>
    <row r="386" spans="1:4" x14ac:dyDescent="0.4">
      <c r="A386" s="30">
        <f t="shared" si="23"/>
        <v>439</v>
      </c>
      <c r="B386" s="30">
        <f t="shared" si="20"/>
        <v>0.4357298474945534</v>
      </c>
      <c r="C386" s="30">
        <f t="shared" si="21"/>
        <v>461</v>
      </c>
      <c r="D386" s="30">
        <f t="shared" si="22"/>
        <v>1.5491250000000001</v>
      </c>
    </row>
    <row r="387" spans="1:4" x14ac:dyDescent="0.4">
      <c r="A387" s="30">
        <f t="shared" si="23"/>
        <v>440</v>
      </c>
      <c r="B387" s="30">
        <f t="shared" si="20"/>
        <v>0.43478260869565216</v>
      </c>
      <c r="C387" s="30">
        <f t="shared" si="21"/>
        <v>462</v>
      </c>
      <c r="D387" s="30">
        <f t="shared" si="22"/>
        <v>1.5525000000000002</v>
      </c>
    </row>
    <row r="388" spans="1:4" x14ac:dyDescent="0.4">
      <c r="A388" s="30">
        <f t="shared" si="23"/>
        <v>441</v>
      </c>
      <c r="B388" s="30">
        <f t="shared" si="20"/>
        <v>0.43383947939262474</v>
      </c>
      <c r="C388" s="30">
        <f t="shared" si="21"/>
        <v>463</v>
      </c>
      <c r="D388" s="30">
        <f t="shared" si="22"/>
        <v>1.5558750000000001</v>
      </c>
    </row>
    <row r="389" spans="1:4" x14ac:dyDescent="0.4">
      <c r="A389" s="30">
        <f t="shared" si="23"/>
        <v>442</v>
      </c>
      <c r="B389" s="30">
        <f t="shared" si="20"/>
        <v>0.4329004329004329</v>
      </c>
      <c r="C389" s="30">
        <f t="shared" si="21"/>
        <v>464</v>
      </c>
      <c r="D389" s="30">
        <f t="shared" si="22"/>
        <v>1.55925</v>
      </c>
    </row>
    <row r="390" spans="1:4" x14ac:dyDescent="0.4">
      <c r="A390" s="30">
        <f t="shared" si="23"/>
        <v>443</v>
      </c>
      <c r="B390" s="30">
        <f t="shared" si="20"/>
        <v>0.43196544276457882</v>
      </c>
      <c r="C390" s="30">
        <f t="shared" si="21"/>
        <v>465</v>
      </c>
      <c r="D390" s="30">
        <f t="shared" si="22"/>
        <v>1.5626250000000002</v>
      </c>
    </row>
    <row r="391" spans="1:4" x14ac:dyDescent="0.4">
      <c r="A391" s="30">
        <f t="shared" si="23"/>
        <v>444</v>
      </c>
      <c r="B391" s="30">
        <f t="shared" si="20"/>
        <v>0.43103448275862066</v>
      </c>
      <c r="C391" s="30">
        <f t="shared" si="21"/>
        <v>466</v>
      </c>
      <c r="D391" s="30">
        <f t="shared" si="22"/>
        <v>1.5660000000000003</v>
      </c>
    </row>
    <row r="392" spans="1:4" x14ac:dyDescent="0.4">
      <c r="A392" s="30">
        <f t="shared" si="23"/>
        <v>445</v>
      </c>
      <c r="B392" s="30">
        <f t="shared" si="20"/>
        <v>0.43010752688172044</v>
      </c>
      <c r="C392" s="30">
        <f t="shared" si="21"/>
        <v>467</v>
      </c>
      <c r="D392" s="30">
        <f t="shared" si="22"/>
        <v>1.5693750000000002</v>
      </c>
    </row>
    <row r="393" spans="1:4" x14ac:dyDescent="0.4">
      <c r="A393" s="30">
        <f t="shared" si="23"/>
        <v>446</v>
      </c>
      <c r="B393" s="30">
        <f t="shared" si="20"/>
        <v>0.42918454935622319</v>
      </c>
      <c r="C393" s="30">
        <f t="shared" si="21"/>
        <v>468</v>
      </c>
      <c r="D393" s="30">
        <f t="shared" si="22"/>
        <v>1.5727500000000001</v>
      </c>
    </row>
    <row r="394" spans="1:4" x14ac:dyDescent="0.4">
      <c r="A394" s="30">
        <f t="shared" si="23"/>
        <v>447</v>
      </c>
      <c r="B394" s="30">
        <f t="shared" si="20"/>
        <v>0.42826552462526768</v>
      </c>
      <c r="C394" s="30">
        <f t="shared" si="21"/>
        <v>469</v>
      </c>
      <c r="D394" s="30">
        <f t="shared" si="22"/>
        <v>1.576125</v>
      </c>
    </row>
    <row r="395" spans="1:4" x14ac:dyDescent="0.4">
      <c r="A395" s="30">
        <f t="shared" si="23"/>
        <v>448</v>
      </c>
      <c r="B395" s="30">
        <f t="shared" ref="B395:B458" si="24">$B$4/8/(A395+$B$2)</f>
        <v>0.42735042735042733</v>
      </c>
      <c r="C395" s="30">
        <f t="shared" si="21"/>
        <v>470</v>
      </c>
      <c r="D395" s="30">
        <f t="shared" si="22"/>
        <v>1.5795000000000001</v>
      </c>
    </row>
    <row r="396" spans="1:4" x14ac:dyDescent="0.4">
      <c r="A396" s="30">
        <f t="shared" si="23"/>
        <v>449</v>
      </c>
      <c r="B396" s="30">
        <f t="shared" si="24"/>
        <v>0.42643923240938164</v>
      </c>
      <c r="C396" s="30">
        <f t="shared" ref="C396:C459" si="25">A396+$E$6</f>
        <v>471</v>
      </c>
      <c r="D396" s="30">
        <f t="shared" ref="D396:D459" si="26">$H$3/B396/CEILING(C396/$H$2,1)</f>
        <v>1.5828750000000003</v>
      </c>
    </row>
    <row r="397" spans="1:4" x14ac:dyDescent="0.4">
      <c r="A397" s="30">
        <f t="shared" ref="A397:A460" si="27">A396+$B$3</f>
        <v>450</v>
      </c>
      <c r="B397" s="30">
        <f t="shared" si="24"/>
        <v>0.42553191489361702</v>
      </c>
      <c r="C397" s="30">
        <f t="shared" si="25"/>
        <v>472</v>
      </c>
      <c r="D397" s="30">
        <f t="shared" si="26"/>
        <v>1.5862500000000002</v>
      </c>
    </row>
    <row r="398" spans="1:4" x14ac:dyDescent="0.4">
      <c r="A398" s="30">
        <f t="shared" si="27"/>
        <v>451</v>
      </c>
      <c r="B398" s="30">
        <f t="shared" si="24"/>
        <v>0.42462845010615713</v>
      </c>
      <c r="C398" s="30">
        <f t="shared" si="25"/>
        <v>473</v>
      </c>
      <c r="D398" s="30">
        <f t="shared" si="26"/>
        <v>1.5896250000000001</v>
      </c>
    </row>
    <row r="399" spans="1:4" x14ac:dyDescent="0.4">
      <c r="A399" s="30">
        <f t="shared" si="27"/>
        <v>452</v>
      </c>
      <c r="B399" s="30">
        <f t="shared" si="24"/>
        <v>0.42372881355932202</v>
      </c>
      <c r="C399" s="30">
        <f t="shared" si="25"/>
        <v>474</v>
      </c>
      <c r="D399" s="30">
        <f t="shared" si="26"/>
        <v>1.5930000000000002</v>
      </c>
    </row>
    <row r="400" spans="1:4" x14ac:dyDescent="0.4">
      <c r="A400" s="30">
        <f t="shared" si="27"/>
        <v>453</v>
      </c>
      <c r="B400" s="30">
        <f t="shared" si="24"/>
        <v>0.42283298097251587</v>
      </c>
      <c r="C400" s="30">
        <f t="shared" si="25"/>
        <v>475</v>
      </c>
      <c r="D400" s="30">
        <f t="shared" si="26"/>
        <v>1.5963750000000001</v>
      </c>
    </row>
    <row r="401" spans="1:4" x14ac:dyDescent="0.4">
      <c r="A401" s="30">
        <f t="shared" si="27"/>
        <v>454</v>
      </c>
      <c r="B401" s="30">
        <f t="shared" si="24"/>
        <v>0.4219409282700422</v>
      </c>
      <c r="C401" s="30">
        <f t="shared" si="25"/>
        <v>476</v>
      </c>
      <c r="D401" s="30">
        <f t="shared" si="26"/>
        <v>1.59975</v>
      </c>
    </row>
    <row r="402" spans="1:4" x14ac:dyDescent="0.4">
      <c r="A402" s="30">
        <f t="shared" si="27"/>
        <v>455</v>
      </c>
      <c r="B402" s="30">
        <f t="shared" si="24"/>
        <v>0.42105263157894735</v>
      </c>
      <c r="C402" s="30">
        <f t="shared" si="25"/>
        <v>477</v>
      </c>
      <c r="D402" s="30">
        <f t="shared" si="26"/>
        <v>1.6031250000000001</v>
      </c>
    </row>
    <row r="403" spans="1:4" x14ac:dyDescent="0.4">
      <c r="A403" s="30">
        <f t="shared" si="27"/>
        <v>456</v>
      </c>
      <c r="B403" s="30">
        <f t="shared" si="24"/>
        <v>0.42016806722689076</v>
      </c>
      <c r="C403" s="30">
        <f t="shared" si="25"/>
        <v>478</v>
      </c>
      <c r="D403" s="30">
        <f t="shared" si="26"/>
        <v>1.6065</v>
      </c>
    </row>
    <row r="404" spans="1:4" x14ac:dyDescent="0.4">
      <c r="A404" s="30">
        <f t="shared" si="27"/>
        <v>457</v>
      </c>
      <c r="B404" s="30">
        <f t="shared" si="24"/>
        <v>0.41928721174004191</v>
      </c>
      <c r="C404" s="30">
        <f t="shared" si="25"/>
        <v>479</v>
      </c>
      <c r="D404" s="30">
        <f t="shared" si="26"/>
        <v>1.6098750000000002</v>
      </c>
    </row>
    <row r="405" spans="1:4" x14ac:dyDescent="0.4">
      <c r="A405" s="30">
        <f t="shared" si="27"/>
        <v>458</v>
      </c>
      <c r="B405" s="30">
        <f t="shared" si="24"/>
        <v>0.41841004184100417</v>
      </c>
      <c r="C405" s="30">
        <f t="shared" si="25"/>
        <v>480</v>
      </c>
      <c r="D405" s="30">
        <f t="shared" si="26"/>
        <v>1.6132500000000001</v>
      </c>
    </row>
    <row r="406" spans="1:4" x14ac:dyDescent="0.4">
      <c r="A406" s="30">
        <f t="shared" si="27"/>
        <v>459</v>
      </c>
      <c r="B406" s="30">
        <f t="shared" si="24"/>
        <v>0.41753653444676408</v>
      </c>
      <c r="C406" s="30">
        <f t="shared" si="25"/>
        <v>481</v>
      </c>
      <c r="D406" s="30">
        <f t="shared" si="26"/>
        <v>1.6166250000000002</v>
      </c>
    </row>
    <row r="407" spans="1:4" x14ac:dyDescent="0.4">
      <c r="A407" s="30">
        <f t="shared" si="27"/>
        <v>460</v>
      </c>
      <c r="B407" s="30">
        <f t="shared" si="24"/>
        <v>0.41666666666666669</v>
      </c>
      <c r="C407" s="30">
        <f t="shared" si="25"/>
        <v>482</v>
      </c>
      <c r="D407" s="30">
        <f t="shared" si="26"/>
        <v>1.62</v>
      </c>
    </row>
    <row r="408" spans="1:4" x14ac:dyDescent="0.4">
      <c r="A408" s="30">
        <f t="shared" si="27"/>
        <v>461</v>
      </c>
      <c r="B408" s="30">
        <f t="shared" si="24"/>
        <v>0.41580041580041582</v>
      </c>
      <c r="C408" s="30">
        <f t="shared" si="25"/>
        <v>483</v>
      </c>
      <c r="D408" s="30">
        <f t="shared" si="26"/>
        <v>1.623375</v>
      </c>
    </row>
    <row r="409" spans="1:4" x14ac:dyDescent="0.4">
      <c r="A409" s="30">
        <f t="shared" si="27"/>
        <v>462</v>
      </c>
      <c r="B409" s="30">
        <f t="shared" si="24"/>
        <v>0.41493775933609961</v>
      </c>
      <c r="C409" s="30">
        <f t="shared" si="25"/>
        <v>484</v>
      </c>
      <c r="D409" s="30">
        <f t="shared" si="26"/>
        <v>1.6267499999999999</v>
      </c>
    </row>
    <row r="410" spans="1:4" x14ac:dyDescent="0.4">
      <c r="A410" s="30">
        <f t="shared" si="27"/>
        <v>463</v>
      </c>
      <c r="B410" s="30">
        <f t="shared" si="24"/>
        <v>0.41407867494824019</v>
      </c>
      <c r="C410" s="30">
        <f t="shared" si="25"/>
        <v>485</v>
      </c>
      <c r="D410" s="30">
        <f t="shared" si="26"/>
        <v>1.630125</v>
      </c>
    </row>
    <row r="411" spans="1:4" x14ac:dyDescent="0.4">
      <c r="A411" s="30">
        <f t="shared" si="27"/>
        <v>464</v>
      </c>
      <c r="B411" s="30">
        <f t="shared" si="24"/>
        <v>0.41322314049586778</v>
      </c>
      <c r="C411" s="30">
        <f t="shared" si="25"/>
        <v>486</v>
      </c>
      <c r="D411" s="30">
        <f t="shared" si="26"/>
        <v>1.6335</v>
      </c>
    </row>
    <row r="412" spans="1:4" x14ac:dyDescent="0.4">
      <c r="A412" s="30">
        <f t="shared" si="27"/>
        <v>465</v>
      </c>
      <c r="B412" s="30">
        <f t="shared" si="24"/>
        <v>0.41237113402061853</v>
      </c>
      <c r="C412" s="30">
        <f t="shared" si="25"/>
        <v>487</v>
      </c>
      <c r="D412" s="30">
        <f t="shared" si="26"/>
        <v>1.6368750000000003</v>
      </c>
    </row>
    <row r="413" spans="1:4" x14ac:dyDescent="0.4">
      <c r="A413" s="30">
        <f t="shared" si="27"/>
        <v>466</v>
      </c>
      <c r="B413" s="30">
        <f t="shared" si="24"/>
        <v>0.41152263374485598</v>
      </c>
      <c r="C413" s="30">
        <f t="shared" si="25"/>
        <v>488</v>
      </c>
      <c r="D413" s="30">
        <f t="shared" si="26"/>
        <v>1.64025</v>
      </c>
    </row>
    <row r="414" spans="1:4" x14ac:dyDescent="0.4">
      <c r="A414" s="30">
        <f t="shared" si="27"/>
        <v>467</v>
      </c>
      <c r="B414" s="30">
        <f t="shared" si="24"/>
        <v>0.41067761806981518</v>
      </c>
      <c r="C414" s="30">
        <f t="shared" si="25"/>
        <v>489</v>
      </c>
      <c r="D414" s="30">
        <f t="shared" si="26"/>
        <v>1.6436250000000001</v>
      </c>
    </row>
    <row r="415" spans="1:4" x14ac:dyDescent="0.4">
      <c r="A415" s="30">
        <f t="shared" si="27"/>
        <v>468</v>
      </c>
      <c r="B415" s="30">
        <f t="shared" si="24"/>
        <v>0.4098360655737705</v>
      </c>
      <c r="C415" s="30">
        <f t="shared" si="25"/>
        <v>490</v>
      </c>
      <c r="D415" s="30">
        <f t="shared" si="26"/>
        <v>1.647</v>
      </c>
    </row>
    <row r="416" spans="1:4" x14ac:dyDescent="0.4">
      <c r="A416" s="30">
        <f t="shared" si="27"/>
        <v>469</v>
      </c>
      <c r="B416" s="30">
        <f t="shared" si="24"/>
        <v>0.40899795501022496</v>
      </c>
      <c r="C416" s="30">
        <f t="shared" si="25"/>
        <v>491</v>
      </c>
      <c r="D416" s="30">
        <f t="shared" si="26"/>
        <v>1.6503750000000001</v>
      </c>
    </row>
    <row r="417" spans="1:4" x14ac:dyDescent="0.4">
      <c r="A417" s="30">
        <f t="shared" si="27"/>
        <v>470</v>
      </c>
      <c r="B417" s="30">
        <f t="shared" si="24"/>
        <v>0.40816326530612246</v>
      </c>
      <c r="C417" s="30">
        <f t="shared" si="25"/>
        <v>492</v>
      </c>
      <c r="D417" s="30">
        <f t="shared" si="26"/>
        <v>1.6537500000000001</v>
      </c>
    </row>
    <row r="418" spans="1:4" x14ac:dyDescent="0.4">
      <c r="A418" s="30">
        <f t="shared" si="27"/>
        <v>471</v>
      </c>
      <c r="B418" s="30">
        <f t="shared" si="24"/>
        <v>0.40733197556008149</v>
      </c>
      <c r="C418" s="30">
        <f t="shared" si="25"/>
        <v>493</v>
      </c>
      <c r="D418" s="30">
        <f t="shared" si="26"/>
        <v>1.657125</v>
      </c>
    </row>
    <row r="419" spans="1:4" x14ac:dyDescent="0.4">
      <c r="A419" s="30">
        <f t="shared" si="27"/>
        <v>472</v>
      </c>
      <c r="B419" s="30">
        <f t="shared" si="24"/>
        <v>0.4065040650406504</v>
      </c>
      <c r="C419" s="30">
        <f t="shared" si="25"/>
        <v>494</v>
      </c>
      <c r="D419" s="30">
        <f t="shared" si="26"/>
        <v>1.6605000000000001</v>
      </c>
    </row>
    <row r="420" spans="1:4" x14ac:dyDescent="0.4">
      <c r="A420" s="30">
        <f t="shared" si="27"/>
        <v>473</v>
      </c>
      <c r="B420" s="30">
        <f t="shared" si="24"/>
        <v>0.40567951318458417</v>
      </c>
      <c r="C420" s="30">
        <f t="shared" si="25"/>
        <v>495</v>
      </c>
      <c r="D420" s="30">
        <f t="shared" si="26"/>
        <v>1.6638750000000002</v>
      </c>
    </row>
    <row r="421" spans="1:4" x14ac:dyDescent="0.4">
      <c r="A421" s="30">
        <f t="shared" si="27"/>
        <v>474</v>
      </c>
      <c r="B421" s="30">
        <f t="shared" si="24"/>
        <v>0.40485829959514169</v>
      </c>
      <c r="C421" s="30">
        <f t="shared" si="25"/>
        <v>496</v>
      </c>
      <c r="D421" s="30">
        <f t="shared" si="26"/>
        <v>1.6672500000000001</v>
      </c>
    </row>
    <row r="422" spans="1:4" x14ac:dyDescent="0.4">
      <c r="A422" s="30">
        <f t="shared" si="27"/>
        <v>475</v>
      </c>
      <c r="B422" s="30">
        <f t="shared" si="24"/>
        <v>0.40404040404040403</v>
      </c>
      <c r="C422" s="30">
        <f t="shared" si="25"/>
        <v>497</v>
      </c>
      <c r="D422" s="30">
        <f t="shared" si="26"/>
        <v>1.6706250000000002</v>
      </c>
    </row>
    <row r="423" spans="1:4" x14ac:dyDescent="0.4">
      <c r="A423" s="30">
        <f t="shared" si="27"/>
        <v>476</v>
      </c>
      <c r="B423" s="30">
        <f t="shared" si="24"/>
        <v>0.40322580645161288</v>
      </c>
      <c r="C423" s="30">
        <f t="shared" si="25"/>
        <v>498</v>
      </c>
      <c r="D423" s="30">
        <f t="shared" si="26"/>
        <v>1.6740000000000002</v>
      </c>
    </row>
    <row r="424" spans="1:4" x14ac:dyDescent="0.4">
      <c r="A424" s="30">
        <f t="shared" si="27"/>
        <v>477</v>
      </c>
      <c r="B424" s="30">
        <f t="shared" si="24"/>
        <v>0.4024144869215292</v>
      </c>
      <c r="C424" s="30">
        <f t="shared" si="25"/>
        <v>499</v>
      </c>
      <c r="D424" s="30">
        <f t="shared" si="26"/>
        <v>1.6773750000000001</v>
      </c>
    </row>
    <row r="425" spans="1:4" x14ac:dyDescent="0.4">
      <c r="A425" s="30">
        <f t="shared" si="27"/>
        <v>478</v>
      </c>
      <c r="B425" s="30">
        <f t="shared" si="24"/>
        <v>0.40160642570281124</v>
      </c>
      <c r="C425" s="30">
        <f t="shared" si="25"/>
        <v>500</v>
      </c>
      <c r="D425" s="30">
        <f t="shared" si="26"/>
        <v>1.6807500000000002</v>
      </c>
    </row>
    <row r="426" spans="1:4" x14ac:dyDescent="0.4">
      <c r="A426" s="30">
        <f t="shared" si="27"/>
        <v>479</v>
      </c>
      <c r="B426" s="30">
        <f t="shared" si="24"/>
        <v>0.40080160320641284</v>
      </c>
      <c r="C426" s="30">
        <f t="shared" si="25"/>
        <v>501</v>
      </c>
      <c r="D426" s="30">
        <f t="shared" si="26"/>
        <v>1.6841250000000001</v>
      </c>
    </row>
    <row r="427" spans="1:4" x14ac:dyDescent="0.4">
      <c r="A427" s="30">
        <f t="shared" si="27"/>
        <v>480</v>
      </c>
      <c r="B427" s="30">
        <f t="shared" si="24"/>
        <v>0.4</v>
      </c>
      <c r="C427" s="30">
        <f t="shared" si="25"/>
        <v>502</v>
      </c>
      <c r="D427" s="30">
        <f t="shared" si="26"/>
        <v>1.6875</v>
      </c>
    </row>
    <row r="428" spans="1:4" x14ac:dyDescent="0.4">
      <c r="A428" s="30">
        <f t="shared" si="27"/>
        <v>481</v>
      </c>
      <c r="B428" s="30">
        <f t="shared" si="24"/>
        <v>0.39920159680638723</v>
      </c>
      <c r="C428" s="30">
        <f t="shared" si="25"/>
        <v>503</v>
      </c>
      <c r="D428" s="30">
        <f t="shared" si="26"/>
        <v>1.6908750000000001</v>
      </c>
    </row>
    <row r="429" spans="1:4" x14ac:dyDescent="0.4">
      <c r="A429" s="30">
        <f t="shared" si="27"/>
        <v>482</v>
      </c>
      <c r="B429" s="30">
        <f t="shared" si="24"/>
        <v>0.39840637450199201</v>
      </c>
      <c r="C429" s="30">
        <f t="shared" si="25"/>
        <v>504</v>
      </c>
      <c r="D429" s="30">
        <f t="shared" si="26"/>
        <v>1.6942500000000003</v>
      </c>
    </row>
    <row r="430" spans="1:4" x14ac:dyDescent="0.4">
      <c r="A430" s="30">
        <f t="shared" si="27"/>
        <v>483</v>
      </c>
      <c r="B430" s="30">
        <f t="shared" si="24"/>
        <v>0.39761431411530818</v>
      </c>
      <c r="C430" s="30">
        <f t="shared" si="25"/>
        <v>505</v>
      </c>
      <c r="D430" s="30">
        <f t="shared" si="26"/>
        <v>1.6976249999999999</v>
      </c>
    </row>
    <row r="431" spans="1:4" x14ac:dyDescent="0.4">
      <c r="A431" s="30">
        <f t="shared" si="27"/>
        <v>484</v>
      </c>
      <c r="B431" s="30">
        <f t="shared" si="24"/>
        <v>0.3968253968253968</v>
      </c>
      <c r="C431" s="30">
        <f t="shared" si="25"/>
        <v>506</v>
      </c>
      <c r="D431" s="30">
        <f t="shared" si="26"/>
        <v>1.7010000000000003</v>
      </c>
    </row>
    <row r="432" spans="1:4" x14ac:dyDescent="0.4">
      <c r="A432" s="30">
        <f t="shared" si="27"/>
        <v>485</v>
      </c>
      <c r="B432" s="30">
        <f t="shared" si="24"/>
        <v>0.39603960396039606</v>
      </c>
      <c r="C432" s="30">
        <f t="shared" si="25"/>
        <v>507</v>
      </c>
      <c r="D432" s="30">
        <f t="shared" si="26"/>
        <v>1.704375</v>
      </c>
    </row>
    <row r="433" spans="1:4" x14ac:dyDescent="0.4">
      <c r="A433" s="30">
        <f t="shared" si="27"/>
        <v>486</v>
      </c>
      <c r="B433" s="30">
        <f t="shared" si="24"/>
        <v>0.39525691699604742</v>
      </c>
      <c r="C433" s="30">
        <f t="shared" si="25"/>
        <v>508</v>
      </c>
      <c r="D433" s="30">
        <f t="shared" si="26"/>
        <v>1.7077500000000001</v>
      </c>
    </row>
    <row r="434" spans="1:4" x14ac:dyDescent="0.4">
      <c r="A434" s="30">
        <f t="shared" si="27"/>
        <v>487</v>
      </c>
      <c r="B434" s="30">
        <f t="shared" si="24"/>
        <v>0.39447731755424065</v>
      </c>
      <c r="C434" s="30">
        <f t="shared" si="25"/>
        <v>509</v>
      </c>
      <c r="D434" s="30">
        <f t="shared" si="26"/>
        <v>1.711125</v>
      </c>
    </row>
    <row r="435" spans="1:4" x14ac:dyDescent="0.4">
      <c r="A435" s="30">
        <f t="shared" si="27"/>
        <v>488</v>
      </c>
      <c r="B435" s="30">
        <f t="shared" si="24"/>
        <v>0.39370078740157483</v>
      </c>
      <c r="C435" s="30">
        <f t="shared" si="25"/>
        <v>510</v>
      </c>
      <c r="D435" s="30">
        <f t="shared" si="26"/>
        <v>1.7144999999999999</v>
      </c>
    </row>
    <row r="436" spans="1:4" x14ac:dyDescent="0.4">
      <c r="A436" s="30">
        <f t="shared" si="27"/>
        <v>489</v>
      </c>
      <c r="B436" s="30">
        <f t="shared" si="24"/>
        <v>0.39292730844793711</v>
      </c>
      <c r="C436" s="30">
        <f t="shared" si="25"/>
        <v>511</v>
      </c>
      <c r="D436" s="30">
        <f t="shared" si="26"/>
        <v>1.7178750000000003</v>
      </c>
    </row>
    <row r="437" spans="1:4" x14ac:dyDescent="0.4">
      <c r="A437" s="30">
        <f t="shared" si="27"/>
        <v>490</v>
      </c>
      <c r="B437" s="30">
        <f t="shared" si="24"/>
        <v>0.39215686274509803</v>
      </c>
      <c r="C437" s="30">
        <f t="shared" si="25"/>
        <v>512</v>
      </c>
      <c r="D437" s="30">
        <f t="shared" si="26"/>
        <v>1.7212500000000002</v>
      </c>
    </row>
    <row r="438" spans="1:4" x14ac:dyDescent="0.4">
      <c r="A438" s="30">
        <f t="shared" si="27"/>
        <v>491</v>
      </c>
      <c r="B438" s="30">
        <f t="shared" si="24"/>
        <v>0.39138943248532287</v>
      </c>
      <c r="C438" s="30">
        <f t="shared" si="25"/>
        <v>513</v>
      </c>
      <c r="D438" s="30">
        <f t="shared" si="26"/>
        <v>1.1497500000000003</v>
      </c>
    </row>
    <row r="439" spans="1:4" x14ac:dyDescent="0.4">
      <c r="A439" s="30">
        <f t="shared" si="27"/>
        <v>492</v>
      </c>
      <c r="B439" s="30">
        <f t="shared" si="24"/>
        <v>0.390625</v>
      </c>
      <c r="C439" s="30">
        <f t="shared" si="25"/>
        <v>514</v>
      </c>
      <c r="D439" s="30">
        <f t="shared" si="26"/>
        <v>1.1520000000000001</v>
      </c>
    </row>
    <row r="440" spans="1:4" x14ac:dyDescent="0.4">
      <c r="A440" s="30">
        <f t="shared" si="27"/>
        <v>493</v>
      </c>
      <c r="B440" s="30">
        <f t="shared" si="24"/>
        <v>0.38986354775828458</v>
      </c>
      <c r="C440" s="30">
        <f t="shared" si="25"/>
        <v>515</v>
      </c>
      <c r="D440" s="30">
        <f t="shared" si="26"/>
        <v>1.15425</v>
      </c>
    </row>
    <row r="441" spans="1:4" x14ac:dyDescent="0.4">
      <c r="A441" s="30">
        <f t="shared" si="27"/>
        <v>494</v>
      </c>
      <c r="B441" s="30">
        <f t="shared" si="24"/>
        <v>0.38910505836575876</v>
      </c>
      <c r="C441" s="30">
        <f t="shared" si="25"/>
        <v>516</v>
      </c>
      <c r="D441" s="30">
        <f t="shared" si="26"/>
        <v>1.1565000000000001</v>
      </c>
    </row>
    <row r="442" spans="1:4" x14ac:dyDescent="0.4">
      <c r="A442" s="30">
        <f t="shared" si="27"/>
        <v>495</v>
      </c>
      <c r="B442" s="30">
        <f t="shared" si="24"/>
        <v>0.38834951456310679</v>
      </c>
      <c r="C442" s="30">
        <f t="shared" si="25"/>
        <v>517</v>
      </c>
      <c r="D442" s="30">
        <f t="shared" si="26"/>
        <v>1.1587500000000002</v>
      </c>
    </row>
    <row r="443" spans="1:4" x14ac:dyDescent="0.4">
      <c r="A443" s="30">
        <f t="shared" si="27"/>
        <v>496</v>
      </c>
      <c r="B443" s="30">
        <f t="shared" si="24"/>
        <v>0.38759689922480622</v>
      </c>
      <c r="C443" s="30">
        <f t="shared" si="25"/>
        <v>518</v>
      </c>
      <c r="D443" s="30">
        <f t="shared" si="26"/>
        <v>1.161</v>
      </c>
    </row>
    <row r="444" spans="1:4" x14ac:dyDescent="0.4">
      <c r="A444" s="30">
        <f t="shared" si="27"/>
        <v>497</v>
      </c>
      <c r="B444" s="30">
        <f t="shared" si="24"/>
        <v>0.38684719535783363</v>
      </c>
      <c r="C444" s="30">
        <f t="shared" si="25"/>
        <v>519</v>
      </c>
      <c r="D444" s="30">
        <f t="shared" si="26"/>
        <v>1.1632500000000001</v>
      </c>
    </row>
    <row r="445" spans="1:4" x14ac:dyDescent="0.4">
      <c r="A445" s="30">
        <f t="shared" si="27"/>
        <v>498</v>
      </c>
      <c r="B445" s="30">
        <f t="shared" si="24"/>
        <v>0.38610038610038611</v>
      </c>
      <c r="C445" s="30">
        <f t="shared" si="25"/>
        <v>520</v>
      </c>
      <c r="D445" s="30">
        <f t="shared" si="26"/>
        <v>1.1655</v>
      </c>
    </row>
    <row r="446" spans="1:4" x14ac:dyDescent="0.4">
      <c r="A446" s="30">
        <f t="shared" si="27"/>
        <v>499</v>
      </c>
      <c r="B446" s="30">
        <f t="shared" si="24"/>
        <v>0.38535645472061658</v>
      </c>
      <c r="C446" s="30">
        <f t="shared" si="25"/>
        <v>521</v>
      </c>
      <c r="D446" s="30">
        <f t="shared" si="26"/>
        <v>1.1677500000000001</v>
      </c>
    </row>
    <row r="447" spans="1:4" x14ac:dyDescent="0.4">
      <c r="A447" s="30">
        <f t="shared" si="27"/>
        <v>500</v>
      </c>
      <c r="B447" s="30">
        <f t="shared" si="24"/>
        <v>0.38461538461538464</v>
      </c>
      <c r="C447" s="30">
        <f t="shared" si="25"/>
        <v>522</v>
      </c>
      <c r="D447" s="30">
        <f t="shared" si="26"/>
        <v>1.1700000000000002</v>
      </c>
    </row>
    <row r="448" spans="1:4" x14ac:dyDescent="0.4">
      <c r="A448" s="30">
        <f t="shared" si="27"/>
        <v>501</v>
      </c>
      <c r="B448" s="30">
        <f t="shared" si="24"/>
        <v>0.38387715930902111</v>
      </c>
      <c r="C448" s="30">
        <f t="shared" si="25"/>
        <v>523</v>
      </c>
      <c r="D448" s="30">
        <f t="shared" si="26"/>
        <v>1.17225</v>
      </c>
    </row>
    <row r="449" spans="1:4" x14ac:dyDescent="0.4">
      <c r="A449" s="30">
        <f t="shared" si="27"/>
        <v>502</v>
      </c>
      <c r="B449" s="30">
        <f t="shared" si="24"/>
        <v>0.38314176245210729</v>
      </c>
      <c r="C449" s="30">
        <f t="shared" si="25"/>
        <v>524</v>
      </c>
      <c r="D449" s="30">
        <f t="shared" si="26"/>
        <v>1.1745000000000001</v>
      </c>
    </row>
    <row r="450" spans="1:4" x14ac:dyDescent="0.4">
      <c r="A450" s="30">
        <f t="shared" si="27"/>
        <v>503</v>
      </c>
      <c r="B450" s="30">
        <f t="shared" si="24"/>
        <v>0.38240917782026768</v>
      </c>
      <c r="C450" s="30">
        <f t="shared" si="25"/>
        <v>525</v>
      </c>
      <c r="D450" s="30">
        <f t="shared" si="26"/>
        <v>1.17675</v>
      </c>
    </row>
    <row r="451" spans="1:4" x14ac:dyDescent="0.4">
      <c r="A451" s="30">
        <f t="shared" si="27"/>
        <v>504</v>
      </c>
      <c r="B451" s="30">
        <f t="shared" si="24"/>
        <v>0.38167938931297712</v>
      </c>
      <c r="C451" s="30">
        <f t="shared" si="25"/>
        <v>526</v>
      </c>
      <c r="D451" s="30">
        <f t="shared" si="26"/>
        <v>1.179</v>
      </c>
    </row>
    <row r="452" spans="1:4" x14ac:dyDescent="0.4">
      <c r="A452" s="30">
        <f t="shared" si="27"/>
        <v>505</v>
      </c>
      <c r="B452" s="30">
        <f t="shared" si="24"/>
        <v>0.38095238095238093</v>
      </c>
      <c r="C452" s="30">
        <f t="shared" si="25"/>
        <v>527</v>
      </c>
      <c r="D452" s="30">
        <f t="shared" si="26"/>
        <v>1.1812500000000001</v>
      </c>
    </row>
    <row r="453" spans="1:4" x14ac:dyDescent="0.4">
      <c r="A453" s="30">
        <f t="shared" si="27"/>
        <v>506</v>
      </c>
      <c r="B453" s="30">
        <f t="shared" si="24"/>
        <v>0.38022813688212925</v>
      </c>
      <c r="C453" s="30">
        <f t="shared" si="25"/>
        <v>528</v>
      </c>
      <c r="D453" s="30">
        <f t="shared" si="26"/>
        <v>1.1835000000000002</v>
      </c>
    </row>
    <row r="454" spans="1:4" x14ac:dyDescent="0.4">
      <c r="A454" s="30">
        <f t="shared" si="27"/>
        <v>507</v>
      </c>
      <c r="B454" s="30">
        <f t="shared" si="24"/>
        <v>0.37950664136622392</v>
      </c>
      <c r="C454" s="30">
        <f t="shared" si="25"/>
        <v>529</v>
      </c>
      <c r="D454" s="30">
        <f t="shared" si="26"/>
        <v>1.1857500000000001</v>
      </c>
    </row>
    <row r="455" spans="1:4" x14ac:dyDescent="0.4">
      <c r="A455" s="30">
        <f t="shared" si="27"/>
        <v>508</v>
      </c>
      <c r="B455" s="30">
        <f t="shared" si="24"/>
        <v>0.37878787878787878</v>
      </c>
      <c r="C455" s="30">
        <f t="shared" si="25"/>
        <v>530</v>
      </c>
      <c r="D455" s="30">
        <f t="shared" si="26"/>
        <v>1.1879999999999999</v>
      </c>
    </row>
    <row r="456" spans="1:4" x14ac:dyDescent="0.4">
      <c r="A456" s="30">
        <f t="shared" si="27"/>
        <v>509</v>
      </c>
      <c r="B456" s="30">
        <f t="shared" si="24"/>
        <v>0.3780718336483932</v>
      </c>
      <c r="C456" s="30">
        <f t="shared" si="25"/>
        <v>531</v>
      </c>
      <c r="D456" s="30">
        <f t="shared" si="26"/>
        <v>1.19025</v>
      </c>
    </row>
    <row r="457" spans="1:4" x14ac:dyDescent="0.4">
      <c r="A457" s="30">
        <f t="shared" si="27"/>
        <v>510</v>
      </c>
      <c r="B457" s="30">
        <f t="shared" si="24"/>
        <v>0.37735849056603776</v>
      </c>
      <c r="C457" s="30">
        <f t="shared" si="25"/>
        <v>532</v>
      </c>
      <c r="D457" s="30">
        <f t="shared" si="26"/>
        <v>1.1925000000000001</v>
      </c>
    </row>
    <row r="458" spans="1:4" x14ac:dyDescent="0.4">
      <c r="A458" s="30">
        <f t="shared" si="27"/>
        <v>511</v>
      </c>
      <c r="B458" s="30">
        <f t="shared" si="24"/>
        <v>0.37664783427495291</v>
      </c>
      <c r="C458" s="30">
        <f t="shared" si="25"/>
        <v>533</v>
      </c>
      <c r="D458" s="30">
        <f t="shared" si="26"/>
        <v>1.1947500000000002</v>
      </c>
    </row>
    <row r="459" spans="1:4" x14ac:dyDescent="0.4">
      <c r="A459" s="30">
        <f t="shared" si="27"/>
        <v>512</v>
      </c>
      <c r="B459" s="30">
        <f t="shared" ref="B459:B522" si="28">$B$4/8/(A459+$B$2)</f>
        <v>0.37593984962406013</v>
      </c>
      <c r="C459" s="30">
        <f t="shared" si="25"/>
        <v>534</v>
      </c>
      <c r="D459" s="30">
        <f t="shared" si="26"/>
        <v>1.1970000000000003</v>
      </c>
    </row>
    <row r="460" spans="1:4" x14ac:dyDescent="0.4">
      <c r="A460" s="30">
        <f t="shared" si="27"/>
        <v>513</v>
      </c>
      <c r="B460" s="30">
        <f t="shared" si="28"/>
        <v>0.37523452157598497</v>
      </c>
      <c r="C460" s="30">
        <f t="shared" ref="C460:C523" si="29">A460+$E$6</f>
        <v>535</v>
      </c>
      <c r="D460" s="30">
        <f t="shared" ref="D460:D523" si="30">$H$3/B460/CEILING(C460/$H$2,1)</f>
        <v>1.1992500000000001</v>
      </c>
    </row>
    <row r="461" spans="1:4" x14ac:dyDescent="0.4">
      <c r="A461" s="30">
        <f t="shared" ref="A461:A524" si="31">A460+$B$3</f>
        <v>514</v>
      </c>
      <c r="B461" s="30">
        <f t="shared" si="28"/>
        <v>0.37453183520599254</v>
      </c>
      <c r="C461" s="30">
        <f t="shared" si="29"/>
        <v>536</v>
      </c>
      <c r="D461" s="30">
        <f t="shared" si="30"/>
        <v>1.2015</v>
      </c>
    </row>
    <row r="462" spans="1:4" x14ac:dyDescent="0.4">
      <c r="A462" s="30">
        <f t="shared" si="31"/>
        <v>515</v>
      </c>
      <c r="B462" s="30">
        <f t="shared" si="28"/>
        <v>0.37383177570093457</v>
      </c>
      <c r="C462" s="30">
        <f t="shared" si="29"/>
        <v>537</v>
      </c>
      <c r="D462" s="30">
        <f t="shared" si="30"/>
        <v>1.2037500000000001</v>
      </c>
    </row>
    <row r="463" spans="1:4" x14ac:dyDescent="0.4">
      <c r="A463" s="30">
        <f t="shared" si="31"/>
        <v>516</v>
      </c>
      <c r="B463" s="30">
        <f t="shared" si="28"/>
        <v>0.37313432835820898</v>
      </c>
      <c r="C463" s="30">
        <f t="shared" si="29"/>
        <v>538</v>
      </c>
      <c r="D463" s="30">
        <f t="shared" si="30"/>
        <v>1.206</v>
      </c>
    </row>
    <row r="464" spans="1:4" x14ac:dyDescent="0.4">
      <c r="A464" s="30">
        <f t="shared" si="31"/>
        <v>517</v>
      </c>
      <c r="B464" s="30">
        <f t="shared" si="28"/>
        <v>0.37243947858472998</v>
      </c>
      <c r="C464" s="30">
        <f t="shared" si="29"/>
        <v>539</v>
      </c>
      <c r="D464" s="30">
        <f t="shared" si="30"/>
        <v>1.20825</v>
      </c>
    </row>
    <row r="465" spans="1:4" x14ac:dyDescent="0.4">
      <c r="A465" s="30">
        <f t="shared" si="31"/>
        <v>518</v>
      </c>
      <c r="B465" s="30">
        <f t="shared" si="28"/>
        <v>0.37174721189591076</v>
      </c>
      <c r="C465" s="30">
        <f t="shared" si="29"/>
        <v>540</v>
      </c>
      <c r="D465" s="30">
        <f t="shared" si="30"/>
        <v>1.2105000000000001</v>
      </c>
    </row>
    <row r="466" spans="1:4" x14ac:dyDescent="0.4">
      <c r="A466" s="30">
        <f t="shared" si="31"/>
        <v>519</v>
      </c>
      <c r="B466" s="30">
        <f t="shared" si="28"/>
        <v>0.37105751391465674</v>
      </c>
      <c r="C466" s="30">
        <f t="shared" si="29"/>
        <v>541</v>
      </c>
      <c r="D466" s="30">
        <f t="shared" si="30"/>
        <v>1.2127500000000002</v>
      </c>
    </row>
    <row r="467" spans="1:4" x14ac:dyDescent="0.4">
      <c r="A467" s="30">
        <f t="shared" si="31"/>
        <v>520</v>
      </c>
      <c r="B467" s="30">
        <f t="shared" si="28"/>
        <v>0.37037037037037035</v>
      </c>
      <c r="C467" s="30">
        <f t="shared" si="29"/>
        <v>542</v>
      </c>
      <c r="D467" s="30">
        <f t="shared" si="30"/>
        <v>1.2150000000000001</v>
      </c>
    </row>
    <row r="468" spans="1:4" x14ac:dyDescent="0.4">
      <c r="A468" s="30">
        <f t="shared" si="31"/>
        <v>521</v>
      </c>
      <c r="B468" s="30">
        <f t="shared" si="28"/>
        <v>0.36968576709796674</v>
      </c>
      <c r="C468" s="30">
        <f t="shared" si="29"/>
        <v>543</v>
      </c>
      <c r="D468" s="30">
        <f t="shared" si="30"/>
        <v>1.2172500000000002</v>
      </c>
    </row>
    <row r="469" spans="1:4" x14ac:dyDescent="0.4">
      <c r="A469" s="30">
        <f t="shared" si="31"/>
        <v>522</v>
      </c>
      <c r="B469" s="30">
        <f t="shared" si="28"/>
        <v>0.36900369003690037</v>
      </c>
      <c r="C469" s="30">
        <f t="shared" si="29"/>
        <v>544</v>
      </c>
      <c r="D469" s="30">
        <f t="shared" si="30"/>
        <v>1.2195</v>
      </c>
    </row>
    <row r="470" spans="1:4" x14ac:dyDescent="0.4">
      <c r="A470" s="30">
        <f t="shared" si="31"/>
        <v>523</v>
      </c>
      <c r="B470" s="30">
        <f t="shared" si="28"/>
        <v>0.36832412523020258</v>
      </c>
      <c r="C470" s="30">
        <f t="shared" si="29"/>
        <v>545</v>
      </c>
      <c r="D470" s="30">
        <f t="shared" si="30"/>
        <v>1.2217500000000001</v>
      </c>
    </row>
    <row r="471" spans="1:4" x14ac:dyDescent="0.4">
      <c r="A471" s="30">
        <f t="shared" si="31"/>
        <v>524</v>
      </c>
      <c r="B471" s="30">
        <f t="shared" si="28"/>
        <v>0.36764705882352944</v>
      </c>
      <c r="C471" s="30">
        <f t="shared" si="29"/>
        <v>546</v>
      </c>
      <c r="D471" s="30">
        <f t="shared" si="30"/>
        <v>1.224</v>
      </c>
    </row>
    <row r="472" spans="1:4" x14ac:dyDescent="0.4">
      <c r="A472" s="30">
        <f t="shared" si="31"/>
        <v>525</v>
      </c>
      <c r="B472" s="30">
        <f t="shared" si="28"/>
        <v>0.3669724770642202</v>
      </c>
      <c r="C472" s="30">
        <f t="shared" si="29"/>
        <v>547</v>
      </c>
      <c r="D472" s="30">
        <f t="shared" si="30"/>
        <v>1.2262500000000001</v>
      </c>
    </row>
    <row r="473" spans="1:4" x14ac:dyDescent="0.4">
      <c r="A473" s="30">
        <f t="shared" si="31"/>
        <v>526</v>
      </c>
      <c r="B473" s="30">
        <f t="shared" si="28"/>
        <v>0.36630036630036628</v>
      </c>
      <c r="C473" s="30">
        <f t="shared" si="29"/>
        <v>548</v>
      </c>
      <c r="D473" s="30">
        <f t="shared" si="30"/>
        <v>1.2285000000000001</v>
      </c>
    </row>
    <row r="474" spans="1:4" x14ac:dyDescent="0.4">
      <c r="A474" s="30">
        <f t="shared" si="31"/>
        <v>527</v>
      </c>
      <c r="B474" s="30">
        <f t="shared" si="28"/>
        <v>0.3656307129798903</v>
      </c>
      <c r="C474" s="30">
        <f t="shared" si="29"/>
        <v>549</v>
      </c>
      <c r="D474" s="30">
        <f t="shared" si="30"/>
        <v>1.2307500000000002</v>
      </c>
    </row>
    <row r="475" spans="1:4" x14ac:dyDescent="0.4">
      <c r="A475" s="30">
        <f t="shared" si="31"/>
        <v>528</v>
      </c>
      <c r="B475" s="30">
        <f t="shared" si="28"/>
        <v>0.36496350364963503</v>
      </c>
      <c r="C475" s="30">
        <f t="shared" si="29"/>
        <v>550</v>
      </c>
      <c r="D475" s="30">
        <f t="shared" si="30"/>
        <v>1.2330000000000001</v>
      </c>
    </row>
    <row r="476" spans="1:4" x14ac:dyDescent="0.4">
      <c r="A476" s="30">
        <f t="shared" si="31"/>
        <v>529</v>
      </c>
      <c r="B476" s="30">
        <f t="shared" si="28"/>
        <v>0.36429872495446264</v>
      </c>
      <c r="C476" s="30">
        <f t="shared" si="29"/>
        <v>551</v>
      </c>
      <c r="D476" s="30">
        <f t="shared" si="30"/>
        <v>1.2352500000000002</v>
      </c>
    </row>
    <row r="477" spans="1:4" x14ac:dyDescent="0.4">
      <c r="A477" s="30">
        <f t="shared" si="31"/>
        <v>530</v>
      </c>
      <c r="B477" s="30">
        <f t="shared" si="28"/>
        <v>0.36363636363636365</v>
      </c>
      <c r="C477" s="30">
        <f t="shared" si="29"/>
        <v>552</v>
      </c>
      <c r="D477" s="30">
        <f t="shared" si="30"/>
        <v>1.2375</v>
      </c>
    </row>
    <row r="478" spans="1:4" x14ac:dyDescent="0.4">
      <c r="A478" s="30">
        <f t="shared" si="31"/>
        <v>531</v>
      </c>
      <c r="B478" s="30">
        <f t="shared" si="28"/>
        <v>0.36297640653357532</v>
      </c>
      <c r="C478" s="30">
        <f t="shared" si="29"/>
        <v>553</v>
      </c>
      <c r="D478" s="30">
        <f t="shared" si="30"/>
        <v>1.2397500000000001</v>
      </c>
    </row>
    <row r="479" spans="1:4" x14ac:dyDescent="0.4">
      <c r="A479" s="30">
        <f t="shared" si="31"/>
        <v>532</v>
      </c>
      <c r="B479" s="30">
        <f t="shared" si="28"/>
        <v>0.36231884057971014</v>
      </c>
      <c r="C479" s="30">
        <f t="shared" si="29"/>
        <v>554</v>
      </c>
      <c r="D479" s="30">
        <f t="shared" si="30"/>
        <v>1.2420000000000002</v>
      </c>
    </row>
    <row r="480" spans="1:4" x14ac:dyDescent="0.4">
      <c r="A480" s="30">
        <f t="shared" si="31"/>
        <v>533</v>
      </c>
      <c r="B480" s="30">
        <f t="shared" si="28"/>
        <v>0.36166365280289331</v>
      </c>
      <c r="C480" s="30">
        <f t="shared" si="29"/>
        <v>555</v>
      </c>
      <c r="D480" s="30">
        <f t="shared" si="30"/>
        <v>1.2442500000000001</v>
      </c>
    </row>
    <row r="481" spans="1:4" x14ac:dyDescent="0.4">
      <c r="A481" s="30">
        <f t="shared" si="31"/>
        <v>534</v>
      </c>
      <c r="B481" s="30">
        <f t="shared" si="28"/>
        <v>0.36101083032490977</v>
      </c>
      <c r="C481" s="30">
        <f t="shared" si="29"/>
        <v>556</v>
      </c>
      <c r="D481" s="30">
        <f t="shared" si="30"/>
        <v>1.2464999999999999</v>
      </c>
    </row>
    <row r="482" spans="1:4" x14ac:dyDescent="0.4">
      <c r="A482" s="30">
        <f t="shared" si="31"/>
        <v>535</v>
      </c>
      <c r="B482" s="30">
        <f t="shared" si="28"/>
        <v>0.36036036036036034</v>
      </c>
      <c r="C482" s="30">
        <f t="shared" si="29"/>
        <v>557</v>
      </c>
      <c r="D482" s="30">
        <f t="shared" si="30"/>
        <v>1.24875</v>
      </c>
    </row>
    <row r="483" spans="1:4" x14ac:dyDescent="0.4">
      <c r="A483" s="30">
        <f t="shared" si="31"/>
        <v>536</v>
      </c>
      <c r="B483" s="30">
        <f t="shared" si="28"/>
        <v>0.35971223021582732</v>
      </c>
      <c r="C483" s="30">
        <f t="shared" si="29"/>
        <v>558</v>
      </c>
      <c r="D483" s="30">
        <f t="shared" si="30"/>
        <v>1.2510000000000001</v>
      </c>
    </row>
    <row r="484" spans="1:4" x14ac:dyDescent="0.4">
      <c r="A484" s="30">
        <f t="shared" si="31"/>
        <v>537</v>
      </c>
      <c r="B484" s="30">
        <f t="shared" si="28"/>
        <v>0.35906642728904847</v>
      </c>
      <c r="C484" s="30">
        <f t="shared" si="29"/>
        <v>559</v>
      </c>
      <c r="D484" s="30">
        <f t="shared" si="30"/>
        <v>1.2532500000000002</v>
      </c>
    </row>
    <row r="485" spans="1:4" x14ac:dyDescent="0.4">
      <c r="A485" s="30">
        <f t="shared" si="31"/>
        <v>538</v>
      </c>
      <c r="B485" s="30">
        <f t="shared" si="28"/>
        <v>0.35842293906810035</v>
      </c>
      <c r="C485" s="30">
        <f t="shared" si="29"/>
        <v>560</v>
      </c>
      <c r="D485" s="30">
        <f t="shared" si="30"/>
        <v>1.2555000000000001</v>
      </c>
    </row>
    <row r="486" spans="1:4" x14ac:dyDescent="0.4">
      <c r="A486" s="30">
        <f t="shared" si="31"/>
        <v>539</v>
      </c>
      <c r="B486" s="30">
        <f t="shared" si="28"/>
        <v>0.35778175313059035</v>
      </c>
      <c r="C486" s="30">
        <f t="shared" si="29"/>
        <v>561</v>
      </c>
      <c r="D486" s="30">
        <f t="shared" si="30"/>
        <v>1.2577499999999999</v>
      </c>
    </row>
    <row r="487" spans="1:4" x14ac:dyDescent="0.4">
      <c r="A487" s="30">
        <f t="shared" si="31"/>
        <v>540</v>
      </c>
      <c r="B487" s="30">
        <f t="shared" si="28"/>
        <v>0.35714285714285715</v>
      </c>
      <c r="C487" s="30">
        <f t="shared" si="29"/>
        <v>562</v>
      </c>
      <c r="D487" s="30">
        <f t="shared" si="30"/>
        <v>1.26</v>
      </c>
    </row>
    <row r="488" spans="1:4" x14ac:dyDescent="0.4">
      <c r="A488" s="30">
        <f t="shared" si="31"/>
        <v>541</v>
      </c>
      <c r="B488" s="30">
        <f t="shared" si="28"/>
        <v>0.35650623885918004</v>
      </c>
      <c r="C488" s="30">
        <f t="shared" si="29"/>
        <v>563</v>
      </c>
      <c r="D488" s="30">
        <f t="shared" si="30"/>
        <v>1.2622500000000001</v>
      </c>
    </row>
    <row r="489" spans="1:4" x14ac:dyDescent="0.4">
      <c r="A489" s="30">
        <f t="shared" si="31"/>
        <v>542</v>
      </c>
      <c r="B489" s="30">
        <f t="shared" si="28"/>
        <v>0.35587188612099646</v>
      </c>
      <c r="C489" s="30">
        <f t="shared" si="29"/>
        <v>564</v>
      </c>
      <c r="D489" s="30">
        <f t="shared" si="30"/>
        <v>1.2645</v>
      </c>
    </row>
    <row r="490" spans="1:4" x14ac:dyDescent="0.4">
      <c r="A490" s="30">
        <f t="shared" si="31"/>
        <v>543</v>
      </c>
      <c r="B490" s="30">
        <f t="shared" si="28"/>
        <v>0.35523978685612789</v>
      </c>
      <c r="C490" s="30">
        <f t="shared" si="29"/>
        <v>565</v>
      </c>
      <c r="D490" s="30">
        <f t="shared" si="30"/>
        <v>1.26675</v>
      </c>
    </row>
    <row r="491" spans="1:4" x14ac:dyDescent="0.4">
      <c r="A491" s="30">
        <f t="shared" si="31"/>
        <v>544</v>
      </c>
      <c r="B491" s="30">
        <f t="shared" si="28"/>
        <v>0.3546099290780142</v>
      </c>
      <c r="C491" s="30">
        <f t="shared" si="29"/>
        <v>566</v>
      </c>
      <c r="D491" s="30">
        <f t="shared" si="30"/>
        <v>1.2689999999999999</v>
      </c>
    </row>
    <row r="492" spans="1:4" x14ac:dyDescent="0.4">
      <c r="A492" s="30">
        <f t="shared" si="31"/>
        <v>545</v>
      </c>
      <c r="B492" s="30">
        <f t="shared" si="28"/>
        <v>0.35398230088495575</v>
      </c>
      <c r="C492" s="30">
        <f t="shared" si="29"/>
        <v>567</v>
      </c>
      <c r="D492" s="30">
        <f t="shared" si="30"/>
        <v>1.27125</v>
      </c>
    </row>
    <row r="493" spans="1:4" x14ac:dyDescent="0.4">
      <c r="A493" s="30">
        <f t="shared" si="31"/>
        <v>546</v>
      </c>
      <c r="B493" s="30">
        <f t="shared" si="28"/>
        <v>0.35335689045936397</v>
      </c>
      <c r="C493" s="30">
        <f t="shared" si="29"/>
        <v>568</v>
      </c>
      <c r="D493" s="30">
        <f t="shared" si="30"/>
        <v>1.2735000000000001</v>
      </c>
    </row>
    <row r="494" spans="1:4" x14ac:dyDescent="0.4">
      <c r="A494" s="30">
        <f t="shared" si="31"/>
        <v>547</v>
      </c>
      <c r="B494" s="30">
        <f t="shared" si="28"/>
        <v>0.35273368606701938</v>
      </c>
      <c r="C494" s="30">
        <f t="shared" si="29"/>
        <v>569</v>
      </c>
      <c r="D494" s="30">
        <f t="shared" si="30"/>
        <v>1.2757500000000002</v>
      </c>
    </row>
    <row r="495" spans="1:4" x14ac:dyDescent="0.4">
      <c r="A495" s="30">
        <f t="shared" si="31"/>
        <v>548</v>
      </c>
      <c r="B495" s="30">
        <f t="shared" si="28"/>
        <v>0.352112676056338</v>
      </c>
      <c r="C495" s="30">
        <f t="shared" si="29"/>
        <v>570</v>
      </c>
      <c r="D495" s="30">
        <f t="shared" si="30"/>
        <v>1.2780000000000002</v>
      </c>
    </row>
    <row r="496" spans="1:4" x14ac:dyDescent="0.4">
      <c r="A496" s="30">
        <f t="shared" si="31"/>
        <v>549</v>
      </c>
      <c r="B496" s="30">
        <f t="shared" si="28"/>
        <v>0.35149384885764501</v>
      </c>
      <c r="C496" s="30">
        <f t="shared" si="29"/>
        <v>571</v>
      </c>
      <c r="D496" s="30">
        <f t="shared" si="30"/>
        <v>1.2802499999999999</v>
      </c>
    </row>
    <row r="497" spans="1:4" x14ac:dyDescent="0.4">
      <c r="A497" s="30">
        <f t="shared" si="31"/>
        <v>550</v>
      </c>
      <c r="B497" s="30">
        <f t="shared" si="28"/>
        <v>0.35087719298245612</v>
      </c>
      <c r="C497" s="30">
        <f t="shared" si="29"/>
        <v>572</v>
      </c>
      <c r="D497" s="30">
        <f t="shared" si="30"/>
        <v>1.2825000000000002</v>
      </c>
    </row>
    <row r="498" spans="1:4" x14ac:dyDescent="0.4">
      <c r="A498" s="30">
        <f t="shared" si="31"/>
        <v>551</v>
      </c>
      <c r="B498" s="30">
        <f t="shared" si="28"/>
        <v>0.35026269702276708</v>
      </c>
      <c r="C498" s="30">
        <f t="shared" si="29"/>
        <v>573</v>
      </c>
      <c r="D498" s="30">
        <f t="shared" si="30"/>
        <v>1.2847500000000001</v>
      </c>
    </row>
    <row r="499" spans="1:4" x14ac:dyDescent="0.4">
      <c r="A499" s="30">
        <f t="shared" si="31"/>
        <v>552</v>
      </c>
      <c r="B499" s="30">
        <f t="shared" si="28"/>
        <v>0.34965034965034963</v>
      </c>
      <c r="C499" s="30">
        <f t="shared" si="29"/>
        <v>574</v>
      </c>
      <c r="D499" s="30">
        <f t="shared" si="30"/>
        <v>1.2870000000000001</v>
      </c>
    </row>
    <row r="500" spans="1:4" x14ac:dyDescent="0.4">
      <c r="A500" s="30">
        <f t="shared" si="31"/>
        <v>553</v>
      </c>
      <c r="B500" s="30">
        <f t="shared" si="28"/>
        <v>0.34904013961605584</v>
      </c>
      <c r="C500" s="30">
        <f t="shared" si="29"/>
        <v>575</v>
      </c>
      <c r="D500" s="30">
        <f t="shared" si="30"/>
        <v>1.2892500000000002</v>
      </c>
    </row>
    <row r="501" spans="1:4" x14ac:dyDescent="0.4">
      <c r="A501" s="30">
        <f t="shared" si="31"/>
        <v>554</v>
      </c>
      <c r="B501" s="30">
        <f t="shared" si="28"/>
        <v>0.34843205574912894</v>
      </c>
      <c r="C501" s="30">
        <f t="shared" si="29"/>
        <v>576</v>
      </c>
      <c r="D501" s="30">
        <f t="shared" si="30"/>
        <v>1.2914999999999999</v>
      </c>
    </row>
    <row r="502" spans="1:4" x14ac:dyDescent="0.4">
      <c r="A502" s="30">
        <f t="shared" si="31"/>
        <v>555</v>
      </c>
      <c r="B502" s="30">
        <f t="shared" si="28"/>
        <v>0.34782608695652173</v>
      </c>
      <c r="C502" s="30">
        <f t="shared" si="29"/>
        <v>577</v>
      </c>
      <c r="D502" s="30">
        <f t="shared" si="30"/>
        <v>1.2937500000000002</v>
      </c>
    </row>
    <row r="503" spans="1:4" x14ac:dyDescent="0.4">
      <c r="A503" s="30">
        <f t="shared" si="31"/>
        <v>556</v>
      </c>
      <c r="B503" s="30">
        <f t="shared" si="28"/>
        <v>0.34722222222222221</v>
      </c>
      <c r="C503" s="30">
        <f t="shared" si="29"/>
        <v>578</v>
      </c>
      <c r="D503" s="30">
        <f t="shared" si="30"/>
        <v>1.296</v>
      </c>
    </row>
    <row r="504" spans="1:4" x14ac:dyDescent="0.4">
      <c r="A504" s="30">
        <f t="shared" si="31"/>
        <v>557</v>
      </c>
      <c r="B504" s="30">
        <f t="shared" si="28"/>
        <v>0.34662045060658581</v>
      </c>
      <c r="C504" s="30">
        <f t="shared" si="29"/>
        <v>579</v>
      </c>
      <c r="D504" s="30">
        <f t="shared" si="30"/>
        <v>1.2982500000000001</v>
      </c>
    </row>
    <row r="505" spans="1:4" x14ac:dyDescent="0.4">
      <c r="A505" s="30">
        <f t="shared" si="31"/>
        <v>558</v>
      </c>
      <c r="B505" s="30">
        <f t="shared" si="28"/>
        <v>0.34602076124567471</v>
      </c>
      <c r="C505" s="30">
        <f t="shared" si="29"/>
        <v>580</v>
      </c>
      <c r="D505" s="30">
        <f t="shared" si="30"/>
        <v>1.3005000000000002</v>
      </c>
    </row>
    <row r="506" spans="1:4" x14ac:dyDescent="0.4">
      <c r="A506" s="30">
        <f t="shared" si="31"/>
        <v>559</v>
      </c>
      <c r="B506" s="30">
        <f t="shared" si="28"/>
        <v>0.34542314335060448</v>
      </c>
      <c r="C506" s="30">
        <f t="shared" si="29"/>
        <v>581</v>
      </c>
      <c r="D506" s="30">
        <f t="shared" si="30"/>
        <v>1.3027500000000001</v>
      </c>
    </row>
    <row r="507" spans="1:4" x14ac:dyDescent="0.4">
      <c r="A507" s="30">
        <f t="shared" si="31"/>
        <v>560</v>
      </c>
      <c r="B507" s="30">
        <f t="shared" si="28"/>
        <v>0.34482758620689657</v>
      </c>
      <c r="C507" s="30">
        <f t="shared" si="29"/>
        <v>582</v>
      </c>
      <c r="D507" s="30">
        <f t="shared" si="30"/>
        <v>1.3049999999999999</v>
      </c>
    </row>
    <row r="508" spans="1:4" x14ac:dyDescent="0.4">
      <c r="A508" s="30">
        <f t="shared" si="31"/>
        <v>561</v>
      </c>
      <c r="B508" s="30">
        <f t="shared" si="28"/>
        <v>0.34423407917383819</v>
      </c>
      <c r="C508" s="30">
        <f t="shared" si="29"/>
        <v>583</v>
      </c>
      <c r="D508" s="30">
        <f t="shared" si="30"/>
        <v>1.30725</v>
      </c>
    </row>
    <row r="509" spans="1:4" x14ac:dyDescent="0.4">
      <c r="A509" s="30">
        <f t="shared" si="31"/>
        <v>562</v>
      </c>
      <c r="B509" s="30">
        <f t="shared" si="28"/>
        <v>0.3436426116838488</v>
      </c>
      <c r="C509" s="30">
        <f t="shared" si="29"/>
        <v>584</v>
      </c>
      <c r="D509" s="30">
        <f t="shared" si="30"/>
        <v>1.3095000000000001</v>
      </c>
    </row>
    <row r="510" spans="1:4" x14ac:dyDescent="0.4">
      <c r="A510" s="30">
        <f t="shared" si="31"/>
        <v>563</v>
      </c>
      <c r="B510" s="30">
        <f t="shared" si="28"/>
        <v>0.34305317324185247</v>
      </c>
      <c r="C510" s="30">
        <f t="shared" si="29"/>
        <v>585</v>
      </c>
      <c r="D510" s="30">
        <f t="shared" si="30"/>
        <v>1.3117500000000002</v>
      </c>
    </row>
    <row r="511" spans="1:4" x14ac:dyDescent="0.4">
      <c r="A511" s="30">
        <f t="shared" si="31"/>
        <v>564</v>
      </c>
      <c r="B511" s="30">
        <f t="shared" si="28"/>
        <v>0.34246575342465752</v>
      </c>
      <c r="C511" s="30">
        <f t="shared" si="29"/>
        <v>586</v>
      </c>
      <c r="D511" s="30">
        <f t="shared" si="30"/>
        <v>1.3140000000000003</v>
      </c>
    </row>
    <row r="512" spans="1:4" x14ac:dyDescent="0.4">
      <c r="A512" s="30">
        <f t="shared" si="31"/>
        <v>565</v>
      </c>
      <c r="B512" s="30">
        <f t="shared" si="28"/>
        <v>0.34188034188034189</v>
      </c>
      <c r="C512" s="30">
        <f t="shared" si="29"/>
        <v>587</v>
      </c>
      <c r="D512" s="30">
        <f t="shared" si="30"/>
        <v>1.3162499999999999</v>
      </c>
    </row>
    <row r="513" spans="1:4" x14ac:dyDescent="0.4">
      <c r="A513" s="30">
        <f t="shared" si="31"/>
        <v>566</v>
      </c>
      <c r="B513" s="30">
        <f t="shared" si="28"/>
        <v>0.34129692832764508</v>
      </c>
      <c r="C513" s="30">
        <f t="shared" si="29"/>
        <v>588</v>
      </c>
      <c r="D513" s="30">
        <f t="shared" si="30"/>
        <v>1.3185</v>
      </c>
    </row>
    <row r="514" spans="1:4" x14ac:dyDescent="0.4">
      <c r="A514" s="30">
        <f t="shared" si="31"/>
        <v>567</v>
      </c>
      <c r="B514" s="30">
        <f t="shared" si="28"/>
        <v>0.34071550255536626</v>
      </c>
      <c r="C514" s="30">
        <f t="shared" si="29"/>
        <v>589</v>
      </c>
      <c r="D514" s="30">
        <f t="shared" si="30"/>
        <v>1.3207500000000001</v>
      </c>
    </row>
    <row r="515" spans="1:4" x14ac:dyDescent="0.4">
      <c r="A515" s="30">
        <f t="shared" si="31"/>
        <v>568</v>
      </c>
      <c r="B515" s="30">
        <f t="shared" si="28"/>
        <v>0.3401360544217687</v>
      </c>
      <c r="C515" s="30">
        <f t="shared" si="29"/>
        <v>590</v>
      </c>
      <c r="D515" s="30">
        <f t="shared" si="30"/>
        <v>1.3230000000000002</v>
      </c>
    </row>
    <row r="516" spans="1:4" x14ac:dyDescent="0.4">
      <c r="A516" s="30">
        <f t="shared" si="31"/>
        <v>569</v>
      </c>
      <c r="B516" s="30">
        <f t="shared" si="28"/>
        <v>0.3395585738539898</v>
      </c>
      <c r="C516" s="30">
        <f t="shared" si="29"/>
        <v>591</v>
      </c>
      <c r="D516" s="30">
        <f t="shared" si="30"/>
        <v>1.3252500000000003</v>
      </c>
    </row>
    <row r="517" spans="1:4" x14ac:dyDescent="0.4">
      <c r="A517" s="30">
        <f t="shared" si="31"/>
        <v>570</v>
      </c>
      <c r="B517" s="30">
        <f t="shared" si="28"/>
        <v>0.33898305084745761</v>
      </c>
      <c r="C517" s="30">
        <f t="shared" si="29"/>
        <v>592</v>
      </c>
      <c r="D517" s="30">
        <f t="shared" si="30"/>
        <v>1.3275000000000001</v>
      </c>
    </row>
    <row r="518" spans="1:4" x14ac:dyDescent="0.4">
      <c r="A518" s="30">
        <f t="shared" si="31"/>
        <v>571</v>
      </c>
      <c r="B518" s="30">
        <f t="shared" si="28"/>
        <v>0.33840947546531303</v>
      </c>
      <c r="C518" s="30">
        <f t="shared" si="29"/>
        <v>593</v>
      </c>
      <c r="D518" s="30">
        <f t="shared" si="30"/>
        <v>1.32975</v>
      </c>
    </row>
    <row r="519" spans="1:4" x14ac:dyDescent="0.4">
      <c r="A519" s="30">
        <f t="shared" si="31"/>
        <v>572</v>
      </c>
      <c r="B519" s="30">
        <f t="shared" si="28"/>
        <v>0.33783783783783783</v>
      </c>
      <c r="C519" s="30">
        <f t="shared" si="29"/>
        <v>594</v>
      </c>
      <c r="D519" s="30">
        <f t="shared" si="30"/>
        <v>1.3320000000000001</v>
      </c>
    </row>
    <row r="520" spans="1:4" x14ac:dyDescent="0.4">
      <c r="A520" s="30">
        <f t="shared" si="31"/>
        <v>573</v>
      </c>
      <c r="B520" s="30">
        <f t="shared" si="28"/>
        <v>0.33726812816188873</v>
      </c>
      <c r="C520" s="30">
        <f t="shared" si="29"/>
        <v>595</v>
      </c>
      <c r="D520" s="30">
        <f t="shared" si="30"/>
        <v>1.3342499999999999</v>
      </c>
    </row>
    <row r="521" spans="1:4" x14ac:dyDescent="0.4">
      <c r="A521" s="30">
        <f t="shared" si="31"/>
        <v>574</v>
      </c>
      <c r="B521" s="30">
        <f t="shared" si="28"/>
        <v>0.33670033670033672</v>
      </c>
      <c r="C521" s="30">
        <f t="shared" si="29"/>
        <v>596</v>
      </c>
      <c r="D521" s="30">
        <f t="shared" si="30"/>
        <v>1.3365</v>
      </c>
    </row>
    <row r="522" spans="1:4" x14ac:dyDescent="0.4">
      <c r="A522" s="30">
        <f t="shared" si="31"/>
        <v>575</v>
      </c>
      <c r="B522" s="30">
        <f t="shared" si="28"/>
        <v>0.33613445378151263</v>
      </c>
      <c r="C522" s="30">
        <f t="shared" si="29"/>
        <v>597</v>
      </c>
      <c r="D522" s="30">
        <f t="shared" si="30"/>
        <v>1.3387500000000001</v>
      </c>
    </row>
    <row r="523" spans="1:4" x14ac:dyDescent="0.4">
      <c r="A523" s="30">
        <f t="shared" si="31"/>
        <v>576</v>
      </c>
      <c r="B523" s="30">
        <f t="shared" ref="B523:B586" si="32">$B$4/8/(A523+$B$2)</f>
        <v>0.33557046979865773</v>
      </c>
      <c r="C523" s="30">
        <f t="shared" si="29"/>
        <v>598</v>
      </c>
      <c r="D523" s="30">
        <f t="shared" si="30"/>
        <v>1.341</v>
      </c>
    </row>
    <row r="524" spans="1:4" x14ac:dyDescent="0.4">
      <c r="A524" s="30">
        <f t="shared" si="31"/>
        <v>577</v>
      </c>
      <c r="B524" s="30">
        <f t="shared" si="32"/>
        <v>0.33500837520938026</v>
      </c>
      <c r="C524" s="30">
        <f t="shared" ref="C524:C587" si="33">A524+$E$6</f>
        <v>599</v>
      </c>
      <c r="D524" s="30">
        <f t="shared" ref="D524:D587" si="34">$H$3/B524/CEILING(C524/$H$2,1)</f>
        <v>1.3432500000000001</v>
      </c>
    </row>
    <row r="525" spans="1:4" x14ac:dyDescent="0.4">
      <c r="A525" s="30">
        <f t="shared" ref="A525:A588" si="35">A524+$B$3</f>
        <v>578</v>
      </c>
      <c r="B525" s="30">
        <f t="shared" si="32"/>
        <v>0.33444816053511706</v>
      </c>
      <c r="C525" s="30">
        <f t="shared" si="33"/>
        <v>600</v>
      </c>
      <c r="D525" s="30">
        <f t="shared" si="34"/>
        <v>1.3455000000000001</v>
      </c>
    </row>
    <row r="526" spans="1:4" x14ac:dyDescent="0.4">
      <c r="A526" s="30">
        <f t="shared" si="35"/>
        <v>579</v>
      </c>
      <c r="B526" s="30">
        <f t="shared" si="32"/>
        <v>0.333889816360601</v>
      </c>
      <c r="C526" s="30">
        <f t="shared" si="33"/>
        <v>601</v>
      </c>
      <c r="D526" s="30">
        <f t="shared" si="34"/>
        <v>1.3477500000000002</v>
      </c>
    </row>
    <row r="527" spans="1:4" x14ac:dyDescent="0.4">
      <c r="A527" s="30">
        <f t="shared" si="35"/>
        <v>580</v>
      </c>
      <c r="B527" s="30">
        <f t="shared" si="32"/>
        <v>0.33333333333333331</v>
      </c>
      <c r="C527" s="30">
        <f t="shared" si="33"/>
        <v>602</v>
      </c>
      <c r="D527" s="30">
        <f t="shared" si="34"/>
        <v>1.3500000000000003</v>
      </c>
    </row>
    <row r="528" spans="1:4" x14ac:dyDescent="0.4">
      <c r="A528" s="30">
        <f t="shared" si="35"/>
        <v>581</v>
      </c>
      <c r="B528" s="30">
        <f t="shared" si="32"/>
        <v>0.33277870216306155</v>
      </c>
      <c r="C528" s="30">
        <f t="shared" si="33"/>
        <v>603</v>
      </c>
      <c r="D528" s="30">
        <f t="shared" si="34"/>
        <v>1.35225</v>
      </c>
    </row>
    <row r="529" spans="1:4" x14ac:dyDescent="0.4">
      <c r="A529" s="30">
        <f t="shared" si="35"/>
        <v>582</v>
      </c>
      <c r="B529" s="30">
        <f t="shared" si="32"/>
        <v>0.33222591362126247</v>
      </c>
      <c r="C529" s="30">
        <f t="shared" si="33"/>
        <v>604</v>
      </c>
      <c r="D529" s="30">
        <f t="shared" si="34"/>
        <v>1.3545</v>
      </c>
    </row>
    <row r="530" spans="1:4" x14ac:dyDescent="0.4">
      <c r="A530" s="30">
        <f t="shared" si="35"/>
        <v>583</v>
      </c>
      <c r="B530" s="30">
        <f t="shared" si="32"/>
        <v>0.33167495854063017</v>
      </c>
      <c r="C530" s="30">
        <f t="shared" si="33"/>
        <v>605</v>
      </c>
      <c r="D530" s="30">
        <f t="shared" si="34"/>
        <v>1.3567500000000001</v>
      </c>
    </row>
    <row r="531" spans="1:4" x14ac:dyDescent="0.4">
      <c r="A531" s="30">
        <f t="shared" si="35"/>
        <v>584</v>
      </c>
      <c r="B531" s="30">
        <f t="shared" si="32"/>
        <v>0.33112582781456956</v>
      </c>
      <c r="C531" s="30">
        <f t="shared" si="33"/>
        <v>606</v>
      </c>
      <c r="D531" s="30">
        <f t="shared" si="34"/>
        <v>1.359</v>
      </c>
    </row>
    <row r="532" spans="1:4" x14ac:dyDescent="0.4">
      <c r="A532" s="30">
        <f t="shared" si="35"/>
        <v>585</v>
      </c>
      <c r="B532" s="30">
        <f t="shared" si="32"/>
        <v>0.33057851239669422</v>
      </c>
      <c r="C532" s="30">
        <f t="shared" si="33"/>
        <v>607</v>
      </c>
      <c r="D532" s="30">
        <f t="shared" si="34"/>
        <v>1.3612500000000001</v>
      </c>
    </row>
    <row r="533" spans="1:4" x14ac:dyDescent="0.4">
      <c r="A533" s="30">
        <f t="shared" si="35"/>
        <v>586</v>
      </c>
      <c r="B533" s="30">
        <f t="shared" si="32"/>
        <v>0.33003300330033003</v>
      </c>
      <c r="C533" s="30">
        <f t="shared" si="33"/>
        <v>608</v>
      </c>
      <c r="D533" s="30">
        <f t="shared" si="34"/>
        <v>1.3635000000000002</v>
      </c>
    </row>
    <row r="534" spans="1:4" x14ac:dyDescent="0.4">
      <c r="A534" s="30">
        <f t="shared" si="35"/>
        <v>587</v>
      </c>
      <c r="B534" s="30">
        <f t="shared" si="32"/>
        <v>0.32948929159802304</v>
      </c>
      <c r="C534" s="30">
        <f t="shared" si="33"/>
        <v>609</v>
      </c>
      <c r="D534" s="30">
        <f t="shared" si="34"/>
        <v>1.3657500000000002</v>
      </c>
    </row>
    <row r="535" spans="1:4" x14ac:dyDescent="0.4">
      <c r="A535" s="30">
        <f t="shared" si="35"/>
        <v>588</v>
      </c>
      <c r="B535" s="30">
        <f t="shared" si="32"/>
        <v>0.32894736842105265</v>
      </c>
      <c r="C535" s="30">
        <f t="shared" si="33"/>
        <v>610</v>
      </c>
      <c r="D535" s="30">
        <f t="shared" si="34"/>
        <v>1.3680000000000001</v>
      </c>
    </row>
    <row r="536" spans="1:4" x14ac:dyDescent="0.4">
      <c r="A536" s="30">
        <f t="shared" si="35"/>
        <v>589</v>
      </c>
      <c r="B536" s="30">
        <f t="shared" si="32"/>
        <v>0.32840722495894908</v>
      </c>
      <c r="C536" s="30">
        <f t="shared" si="33"/>
        <v>611</v>
      </c>
      <c r="D536" s="30">
        <f t="shared" si="34"/>
        <v>1.3702500000000002</v>
      </c>
    </row>
    <row r="537" spans="1:4" x14ac:dyDescent="0.4">
      <c r="A537" s="30">
        <f t="shared" si="35"/>
        <v>590</v>
      </c>
      <c r="B537" s="30">
        <f t="shared" si="32"/>
        <v>0.32786885245901637</v>
      </c>
      <c r="C537" s="30">
        <f t="shared" si="33"/>
        <v>612</v>
      </c>
      <c r="D537" s="30">
        <f t="shared" si="34"/>
        <v>1.3725000000000003</v>
      </c>
    </row>
    <row r="538" spans="1:4" x14ac:dyDescent="0.4">
      <c r="A538" s="30">
        <f t="shared" si="35"/>
        <v>591</v>
      </c>
      <c r="B538" s="30">
        <f t="shared" si="32"/>
        <v>0.32733224222585927</v>
      </c>
      <c r="C538" s="30">
        <f t="shared" si="33"/>
        <v>613</v>
      </c>
      <c r="D538" s="30">
        <f t="shared" si="34"/>
        <v>1.3747499999999999</v>
      </c>
    </row>
    <row r="539" spans="1:4" x14ac:dyDescent="0.4">
      <c r="A539" s="30">
        <f t="shared" si="35"/>
        <v>592</v>
      </c>
      <c r="B539" s="30">
        <f t="shared" si="32"/>
        <v>0.32679738562091504</v>
      </c>
      <c r="C539" s="30">
        <f t="shared" si="33"/>
        <v>614</v>
      </c>
      <c r="D539" s="30">
        <f t="shared" si="34"/>
        <v>1.377</v>
      </c>
    </row>
    <row r="540" spans="1:4" x14ac:dyDescent="0.4">
      <c r="A540" s="30">
        <f t="shared" si="35"/>
        <v>593</v>
      </c>
      <c r="B540" s="30">
        <f t="shared" si="32"/>
        <v>0.32626427406199021</v>
      </c>
      <c r="C540" s="30">
        <f t="shared" si="33"/>
        <v>615</v>
      </c>
      <c r="D540" s="30">
        <f t="shared" si="34"/>
        <v>1.3792500000000001</v>
      </c>
    </row>
    <row r="541" spans="1:4" x14ac:dyDescent="0.4">
      <c r="A541" s="30">
        <f t="shared" si="35"/>
        <v>594</v>
      </c>
      <c r="B541" s="30">
        <f t="shared" si="32"/>
        <v>0.32573289902280128</v>
      </c>
      <c r="C541" s="30">
        <f t="shared" si="33"/>
        <v>616</v>
      </c>
      <c r="D541" s="30">
        <f t="shared" si="34"/>
        <v>1.3815000000000002</v>
      </c>
    </row>
    <row r="542" spans="1:4" x14ac:dyDescent="0.4">
      <c r="A542" s="30">
        <f t="shared" si="35"/>
        <v>595</v>
      </c>
      <c r="B542" s="30">
        <f t="shared" si="32"/>
        <v>0.32520325203252032</v>
      </c>
      <c r="C542" s="30">
        <f t="shared" si="33"/>
        <v>617</v>
      </c>
      <c r="D542" s="30">
        <f t="shared" si="34"/>
        <v>1.38375</v>
      </c>
    </row>
    <row r="543" spans="1:4" x14ac:dyDescent="0.4">
      <c r="A543" s="30">
        <f t="shared" si="35"/>
        <v>596</v>
      </c>
      <c r="B543" s="30">
        <f t="shared" si="32"/>
        <v>0.32467532467532467</v>
      </c>
      <c r="C543" s="30">
        <f t="shared" si="33"/>
        <v>618</v>
      </c>
      <c r="D543" s="30">
        <f t="shared" si="34"/>
        <v>1.3860000000000001</v>
      </c>
    </row>
    <row r="544" spans="1:4" x14ac:dyDescent="0.4">
      <c r="A544" s="30">
        <f t="shared" si="35"/>
        <v>597</v>
      </c>
      <c r="B544" s="30">
        <f t="shared" si="32"/>
        <v>0.32414910858995138</v>
      </c>
      <c r="C544" s="30">
        <f t="shared" si="33"/>
        <v>619</v>
      </c>
      <c r="D544" s="30">
        <f t="shared" si="34"/>
        <v>1.3882500000000002</v>
      </c>
    </row>
    <row r="545" spans="1:4" x14ac:dyDescent="0.4">
      <c r="A545" s="30">
        <f t="shared" si="35"/>
        <v>598</v>
      </c>
      <c r="B545" s="30">
        <f t="shared" si="32"/>
        <v>0.32362459546925565</v>
      </c>
      <c r="C545" s="30">
        <f t="shared" si="33"/>
        <v>620</v>
      </c>
      <c r="D545" s="30">
        <f t="shared" si="34"/>
        <v>1.3905000000000003</v>
      </c>
    </row>
    <row r="546" spans="1:4" x14ac:dyDescent="0.4">
      <c r="A546" s="30">
        <f t="shared" si="35"/>
        <v>599</v>
      </c>
      <c r="B546" s="30">
        <f t="shared" si="32"/>
        <v>0.32310177705977383</v>
      </c>
      <c r="C546" s="30">
        <f t="shared" si="33"/>
        <v>621</v>
      </c>
      <c r="D546" s="30">
        <f t="shared" si="34"/>
        <v>1.3927500000000002</v>
      </c>
    </row>
    <row r="547" spans="1:4" x14ac:dyDescent="0.4">
      <c r="A547" s="30">
        <f t="shared" si="35"/>
        <v>600</v>
      </c>
      <c r="B547" s="30">
        <f t="shared" si="32"/>
        <v>0.32258064516129031</v>
      </c>
      <c r="C547" s="30">
        <f t="shared" si="33"/>
        <v>622</v>
      </c>
      <c r="D547" s="30">
        <f t="shared" si="34"/>
        <v>1.3950000000000002</v>
      </c>
    </row>
    <row r="548" spans="1:4" x14ac:dyDescent="0.4">
      <c r="A548" s="30">
        <f t="shared" si="35"/>
        <v>601</v>
      </c>
      <c r="B548" s="30">
        <f t="shared" si="32"/>
        <v>0.322061191626409</v>
      </c>
      <c r="C548" s="30">
        <f t="shared" si="33"/>
        <v>623</v>
      </c>
      <c r="D548" s="30">
        <f t="shared" si="34"/>
        <v>1.3972500000000003</v>
      </c>
    </row>
    <row r="549" spans="1:4" x14ac:dyDescent="0.4">
      <c r="A549" s="30">
        <f t="shared" si="35"/>
        <v>602</v>
      </c>
      <c r="B549" s="30">
        <f t="shared" si="32"/>
        <v>0.32154340836012862</v>
      </c>
      <c r="C549" s="30">
        <f t="shared" si="33"/>
        <v>624</v>
      </c>
      <c r="D549" s="30">
        <f t="shared" si="34"/>
        <v>1.3995</v>
      </c>
    </row>
    <row r="550" spans="1:4" x14ac:dyDescent="0.4">
      <c r="A550" s="30">
        <f t="shared" si="35"/>
        <v>603</v>
      </c>
      <c r="B550" s="30">
        <f t="shared" si="32"/>
        <v>0.32102728731942215</v>
      </c>
      <c r="C550" s="30">
        <f t="shared" si="33"/>
        <v>625</v>
      </c>
      <c r="D550" s="30">
        <f t="shared" si="34"/>
        <v>1.4017500000000001</v>
      </c>
    </row>
    <row r="551" spans="1:4" x14ac:dyDescent="0.4">
      <c r="A551" s="30">
        <f t="shared" si="35"/>
        <v>604</v>
      </c>
      <c r="B551" s="30">
        <f t="shared" si="32"/>
        <v>0.32051282051282054</v>
      </c>
      <c r="C551" s="30">
        <f t="shared" si="33"/>
        <v>626</v>
      </c>
      <c r="D551" s="30">
        <f t="shared" si="34"/>
        <v>1.4039999999999999</v>
      </c>
    </row>
    <row r="552" spans="1:4" x14ac:dyDescent="0.4">
      <c r="A552" s="30">
        <f t="shared" si="35"/>
        <v>605</v>
      </c>
      <c r="B552" s="30">
        <f t="shared" si="32"/>
        <v>0.32</v>
      </c>
      <c r="C552" s="30">
        <f t="shared" si="33"/>
        <v>627</v>
      </c>
      <c r="D552" s="30">
        <f t="shared" si="34"/>
        <v>1.40625</v>
      </c>
    </row>
    <row r="553" spans="1:4" x14ac:dyDescent="0.4">
      <c r="A553" s="30">
        <f t="shared" si="35"/>
        <v>606</v>
      </c>
      <c r="B553" s="30">
        <f t="shared" si="32"/>
        <v>0.31948881789137379</v>
      </c>
      <c r="C553" s="30">
        <f t="shared" si="33"/>
        <v>628</v>
      </c>
      <c r="D553" s="30">
        <f t="shared" si="34"/>
        <v>1.4085000000000001</v>
      </c>
    </row>
    <row r="554" spans="1:4" x14ac:dyDescent="0.4">
      <c r="A554" s="30">
        <f t="shared" si="35"/>
        <v>607</v>
      </c>
      <c r="B554" s="30">
        <f t="shared" si="32"/>
        <v>0.31897926634768742</v>
      </c>
      <c r="C554" s="30">
        <f t="shared" si="33"/>
        <v>629</v>
      </c>
      <c r="D554" s="30">
        <f t="shared" si="34"/>
        <v>1.4107499999999999</v>
      </c>
    </row>
    <row r="555" spans="1:4" x14ac:dyDescent="0.4">
      <c r="A555" s="30">
        <f t="shared" si="35"/>
        <v>608</v>
      </c>
      <c r="B555" s="30">
        <f t="shared" si="32"/>
        <v>0.31847133757961782</v>
      </c>
      <c r="C555" s="30">
        <f t="shared" si="33"/>
        <v>630</v>
      </c>
      <c r="D555" s="30">
        <f t="shared" si="34"/>
        <v>1.4130000000000003</v>
      </c>
    </row>
    <row r="556" spans="1:4" x14ac:dyDescent="0.4">
      <c r="A556" s="30">
        <f t="shared" si="35"/>
        <v>609</v>
      </c>
      <c r="B556" s="30">
        <f t="shared" si="32"/>
        <v>0.31796502384737679</v>
      </c>
      <c r="C556" s="30">
        <f t="shared" si="33"/>
        <v>631</v>
      </c>
      <c r="D556" s="30">
        <f t="shared" si="34"/>
        <v>1.4152500000000001</v>
      </c>
    </row>
    <row r="557" spans="1:4" x14ac:dyDescent="0.4">
      <c r="A557" s="30">
        <f t="shared" si="35"/>
        <v>610</v>
      </c>
      <c r="B557" s="30">
        <f t="shared" si="32"/>
        <v>0.31746031746031744</v>
      </c>
      <c r="C557" s="30">
        <f t="shared" si="33"/>
        <v>632</v>
      </c>
      <c r="D557" s="30">
        <f t="shared" si="34"/>
        <v>1.4175000000000002</v>
      </c>
    </row>
    <row r="558" spans="1:4" x14ac:dyDescent="0.4">
      <c r="A558" s="30">
        <f t="shared" si="35"/>
        <v>611</v>
      </c>
      <c r="B558" s="30">
        <f t="shared" si="32"/>
        <v>0.31695721077654515</v>
      </c>
      <c r="C558" s="30">
        <f t="shared" si="33"/>
        <v>633</v>
      </c>
      <c r="D558" s="30">
        <f t="shared" si="34"/>
        <v>1.4197500000000003</v>
      </c>
    </row>
    <row r="559" spans="1:4" x14ac:dyDescent="0.4">
      <c r="A559" s="30">
        <f t="shared" si="35"/>
        <v>612</v>
      </c>
      <c r="B559" s="30">
        <f t="shared" si="32"/>
        <v>0.31645569620253167</v>
      </c>
      <c r="C559" s="30">
        <f t="shared" si="33"/>
        <v>634</v>
      </c>
      <c r="D559" s="30">
        <f t="shared" si="34"/>
        <v>1.4219999999999999</v>
      </c>
    </row>
    <row r="560" spans="1:4" x14ac:dyDescent="0.4">
      <c r="A560" s="30">
        <f t="shared" si="35"/>
        <v>613</v>
      </c>
      <c r="B560" s="30">
        <f t="shared" si="32"/>
        <v>0.31595576619273302</v>
      </c>
      <c r="C560" s="30">
        <f t="shared" si="33"/>
        <v>635</v>
      </c>
      <c r="D560" s="30">
        <f t="shared" si="34"/>
        <v>1.42425</v>
      </c>
    </row>
    <row r="561" spans="1:4" x14ac:dyDescent="0.4">
      <c r="A561" s="30">
        <f t="shared" si="35"/>
        <v>614</v>
      </c>
      <c r="B561" s="30">
        <f t="shared" si="32"/>
        <v>0.31545741324921134</v>
      </c>
      <c r="C561" s="30">
        <f t="shared" si="33"/>
        <v>636</v>
      </c>
      <c r="D561" s="30">
        <f t="shared" si="34"/>
        <v>1.4265000000000001</v>
      </c>
    </row>
    <row r="562" spans="1:4" x14ac:dyDescent="0.4">
      <c r="A562" s="30">
        <f t="shared" si="35"/>
        <v>615</v>
      </c>
      <c r="B562" s="30">
        <f t="shared" si="32"/>
        <v>0.31496062992125984</v>
      </c>
      <c r="C562" s="30">
        <f t="shared" si="33"/>
        <v>637</v>
      </c>
      <c r="D562" s="30">
        <f t="shared" si="34"/>
        <v>1.4287500000000002</v>
      </c>
    </row>
    <row r="563" spans="1:4" x14ac:dyDescent="0.4">
      <c r="A563" s="30">
        <f t="shared" si="35"/>
        <v>616</v>
      </c>
      <c r="B563" s="30">
        <f t="shared" si="32"/>
        <v>0.31446540880503143</v>
      </c>
      <c r="C563" s="30">
        <f t="shared" si="33"/>
        <v>638</v>
      </c>
      <c r="D563" s="30">
        <f t="shared" si="34"/>
        <v>1.431</v>
      </c>
    </row>
    <row r="564" spans="1:4" x14ac:dyDescent="0.4">
      <c r="A564" s="30">
        <f t="shared" si="35"/>
        <v>617</v>
      </c>
      <c r="B564" s="30">
        <f t="shared" si="32"/>
        <v>0.31397174254317112</v>
      </c>
      <c r="C564" s="30">
        <f t="shared" si="33"/>
        <v>639</v>
      </c>
      <c r="D564" s="30">
        <f t="shared" si="34"/>
        <v>1.4332500000000001</v>
      </c>
    </row>
    <row r="565" spans="1:4" x14ac:dyDescent="0.4">
      <c r="A565" s="30">
        <f t="shared" si="35"/>
        <v>618</v>
      </c>
      <c r="B565" s="30">
        <f t="shared" si="32"/>
        <v>0.31347962382445144</v>
      </c>
      <c r="C565" s="30">
        <f t="shared" si="33"/>
        <v>640</v>
      </c>
      <c r="D565" s="30">
        <f t="shared" si="34"/>
        <v>1.4355</v>
      </c>
    </row>
    <row r="566" spans="1:4" x14ac:dyDescent="0.4">
      <c r="A566" s="30">
        <f t="shared" si="35"/>
        <v>619</v>
      </c>
      <c r="B566" s="30">
        <f t="shared" si="32"/>
        <v>0.3129890453834116</v>
      </c>
      <c r="C566" s="30">
        <f t="shared" si="33"/>
        <v>641</v>
      </c>
      <c r="D566" s="30">
        <f t="shared" si="34"/>
        <v>1.4377500000000001</v>
      </c>
    </row>
    <row r="567" spans="1:4" x14ac:dyDescent="0.4">
      <c r="A567" s="30">
        <f t="shared" si="35"/>
        <v>620</v>
      </c>
      <c r="B567" s="30">
        <f t="shared" si="32"/>
        <v>0.3125</v>
      </c>
      <c r="C567" s="30">
        <f t="shared" si="33"/>
        <v>642</v>
      </c>
      <c r="D567" s="30">
        <f t="shared" si="34"/>
        <v>1.4400000000000002</v>
      </c>
    </row>
    <row r="568" spans="1:4" x14ac:dyDescent="0.4">
      <c r="A568" s="30">
        <f t="shared" si="35"/>
        <v>621</v>
      </c>
      <c r="B568" s="30">
        <f t="shared" si="32"/>
        <v>0.31201248049921998</v>
      </c>
      <c r="C568" s="30">
        <f t="shared" si="33"/>
        <v>643</v>
      </c>
      <c r="D568" s="30">
        <f t="shared" si="34"/>
        <v>1.4422500000000003</v>
      </c>
    </row>
    <row r="569" spans="1:4" x14ac:dyDescent="0.4">
      <c r="A569" s="30">
        <f t="shared" si="35"/>
        <v>622</v>
      </c>
      <c r="B569" s="30">
        <f t="shared" si="32"/>
        <v>0.3115264797507788</v>
      </c>
      <c r="C569" s="30">
        <f t="shared" si="33"/>
        <v>644</v>
      </c>
      <c r="D569" s="30">
        <f t="shared" si="34"/>
        <v>1.4445000000000003</v>
      </c>
    </row>
    <row r="570" spans="1:4" x14ac:dyDescent="0.4">
      <c r="A570" s="30">
        <f t="shared" si="35"/>
        <v>623</v>
      </c>
      <c r="B570" s="30">
        <f t="shared" si="32"/>
        <v>0.31104199066874028</v>
      </c>
      <c r="C570" s="30">
        <f t="shared" si="33"/>
        <v>645</v>
      </c>
      <c r="D570" s="30">
        <f t="shared" si="34"/>
        <v>1.44675</v>
      </c>
    </row>
    <row r="571" spans="1:4" x14ac:dyDescent="0.4">
      <c r="A571" s="30">
        <f t="shared" si="35"/>
        <v>624</v>
      </c>
      <c r="B571" s="30">
        <f t="shared" si="32"/>
        <v>0.3105590062111801</v>
      </c>
      <c r="C571" s="30">
        <f t="shared" si="33"/>
        <v>646</v>
      </c>
      <c r="D571" s="30">
        <f t="shared" si="34"/>
        <v>1.4490000000000001</v>
      </c>
    </row>
    <row r="572" spans="1:4" x14ac:dyDescent="0.4">
      <c r="A572" s="30">
        <f t="shared" si="35"/>
        <v>625</v>
      </c>
      <c r="B572" s="30">
        <f t="shared" si="32"/>
        <v>0.31007751937984496</v>
      </c>
      <c r="C572" s="30">
        <f t="shared" si="33"/>
        <v>647</v>
      </c>
      <c r="D572" s="30">
        <f t="shared" si="34"/>
        <v>1.4512500000000002</v>
      </c>
    </row>
    <row r="573" spans="1:4" x14ac:dyDescent="0.4">
      <c r="A573" s="30">
        <f t="shared" si="35"/>
        <v>626</v>
      </c>
      <c r="B573" s="30">
        <f t="shared" si="32"/>
        <v>0.30959752321981426</v>
      </c>
      <c r="C573" s="30">
        <f t="shared" si="33"/>
        <v>648</v>
      </c>
      <c r="D573" s="30">
        <f t="shared" si="34"/>
        <v>1.4535</v>
      </c>
    </row>
    <row r="574" spans="1:4" x14ac:dyDescent="0.4">
      <c r="A574" s="30">
        <f t="shared" si="35"/>
        <v>627</v>
      </c>
      <c r="B574" s="30">
        <f t="shared" si="32"/>
        <v>0.30911901081916537</v>
      </c>
      <c r="C574" s="30">
        <f t="shared" si="33"/>
        <v>649</v>
      </c>
      <c r="D574" s="30">
        <f t="shared" si="34"/>
        <v>1.4557500000000001</v>
      </c>
    </row>
    <row r="575" spans="1:4" x14ac:dyDescent="0.4">
      <c r="A575" s="30">
        <f t="shared" si="35"/>
        <v>628</v>
      </c>
      <c r="B575" s="30">
        <f t="shared" si="32"/>
        <v>0.30864197530864196</v>
      </c>
      <c r="C575" s="30">
        <f t="shared" si="33"/>
        <v>650</v>
      </c>
      <c r="D575" s="30">
        <f t="shared" si="34"/>
        <v>1.4580000000000002</v>
      </c>
    </row>
    <row r="576" spans="1:4" x14ac:dyDescent="0.4">
      <c r="A576" s="30">
        <f t="shared" si="35"/>
        <v>629</v>
      </c>
      <c r="B576" s="30">
        <f t="shared" si="32"/>
        <v>0.3081664098613251</v>
      </c>
      <c r="C576" s="30">
        <f t="shared" si="33"/>
        <v>651</v>
      </c>
      <c r="D576" s="30">
        <f t="shared" si="34"/>
        <v>1.4602500000000003</v>
      </c>
    </row>
    <row r="577" spans="1:4" x14ac:dyDescent="0.4">
      <c r="A577" s="30">
        <f t="shared" si="35"/>
        <v>630</v>
      </c>
      <c r="B577" s="30">
        <f t="shared" si="32"/>
        <v>0.30769230769230771</v>
      </c>
      <c r="C577" s="30">
        <f t="shared" si="33"/>
        <v>652</v>
      </c>
      <c r="D577" s="30">
        <f t="shared" si="34"/>
        <v>1.4625000000000001</v>
      </c>
    </row>
    <row r="578" spans="1:4" x14ac:dyDescent="0.4">
      <c r="A578" s="30">
        <f t="shared" si="35"/>
        <v>631</v>
      </c>
      <c r="B578" s="30">
        <f t="shared" si="32"/>
        <v>0.30721966205837176</v>
      </c>
      <c r="C578" s="30">
        <f t="shared" si="33"/>
        <v>653</v>
      </c>
      <c r="D578" s="30">
        <f t="shared" si="34"/>
        <v>1.4647500000000002</v>
      </c>
    </row>
    <row r="579" spans="1:4" x14ac:dyDescent="0.4">
      <c r="A579" s="30">
        <f t="shared" si="35"/>
        <v>632</v>
      </c>
      <c r="B579" s="30">
        <f t="shared" si="32"/>
        <v>0.30674846625766872</v>
      </c>
      <c r="C579" s="30">
        <f t="shared" si="33"/>
        <v>654</v>
      </c>
      <c r="D579" s="30">
        <f t="shared" si="34"/>
        <v>1.4669999999999999</v>
      </c>
    </row>
    <row r="580" spans="1:4" x14ac:dyDescent="0.4">
      <c r="A580" s="30">
        <f t="shared" si="35"/>
        <v>633</v>
      </c>
      <c r="B580" s="30">
        <f t="shared" si="32"/>
        <v>0.30627871362940273</v>
      </c>
      <c r="C580" s="30">
        <f t="shared" si="33"/>
        <v>655</v>
      </c>
      <c r="D580" s="30">
        <f t="shared" si="34"/>
        <v>1.4692500000000004</v>
      </c>
    </row>
    <row r="581" spans="1:4" x14ac:dyDescent="0.4">
      <c r="A581" s="30">
        <f t="shared" si="35"/>
        <v>634</v>
      </c>
      <c r="B581" s="30">
        <f t="shared" si="32"/>
        <v>0.3058103975535168</v>
      </c>
      <c r="C581" s="30">
        <f t="shared" si="33"/>
        <v>656</v>
      </c>
      <c r="D581" s="30">
        <f t="shared" si="34"/>
        <v>1.4715</v>
      </c>
    </row>
    <row r="582" spans="1:4" x14ac:dyDescent="0.4">
      <c r="A582" s="30">
        <f t="shared" si="35"/>
        <v>635</v>
      </c>
      <c r="B582" s="30">
        <f t="shared" si="32"/>
        <v>0.30534351145038169</v>
      </c>
      <c r="C582" s="30">
        <f t="shared" si="33"/>
        <v>657</v>
      </c>
      <c r="D582" s="30">
        <f t="shared" si="34"/>
        <v>1.4737500000000001</v>
      </c>
    </row>
    <row r="583" spans="1:4" x14ac:dyDescent="0.4">
      <c r="A583" s="30">
        <f t="shared" si="35"/>
        <v>636</v>
      </c>
      <c r="B583" s="30">
        <f t="shared" si="32"/>
        <v>0.3048780487804878</v>
      </c>
      <c r="C583" s="30">
        <f t="shared" si="33"/>
        <v>658</v>
      </c>
      <c r="D583" s="30">
        <f t="shared" si="34"/>
        <v>1.4760000000000002</v>
      </c>
    </row>
    <row r="584" spans="1:4" x14ac:dyDescent="0.4">
      <c r="A584" s="30">
        <f t="shared" si="35"/>
        <v>637</v>
      </c>
      <c r="B584" s="30">
        <f t="shared" si="32"/>
        <v>0.30441400304414001</v>
      </c>
      <c r="C584" s="30">
        <f t="shared" si="33"/>
        <v>659</v>
      </c>
      <c r="D584" s="30">
        <f t="shared" si="34"/>
        <v>1.4782500000000001</v>
      </c>
    </row>
    <row r="585" spans="1:4" x14ac:dyDescent="0.4">
      <c r="A585" s="30">
        <f t="shared" si="35"/>
        <v>638</v>
      </c>
      <c r="B585" s="30">
        <f t="shared" si="32"/>
        <v>0.303951367781155</v>
      </c>
      <c r="C585" s="30">
        <f t="shared" si="33"/>
        <v>660</v>
      </c>
      <c r="D585" s="30">
        <f t="shared" si="34"/>
        <v>1.4805000000000001</v>
      </c>
    </row>
    <row r="586" spans="1:4" x14ac:dyDescent="0.4">
      <c r="A586" s="30">
        <f t="shared" si="35"/>
        <v>639</v>
      </c>
      <c r="B586" s="30">
        <f t="shared" si="32"/>
        <v>0.30349013657056145</v>
      </c>
      <c r="C586" s="30">
        <f t="shared" si="33"/>
        <v>661</v>
      </c>
      <c r="D586" s="30">
        <f t="shared" si="34"/>
        <v>1.4827500000000002</v>
      </c>
    </row>
    <row r="587" spans="1:4" x14ac:dyDescent="0.4">
      <c r="A587" s="30">
        <f t="shared" si="35"/>
        <v>640</v>
      </c>
      <c r="B587" s="30">
        <f t="shared" ref="B587:B650" si="36">$B$4/8/(A587+$B$2)</f>
        <v>0.30303030303030304</v>
      </c>
      <c r="C587" s="30">
        <f t="shared" si="33"/>
        <v>662</v>
      </c>
      <c r="D587" s="30">
        <f t="shared" si="34"/>
        <v>1.4850000000000001</v>
      </c>
    </row>
    <row r="588" spans="1:4" x14ac:dyDescent="0.4">
      <c r="A588" s="30">
        <f t="shared" si="35"/>
        <v>641</v>
      </c>
      <c r="B588" s="30">
        <f t="shared" si="36"/>
        <v>0.30257186081694404</v>
      </c>
      <c r="C588" s="30">
        <f t="shared" ref="C588:C651" si="37">A588+$E$6</f>
        <v>663</v>
      </c>
      <c r="D588" s="30">
        <f t="shared" ref="D588:D651" si="38">$H$3/B588/CEILING(C588/$H$2,1)</f>
        <v>1.4872500000000002</v>
      </c>
    </row>
    <row r="589" spans="1:4" x14ac:dyDescent="0.4">
      <c r="A589" s="30">
        <f t="shared" ref="A589:A652" si="39">A588+$B$3</f>
        <v>642</v>
      </c>
      <c r="B589" s="30">
        <f t="shared" si="36"/>
        <v>0.30211480362537763</v>
      </c>
      <c r="C589" s="30">
        <f t="shared" si="37"/>
        <v>664</v>
      </c>
      <c r="D589" s="30">
        <f t="shared" si="38"/>
        <v>1.4895000000000003</v>
      </c>
    </row>
    <row r="590" spans="1:4" x14ac:dyDescent="0.4">
      <c r="A590" s="30">
        <f t="shared" si="39"/>
        <v>643</v>
      </c>
      <c r="B590" s="30">
        <f t="shared" si="36"/>
        <v>0.30165912518853694</v>
      </c>
      <c r="C590" s="30">
        <f t="shared" si="37"/>
        <v>665</v>
      </c>
      <c r="D590" s="30">
        <f t="shared" si="38"/>
        <v>1.4917500000000004</v>
      </c>
    </row>
    <row r="591" spans="1:4" x14ac:dyDescent="0.4">
      <c r="A591" s="30">
        <f t="shared" si="39"/>
        <v>644</v>
      </c>
      <c r="B591" s="30">
        <f t="shared" si="36"/>
        <v>0.30120481927710846</v>
      </c>
      <c r="C591" s="30">
        <f t="shared" si="37"/>
        <v>666</v>
      </c>
      <c r="D591" s="30">
        <f t="shared" si="38"/>
        <v>1.494</v>
      </c>
    </row>
    <row r="592" spans="1:4" x14ac:dyDescent="0.4">
      <c r="A592" s="30">
        <f t="shared" si="39"/>
        <v>645</v>
      </c>
      <c r="B592" s="30">
        <f t="shared" si="36"/>
        <v>0.3007518796992481</v>
      </c>
      <c r="C592" s="30">
        <f t="shared" si="37"/>
        <v>667</v>
      </c>
      <c r="D592" s="30">
        <f t="shared" si="38"/>
        <v>1.4962500000000001</v>
      </c>
    </row>
    <row r="593" spans="1:4" x14ac:dyDescent="0.4">
      <c r="A593" s="30">
        <f t="shared" si="39"/>
        <v>646</v>
      </c>
      <c r="B593" s="30">
        <f t="shared" si="36"/>
        <v>0.3003003003003003</v>
      </c>
      <c r="C593" s="30">
        <f t="shared" si="37"/>
        <v>668</v>
      </c>
      <c r="D593" s="30">
        <f t="shared" si="38"/>
        <v>1.4984999999999999</v>
      </c>
    </row>
    <row r="594" spans="1:4" x14ac:dyDescent="0.4">
      <c r="A594" s="30">
        <f t="shared" si="39"/>
        <v>647</v>
      </c>
      <c r="B594" s="30">
        <f t="shared" si="36"/>
        <v>0.29985007496251875</v>
      </c>
      <c r="C594" s="30">
        <f t="shared" si="37"/>
        <v>669</v>
      </c>
      <c r="D594" s="30">
        <f t="shared" si="38"/>
        <v>1.50075</v>
      </c>
    </row>
    <row r="595" spans="1:4" x14ac:dyDescent="0.4">
      <c r="A595" s="30">
        <f t="shared" si="39"/>
        <v>648</v>
      </c>
      <c r="B595" s="30">
        <f t="shared" si="36"/>
        <v>0.29940119760479039</v>
      </c>
      <c r="C595" s="30">
        <f t="shared" si="37"/>
        <v>670</v>
      </c>
      <c r="D595" s="30">
        <f t="shared" si="38"/>
        <v>1.5030000000000001</v>
      </c>
    </row>
    <row r="596" spans="1:4" x14ac:dyDescent="0.4">
      <c r="A596" s="30">
        <f t="shared" si="39"/>
        <v>649</v>
      </c>
      <c r="B596" s="30">
        <f t="shared" si="36"/>
        <v>0.29895366218236175</v>
      </c>
      <c r="C596" s="30">
        <f t="shared" si="37"/>
        <v>671</v>
      </c>
      <c r="D596" s="30">
        <f t="shared" si="38"/>
        <v>1.50525</v>
      </c>
    </row>
    <row r="597" spans="1:4" x14ac:dyDescent="0.4">
      <c r="A597" s="30">
        <f t="shared" si="39"/>
        <v>650</v>
      </c>
      <c r="B597" s="30">
        <f t="shared" si="36"/>
        <v>0.29850746268656714</v>
      </c>
      <c r="C597" s="30">
        <f t="shared" si="37"/>
        <v>672</v>
      </c>
      <c r="D597" s="30">
        <f t="shared" si="38"/>
        <v>1.5075000000000003</v>
      </c>
    </row>
    <row r="598" spans="1:4" x14ac:dyDescent="0.4">
      <c r="A598" s="30">
        <f t="shared" si="39"/>
        <v>651</v>
      </c>
      <c r="B598" s="30">
        <f t="shared" si="36"/>
        <v>0.29806259314456035</v>
      </c>
      <c r="C598" s="30">
        <f t="shared" si="37"/>
        <v>673</v>
      </c>
      <c r="D598" s="30">
        <f t="shared" si="38"/>
        <v>1.5097500000000001</v>
      </c>
    </row>
    <row r="599" spans="1:4" x14ac:dyDescent="0.4">
      <c r="A599" s="30">
        <f t="shared" si="39"/>
        <v>652</v>
      </c>
      <c r="B599" s="30">
        <f t="shared" si="36"/>
        <v>0.29761904761904762</v>
      </c>
      <c r="C599" s="30">
        <f t="shared" si="37"/>
        <v>674</v>
      </c>
      <c r="D599" s="30">
        <f t="shared" si="38"/>
        <v>1.5120000000000002</v>
      </c>
    </row>
    <row r="600" spans="1:4" x14ac:dyDescent="0.4">
      <c r="A600" s="30">
        <f t="shared" si="39"/>
        <v>653</v>
      </c>
      <c r="B600" s="30">
        <f t="shared" si="36"/>
        <v>0.29717682020802377</v>
      </c>
      <c r="C600" s="30">
        <f t="shared" si="37"/>
        <v>675</v>
      </c>
      <c r="D600" s="30">
        <f t="shared" si="38"/>
        <v>1.5142500000000003</v>
      </c>
    </row>
    <row r="601" spans="1:4" x14ac:dyDescent="0.4">
      <c r="A601" s="30">
        <f t="shared" si="39"/>
        <v>654</v>
      </c>
      <c r="B601" s="30">
        <f t="shared" si="36"/>
        <v>0.29673590504451036</v>
      </c>
      <c r="C601" s="30">
        <f t="shared" si="37"/>
        <v>676</v>
      </c>
      <c r="D601" s="30">
        <f t="shared" si="38"/>
        <v>1.5165000000000004</v>
      </c>
    </row>
    <row r="602" spans="1:4" x14ac:dyDescent="0.4">
      <c r="A602" s="30">
        <f t="shared" si="39"/>
        <v>655</v>
      </c>
      <c r="B602" s="30">
        <f t="shared" si="36"/>
        <v>0.29629629629629628</v>
      </c>
      <c r="C602" s="30">
        <f t="shared" si="37"/>
        <v>677</v>
      </c>
      <c r="D602" s="30">
        <f t="shared" si="38"/>
        <v>1.51875</v>
      </c>
    </row>
    <row r="603" spans="1:4" x14ac:dyDescent="0.4">
      <c r="A603" s="30">
        <f t="shared" si="39"/>
        <v>656</v>
      </c>
      <c r="B603" s="30">
        <f t="shared" si="36"/>
        <v>0.29585798816568049</v>
      </c>
      <c r="C603" s="30">
        <f t="shared" si="37"/>
        <v>678</v>
      </c>
      <c r="D603" s="30">
        <f t="shared" si="38"/>
        <v>1.5209999999999999</v>
      </c>
    </row>
    <row r="604" spans="1:4" x14ac:dyDescent="0.4">
      <c r="A604" s="30">
        <f t="shared" si="39"/>
        <v>657</v>
      </c>
      <c r="B604" s="30">
        <f t="shared" si="36"/>
        <v>0.29542097488921715</v>
      </c>
      <c r="C604" s="30">
        <f t="shared" si="37"/>
        <v>679</v>
      </c>
      <c r="D604" s="30">
        <f t="shared" si="38"/>
        <v>1.52325</v>
      </c>
    </row>
    <row r="605" spans="1:4" x14ac:dyDescent="0.4">
      <c r="A605" s="30">
        <f t="shared" si="39"/>
        <v>658</v>
      </c>
      <c r="B605" s="30">
        <f t="shared" si="36"/>
        <v>0.29498525073746312</v>
      </c>
      <c r="C605" s="30">
        <f t="shared" si="37"/>
        <v>680</v>
      </c>
      <c r="D605" s="30">
        <f t="shared" si="38"/>
        <v>1.5255000000000001</v>
      </c>
    </row>
    <row r="606" spans="1:4" x14ac:dyDescent="0.4">
      <c r="A606" s="30">
        <f t="shared" si="39"/>
        <v>659</v>
      </c>
      <c r="B606" s="30">
        <f t="shared" si="36"/>
        <v>0.29455081001472755</v>
      </c>
      <c r="C606" s="30">
        <f t="shared" si="37"/>
        <v>681</v>
      </c>
      <c r="D606" s="30">
        <f t="shared" si="38"/>
        <v>1.5277500000000002</v>
      </c>
    </row>
    <row r="607" spans="1:4" x14ac:dyDescent="0.4">
      <c r="A607" s="30">
        <f t="shared" si="39"/>
        <v>660</v>
      </c>
      <c r="B607" s="30">
        <f t="shared" si="36"/>
        <v>0.29411764705882354</v>
      </c>
      <c r="C607" s="30">
        <f t="shared" si="37"/>
        <v>682</v>
      </c>
      <c r="D607" s="30">
        <f t="shared" si="38"/>
        <v>1.53</v>
      </c>
    </row>
    <row r="608" spans="1:4" x14ac:dyDescent="0.4">
      <c r="A608" s="30">
        <f t="shared" si="39"/>
        <v>661</v>
      </c>
      <c r="B608" s="30">
        <f t="shared" si="36"/>
        <v>0.29368575624082233</v>
      </c>
      <c r="C608" s="30">
        <f t="shared" si="37"/>
        <v>683</v>
      </c>
      <c r="D608" s="30">
        <f t="shared" si="38"/>
        <v>1.5322500000000001</v>
      </c>
    </row>
    <row r="609" spans="1:4" x14ac:dyDescent="0.4">
      <c r="A609" s="30">
        <f t="shared" si="39"/>
        <v>662</v>
      </c>
      <c r="B609" s="30">
        <f t="shared" si="36"/>
        <v>0.2932551319648094</v>
      </c>
      <c r="C609" s="30">
        <f t="shared" si="37"/>
        <v>684</v>
      </c>
      <c r="D609" s="30">
        <f t="shared" si="38"/>
        <v>1.5345000000000002</v>
      </c>
    </row>
    <row r="610" spans="1:4" x14ac:dyDescent="0.4">
      <c r="A610" s="30">
        <f t="shared" si="39"/>
        <v>663</v>
      </c>
      <c r="B610" s="30">
        <f t="shared" si="36"/>
        <v>0.29282576866764276</v>
      </c>
      <c r="C610" s="30">
        <f t="shared" si="37"/>
        <v>685</v>
      </c>
      <c r="D610" s="30">
        <f t="shared" si="38"/>
        <v>1.5367499999999998</v>
      </c>
    </row>
    <row r="611" spans="1:4" x14ac:dyDescent="0.4">
      <c r="A611" s="30">
        <f t="shared" si="39"/>
        <v>664</v>
      </c>
      <c r="B611" s="30">
        <f t="shared" si="36"/>
        <v>0.29239766081871343</v>
      </c>
      <c r="C611" s="30">
        <f t="shared" si="37"/>
        <v>686</v>
      </c>
      <c r="D611" s="30">
        <f t="shared" si="38"/>
        <v>1.5390000000000004</v>
      </c>
    </row>
    <row r="612" spans="1:4" x14ac:dyDescent="0.4">
      <c r="A612" s="30">
        <f t="shared" si="39"/>
        <v>665</v>
      </c>
      <c r="B612" s="30">
        <f t="shared" si="36"/>
        <v>0.29197080291970801</v>
      </c>
      <c r="C612" s="30">
        <f t="shared" si="37"/>
        <v>687</v>
      </c>
      <c r="D612" s="30">
        <f t="shared" si="38"/>
        <v>1.54125</v>
      </c>
    </row>
    <row r="613" spans="1:4" x14ac:dyDescent="0.4">
      <c r="A613" s="30">
        <f t="shared" si="39"/>
        <v>666</v>
      </c>
      <c r="B613" s="30">
        <f t="shared" si="36"/>
        <v>0.29154518950437319</v>
      </c>
      <c r="C613" s="30">
        <f t="shared" si="37"/>
        <v>688</v>
      </c>
      <c r="D613" s="30">
        <f t="shared" si="38"/>
        <v>1.5435000000000001</v>
      </c>
    </row>
    <row r="614" spans="1:4" x14ac:dyDescent="0.4">
      <c r="A614" s="30">
        <f t="shared" si="39"/>
        <v>667</v>
      </c>
      <c r="B614" s="30">
        <f t="shared" si="36"/>
        <v>0.29112081513828236</v>
      </c>
      <c r="C614" s="30">
        <f t="shared" si="37"/>
        <v>689</v>
      </c>
      <c r="D614" s="30">
        <f t="shared" si="38"/>
        <v>1.5457500000000002</v>
      </c>
    </row>
    <row r="615" spans="1:4" x14ac:dyDescent="0.4">
      <c r="A615" s="30">
        <f t="shared" si="39"/>
        <v>668</v>
      </c>
      <c r="B615" s="30">
        <f t="shared" si="36"/>
        <v>0.29069767441860467</v>
      </c>
      <c r="C615" s="30">
        <f t="shared" si="37"/>
        <v>690</v>
      </c>
      <c r="D615" s="30">
        <f t="shared" si="38"/>
        <v>1.548</v>
      </c>
    </row>
    <row r="616" spans="1:4" x14ac:dyDescent="0.4">
      <c r="A616" s="30">
        <f t="shared" si="39"/>
        <v>669</v>
      </c>
      <c r="B616" s="30">
        <f t="shared" si="36"/>
        <v>0.29027576197387517</v>
      </c>
      <c r="C616" s="30">
        <f t="shared" si="37"/>
        <v>691</v>
      </c>
      <c r="D616" s="30">
        <f t="shared" si="38"/>
        <v>1.5502500000000001</v>
      </c>
    </row>
    <row r="617" spans="1:4" x14ac:dyDescent="0.4">
      <c r="A617" s="30">
        <f t="shared" si="39"/>
        <v>670</v>
      </c>
      <c r="B617" s="30">
        <f t="shared" si="36"/>
        <v>0.28985507246376813</v>
      </c>
      <c r="C617" s="30">
        <f t="shared" si="37"/>
        <v>692</v>
      </c>
      <c r="D617" s="30">
        <f t="shared" si="38"/>
        <v>1.5525</v>
      </c>
    </row>
    <row r="618" spans="1:4" x14ac:dyDescent="0.4">
      <c r="A618" s="30">
        <f t="shared" si="39"/>
        <v>671</v>
      </c>
      <c r="B618" s="30">
        <f t="shared" si="36"/>
        <v>0.28943560057887119</v>
      </c>
      <c r="C618" s="30">
        <f t="shared" si="37"/>
        <v>693</v>
      </c>
      <c r="D618" s="30">
        <f t="shared" si="38"/>
        <v>1.5547500000000003</v>
      </c>
    </row>
    <row r="619" spans="1:4" x14ac:dyDescent="0.4">
      <c r="A619" s="30">
        <f t="shared" si="39"/>
        <v>672</v>
      </c>
      <c r="B619" s="30">
        <f t="shared" si="36"/>
        <v>0.28901734104046245</v>
      </c>
      <c r="C619" s="30">
        <f t="shared" si="37"/>
        <v>694</v>
      </c>
      <c r="D619" s="30">
        <f t="shared" si="38"/>
        <v>1.5570000000000002</v>
      </c>
    </row>
    <row r="620" spans="1:4" x14ac:dyDescent="0.4">
      <c r="A620" s="30">
        <f t="shared" si="39"/>
        <v>673</v>
      </c>
      <c r="B620" s="30">
        <f t="shared" si="36"/>
        <v>0.28860028860028858</v>
      </c>
      <c r="C620" s="30">
        <f t="shared" si="37"/>
        <v>695</v>
      </c>
      <c r="D620" s="30">
        <f t="shared" si="38"/>
        <v>1.5592500000000002</v>
      </c>
    </row>
    <row r="621" spans="1:4" x14ac:dyDescent="0.4">
      <c r="A621" s="30">
        <f t="shared" si="39"/>
        <v>674</v>
      </c>
      <c r="B621" s="30">
        <f t="shared" si="36"/>
        <v>0.28818443804034583</v>
      </c>
      <c r="C621" s="30">
        <f t="shared" si="37"/>
        <v>696</v>
      </c>
      <c r="D621" s="30">
        <f t="shared" si="38"/>
        <v>1.5614999999999999</v>
      </c>
    </row>
    <row r="622" spans="1:4" x14ac:dyDescent="0.4">
      <c r="A622" s="30">
        <f t="shared" si="39"/>
        <v>675</v>
      </c>
      <c r="B622" s="30">
        <f t="shared" si="36"/>
        <v>0.28776978417266186</v>
      </c>
      <c r="C622" s="30">
        <f t="shared" si="37"/>
        <v>697</v>
      </c>
      <c r="D622" s="30">
        <f t="shared" si="38"/>
        <v>1.56375</v>
      </c>
    </row>
    <row r="623" spans="1:4" x14ac:dyDescent="0.4">
      <c r="A623" s="30">
        <f t="shared" si="39"/>
        <v>676</v>
      </c>
      <c r="B623" s="30">
        <f t="shared" si="36"/>
        <v>0.28735632183908044</v>
      </c>
      <c r="C623" s="30">
        <f t="shared" si="37"/>
        <v>698</v>
      </c>
      <c r="D623" s="30">
        <f t="shared" si="38"/>
        <v>1.5660000000000001</v>
      </c>
    </row>
    <row r="624" spans="1:4" x14ac:dyDescent="0.4">
      <c r="A624" s="30">
        <f t="shared" si="39"/>
        <v>677</v>
      </c>
      <c r="B624" s="30">
        <f t="shared" si="36"/>
        <v>0.28694404591104733</v>
      </c>
      <c r="C624" s="30">
        <f t="shared" si="37"/>
        <v>699</v>
      </c>
      <c r="D624" s="30">
        <f t="shared" si="38"/>
        <v>1.5682500000000001</v>
      </c>
    </row>
    <row r="625" spans="1:4" x14ac:dyDescent="0.4">
      <c r="A625" s="30">
        <f t="shared" si="39"/>
        <v>678</v>
      </c>
      <c r="B625" s="30">
        <f t="shared" si="36"/>
        <v>0.28653295128939826</v>
      </c>
      <c r="C625" s="30">
        <f t="shared" si="37"/>
        <v>700</v>
      </c>
      <c r="D625" s="30">
        <f t="shared" si="38"/>
        <v>1.5705000000000002</v>
      </c>
    </row>
    <row r="626" spans="1:4" x14ac:dyDescent="0.4">
      <c r="A626" s="30">
        <f t="shared" si="39"/>
        <v>679</v>
      </c>
      <c r="B626" s="30">
        <f t="shared" si="36"/>
        <v>0.28612303290414881</v>
      </c>
      <c r="C626" s="30">
        <f t="shared" si="37"/>
        <v>701</v>
      </c>
      <c r="D626" s="30">
        <f t="shared" si="38"/>
        <v>1.5727500000000001</v>
      </c>
    </row>
    <row r="627" spans="1:4" x14ac:dyDescent="0.4">
      <c r="A627" s="30">
        <f t="shared" si="39"/>
        <v>680</v>
      </c>
      <c r="B627" s="30">
        <f t="shared" si="36"/>
        <v>0.2857142857142857</v>
      </c>
      <c r="C627" s="30">
        <f t="shared" si="37"/>
        <v>702</v>
      </c>
      <c r="D627" s="30">
        <f t="shared" si="38"/>
        <v>1.5750000000000002</v>
      </c>
    </row>
    <row r="628" spans="1:4" x14ac:dyDescent="0.4">
      <c r="A628" s="30">
        <f t="shared" si="39"/>
        <v>681</v>
      </c>
      <c r="B628" s="30">
        <f t="shared" si="36"/>
        <v>0.28530670470756064</v>
      </c>
      <c r="C628" s="30">
        <f t="shared" si="37"/>
        <v>703</v>
      </c>
      <c r="D628" s="30">
        <f t="shared" si="38"/>
        <v>1.57725</v>
      </c>
    </row>
    <row r="629" spans="1:4" x14ac:dyDescent="0.4">
      <c r="A629" s="30">
        <f t="shared" si="39"/>
        <v>682</v>
      </c>
      <c r="B629" s="30">
        <f t="shared" si="36"/>
        <v>0.28490028490028491</v>
      </c>
      <c r="C629" s="30">
        <f t="shared" si="37"/>
        <v>704</v>
      </c>
      <c r="D629" s="30">
        <f t="shared" si="38"/>
        <v>1.5795000000000001</v>
      </c>
    </row>
    <row r="630" spans="1:4" x14ac:dyDescent="0.4">
      <c r="A630" s="30">
        <f t="shared" si="39"/>
        <v>683</v>
      </c>
      <c r="B630" s="30">
        <f t="shared" si="36"/>
        <v>0.28449502133712662</v>
      </c>
      <c r="C630" s="30">
        <f t="shared" si="37"/>
        <v>705</v>
      </c>
      <c r="D630" s="30">
        <f t="shared" si="38"/>
        <v>1.5817500000000002</v>
      </c>
    </row>
    <row r="631" spans="1:4" x14ac:dyDescent="0.4">
      <c r="A631" s="30">
        <f t="shared" si="39"/>
        <v>684</v>
      </c>
      <c r="B631" s="30">
        <f t="shared" si="36"/>
        <v>0.28409090909090912</v>
      </c>
      <c r="C631" s="30">
        <f t="shared" si="37"/>
        <v>706</v>
      </c>
      <c r="D631" s="30">
        <f t="shared" si="38"/>
        <v>1.5839999999999999</v>
      </c>
    </row>
    <row r="632" spans="1:4" x14ac:dyDescent="0.4">
      <c r="A632" s="30">
        <f t="shared" si="39"/>
        <v>685</v>
      </c>
      <c r="B632" s="30">
        <f t="shared" si="36"/>
        <v>0.28368794326241137</v>
      </c>
      <c r="C632" s="30">
        <f t="shared" si="37"/>
        <v>707</v>
      </c>
      <c r="D632" s="30">
        <f t="shared" si="38"/>
        <v>1.5862499999999999</v>
      </c>
    </row>
    <row r="633" spans="1:4" x14ac:dyDescent="0.4">
      <c r="A633" s="30">
        <f t="shared" si="39"/>
        <v>686</v>
      </c>
      <c r="B633" s="30">
        <f t="shared" si="36"/>
        <v>0.28328611898016998</v>
      </c>
      <c r="C633" s="30">
        <f t="shared" si="37"/>
        <v>708</v>
      </c>
      <c r="D633" s="30">
        <f t="shared" si="38"/>
        <v>1.5885</v>
      </c>
    </row>
    <row r="634" spans="1:4" x14ac:dyDescent="0.4">
      <c r="A634" s="30">
        <f t="shared" si="39"/>
        <v>687</v>
      </c>
      <c r="B634" s="30">
        <f t="shared" si="36"/>
        <v>0.28288543140028288</v>
      </c>
      <c r="C634" s="30">
        <f t="shared" si="37"/>
        <v>709</v>
      </c>
      <c r="D634" s="30">
        <f t="shared" si="38"/>
        <v>1.5907500000000001</v>
      </c>
    </row>
    <row r="635" spans="1:4" x14ac:dyDescent="0.4">
      <c r="A635" s="30">
        <f t="shared" si="39"/>
        <v>688</v>
      </c>
      <c r="B635" s="30">
        <f t="shared" si="36"/>
        <v>0.2824858757062147</v>
      </c>
      <c r="C635" s="30">
        <f t="shared" si="37"/>
        <v>710</v>
      </c>
      <c r="D635" s="30">
        <f t="shared" si="38"/>
        <v>1.593</v>
      </c>
    </row>
    <row r="636" spans="1:4" x14ac:dyDescent="0.4">
      <c r="A636" s="30">
        <f t="shared" si="39"/>
        <v>689</v>
      </c>
      <c r="B636" s="30">
        <f t="shared" si="36"/>
        <v>0.28208744710860367</v>
      </c>
      <c r="C636" s="30">
        <f t="shared" si="37"/>
        <v>711</v>
      </c>
      <c r="D636" s="30">
        <f t="shared" si="38"/>
        <v>1.5952500000000001</v>
      </c>
    </row>
    <row r="637" spans="1:4" x14ac:dyDescent="0.4">
      <c r="A637" s="30">
        <f t="shared" si="39"/>
        <v>690</v>
      </c>
      <c r="B637" s="30">
        <f t="shared" si="36"/>
        <v>0.28169014084507044</v>
      </c>
      <c r="C637" s="30">
        <f t="shared" si="37"/>
        <v>712</v>
      </c>
      <c r="D637" s="30">
        <f t="shared" si="38"/>
        <v>1.5975000000000001</v>
      </c>
    </row>
    <row r="638" spans="1:4" x14ac:dyDescent="0.4">
      <c r="A638" s="30">
        <f t="shared" si="39"/>
        <v>691</v>
      </c>
      <c r="B638" s="30">
        <f t="shared" si="36"/>
        <v>0.28129395218002812</v>
      </c>
      <c r="C638" s="30">
        <f t="shared" si="37"/>
        <v>713</v>
      </c>
      <c r="D638" s="30">
        <f t="shared" si="38"/>
        <v>1.5997500000000002</v>
      </c>
    </row>
    <row r="639" spans="1:4" x14ac:dyDescent="0.4">
      <c r="A639" s="30">
        <f t="shared" si="39"/>
        <v>692</v>
      </c>
      <c r="B639" s="30">
        <f t="shared" si="36"/>
        <v>0.2808988764044944</v>
      </c>
      <c r="C639" s="30">
        <f t="shared" si="37"/>
        <v>714</v>
      </c>
      <c r="D639" s="30">
        <f t="shared" si="38"/>
        <v>1.6020000000000001</v>
      </c>
    </row>
    <row r="640" spans="1:4" x14ac:dyDescent="0.4">
      <c r="A640" s="30">
        <f t="shared" si="39"/>
        <v>693</v>
      </c>
      <c r="B640" s="30">
        <f t="shared" si="36"/>
        <v>0.28050490883590462</v>
      </c>
      <c r="C640" s="30">
        <f t="shared" si="37"/>
        <v>715</v>
      </c>
      <c r="D640" s="30">
        <f t="shared" si="38"/>
        <v>1.6042500000000002</v>
      </c>
    </row>
    <row r="641" spans="1:4" x14ac:dyDescent="0.4">
      <c r="A641" s="30">
        <f t="shared" si="39"/>
        <v>694</v>
      </c>
      <c r="B641" s="30">
        <f t="shared" si="36"/>
        <v>0.28011204481792717</v>
      </c>
      <c r="C641" s="30">
        <f t="shared" si="37"/>
        <v>716</v>
      </c>
      <c r="D641" s="30">
        <f t="shared" si="38"/>
        <v>1.6065000000000003</v>
      </c>
    </row>
    <row r="642" spans="1:4" x14ac:dyDescent="0.4">
      <c r="A642" s="30">
        <f t="shared" si="39"/>
        <v>695</v>
      </c>
      <c r="B642" s="30">
        <f t="shared" si="36"/>
        <v>0.27972027972027974</v>
      </c>
      <c r="C642" s="30">
        <f t="shared" si="37"/>
        <v>717</v>
      </c>
      <c r="D642" s="30">
        <f t="shared" si="38"/>
        <v>1.6087499999999999</v>
      </c>
    </row>
    <row r="643" spans="1:4" x14ac:dyDescent="0.4">
      <c r="A643" s="30">
        <f t="shared" si="39"/>
        <v>696</v>
      </c>
      <c r="B643" s="30">
        <f t="shared" si="36"/>
        <v>0.27932960893854747</v>
      </c>
      <c r="C643" s="30">
        <f t="shared" si="37"/>
        <v>718</v>
      </c>
      <c r="D643" s="30">
        <f t="shared" si="38"/>
        <v>1.611</v>
      </c>
    </row>
    <row r="644" spans="1:4" x14ac:dyDescent="0.4">
      <c r="A644" s="30">
        <f t="shared" si="39"/>
        <v>697</v>
      </c>
      <c r="B644" s="30">
        <f t="shared" si="36"/>
        <v>0.2789400278940028</v>
      </c>
      <c r="C644" s="30">
        <f t="shared" si="37"/>
        <v>719</v>
      </c>
      <c r="D644" s="30">
        <f t="shared" si="38"/>
        <v>1.6132500000000001</v>
      </c>
    </row>
    <row r="645" spans="1:4" x14ac:dyDescent="0.4">
      <c r="A645" s="30">
        <f t="shared" si="39"/>
        <v>698</v>
      </c>
      <c r="B645" s="30">
        <f t="shared" si="36"/>
        <v>0.2785515320334262</v>
      </c>
      <c r="C645" s="30">
        <f t="shared" si="37"/>
        <v>720</v>
      </c>
      <c r="D645" s="30">
        <f t="shared" si="38"/>
        <v>1.6154999999999999</v>
      </c>
    </row>
    <row r="646" spans="1:4" x14ac:dyDescent="0.4">
      <c r="A646" s="30">
        <f t="shared" si="39"/>
        <v>699</v>
      </c>
      <c r="B646" s="30">
        <f t="shared" si="36"/>
        <v>0.27816411682892905</v>
      </c>
      <c r="C646" s="30">
        <f t="shared" si="37"/>
        <v>721</v>
      </c>
      <c r="D646" s="30">
        <f t="shared" si="38"/>
        <v>1.6177500000000002</v>
      </c>
    </row>
    <row r="647" spans="1:4" x14ac:dyDescent="0.4">
      <c r="A647" s="30">
        <f t="shared" si="39"/>
        <v>700</v>
      </c>
      <c r="B647" s="30">
        <f t="shared" si="36"/>
        <v>0.27777777777777779</v>
      </c>
      <c r="C647" s="30">
        <f t="shared" si="37"/>
        <v>722</v>
      </c>
      <c r="D647" s="30">
        <f t="shared" si="38"/>
        <v>1.62</v>
      </c>
    </row>
    <row r="648" spans="1:4" x14ac:dyDescent="0.4">
      <c r="A648" s="30">
        <f t="shared" si="39"/>
        <v>701</v>
      </c>
      <c r="B648" s="30">
        <f t="shared" si="36"/>
        <v>0.27739251040221913</v>
      </c>
      <c r="C648" s="30">
        <f t="shared" si="37"/>
        <v>723</v>
      </c>
      <c r="D648" s="30">
        <f t="shared" si="38"/>
        <v>1.6222500000000002</v>
      </c>
    </row>
    <row r="649" spans="1:4" x14ac:dyDescent="0.4">
      <c r="A649" s="30">
        <f t="shared" si="39"/>
        <v>702</v>
      </c>
      <c r="B649" s="30">
        <f t="shared" si="36"/>
        <v>0.2770083102493075</v>
      </c>
      <c r="C649" s="30">
        <f t="shared" si="37"/>
        <v>724</v>
      </c>
      <c r="D649" s="30">
        <f t="shared" si="38"/>
        <v>1.6245000000000001</v>
      </c>
    </row>
    <row r="650" spans="1:4" x14ac:dyDescent="0.4">
      <c r="A650" s="30">
        <f t="shared" si="39"/>
        <v>703</v>
      </c>
      <c r="B650" s="30">
        <f t="shared" si="36"/>
        <v>0.27662517289073307</v>
      </c>
      <c r="C650" s="30">
        <f t="shared" si="37"/>
        <v>725</v>
      </c>
      <c r="D650" s="30">
        <f t="shared" si="38"/>
        <v>1.6267500000000001</v>
      </c>
    </row>
    <row r="651" spans="1:4" x14ac:dyDescent="0.4">
      <c r="A651" s="30">
        <f t="shared" si="39"/>
        <v>704</v>
      </c>
      <c r="B651" s="30">
        <f t="shared" ref="B651:B714" si="40">$B$4/8/(A651+$B$2)</f>
        <v>0.27624309392265195</v>
      </c>
      <c r="C651" s="30">
        <f t="shared" si="37"/>
        <v>726</v>
      </c>
      <c r="D651" s="30">
        <f t="shared" si="38"/>
        <v>1.6290000000000002</v>
      </c>
    </row>
    <row r="652" spans="1:4" x14ac:dyDescent="0.4">
      <c r="A652" s="30">
        <f t="shared" si="39"/>
        <v>705</v>
      </c>
      <c r="B652" s="30">
        <f t="shared" si="40"/>
        <v>0.27586206896551724</v>
      </c>
      <c r="C652" s="30">
        <f t="shared" ref="C652:C715" si="41">A652+$E$6</f>
        <v>727</v>
      </c>
      <c r="D652" s="30">
        <f t="shared" ref="D652:D715" si="42">$H$3/B652/CEILING(C652/$H$2,1)</f>
        <v>1.6312500000000003</v>
      </c>
    </row>
    <row r="653" spans="1:4" x14ac:dyDescent="0.4">
      <c r="A653" s="30">
        <f t="shared" ref="A653:A716" si="43">A652+$B$3</f>
        <v>706</v>
      </c>
      <c r="B653" s="30">
        <f t="shared" si="40"/>
        <v>0.27548209366391185</v>
      </c>
      <c r="C653" s="30">
        <f t="shared" si="41"/>
        <v>728</v>
      </c>
      <c r="D653" s="30">
        <f t="shared" si="42"/>
        <v>1.6335</v>
      </c>
    </row>
    <row r="654" spans="1:4" x14ac:dyDescent="0.4">
      <c r="A654" s="30">
        <f t="shared" si="43"/>
        <v>707</v>
      </c>
      <c r="B654" s="30">
        <f t="shared" si="40"/>
        <v>0.27510316368638238</v>
      </c>
      <c r="C654" s="30">
        <f t="shared" si="41"/>
        <v>729</v>
      </c>
      <c r="D654" s="30">
        <f t="shared" si="42"/>
        <v>1.63575</v>
      </c>
    </row>
    <row r="655" spans="1:4" x14ac:dyDescent="0.4">
      <c r="A655" s="30">
        <f t="shared" si="43"/>
        <v>708</v>
      </c>
      <c r="B655" s="30">
        <f t="shared" si="40"/>
        <v>0.27472527472527475</v>
      </c>
      <c r="C655" s="30">
        <f t="shared" si="41"/>
        <v>730</v>
      </c>
      <c r="D655" s="30">
        <f t="shared" si="42"/>
        <v>1.6379999999999999</v>
      </c>
    </row>
    <row r="656" spans="1:4" x14ac:dyDescent="0.4">
      <c r="A656" s="30">
        <f t="shared" si="43"/>
        <v>709</v>
      </c>
      <c r="B656" s="30">
        <f t="shared" si="40"/>
        <v>0.27434842249657065</v>
      </c>
      <c r="C656" s="30">
        <f t="shared" si="41"/>
        <v>731</v>
      </c>
      <c r="D656" s="30">
        <f t="shared" si="42"/>
        <v>1.64025</v>
      </c>
    </row>
    <row r="657" spans="1:4" x14ac:dyDescent="0.4">
      <c r="A657" s="30">
        <f t="shared" si="43"/>
        <v>710</v>
      </c>
      <c r="B657" s="30">
        <f t="shared" si="40"/>
        <v>0.27397260273972601</v>
      </c>
      <c r="C657" s="30">
        <f t="shared" si="41"/>
        <v>732</v>
      </c>
      <c r="D657" s="30">
        <f t="shared" si="42"/>
        <v>1.6425000000000001</v>
      </c>
    </row>
    <row r="658" spans="1:4" x14ac:dyDescent="0.4">
      <c r="A658" s="30">
        <f t="shared" si="43"/>
        <v>711</v>
      </c>
      <c r="B658" s="30">
        <f t="shared" si="40"/>
        <v>0.27359781121751026</v>
      </c>
      <c r="C658" s="30">
        <f t="shared" si="41"/>
        <v>733</v>
      </c>
      <c r="D658" s="30">
        <f t="shared" si="42"/>
        <v>1.6447500000000002</v>
      </c>
    </row>
    <row r="659" spans="1:4" x14ac:dyDescent="0.4">
      <c r="A659" s="30">
        <f t="shared" si="43"/>
        <v>712</v>
      </c>
      <c r="B659" s="30">
        <f t="shared" si="40"/>
        <v>0.27322404371584702</v>
      </c>
      <c r="C659" s="30">
        <f t="shared" si="41"/>
        <v>734</v>
      </c>
      <c r="D659" s="30">
        <f t="shared" si="42"/>
        <v>1.647</v>
      </c>
    </row>
    <row r="660" spans="1:4" x14ac:dyDescent="0.4">
      <c r="A660" s="30">
        <f t="shared" si="43"/>
        <v>713</v>
      </c>
      <c r="B660" s="30">
        <f t="shared" si="40"/>
        <v>0.27285129604365621</v>
      </c>
      <c r="C660" s="30">
        <f t="shared" si="41"/>
        <v>735</v>
      </c>
      <c r="D660" s="30">
        <f t="shared" si="42"/>
        <v>1.6492500000000001</v>
      </c>
    </row>
    <row r="661" spans="1:4" x14ac:dyDescent="0.4">
      <c r="A661" s="30">
        <f t="shared" si="43"/>
        <v>714</v>
      </c>
      <c r="B661" s="30">
        <f t="shared" si="40"/>
        <v>0.27247956403269757</v>
      </c>
      <c r="C661" s="30">
        <f t="shared" si="41"/>
        <v>736</v>
      </c>
      <c r="D661" s="30">
        <f t="shared" si="42"/>
        <v>1.6514999999999997</v>
      </c>
    </row>
    <row r="662" spans="1:4" x14ac:dyDescent="0.4">
      <c r="A662" s="30">
        <f t="shared" si="43"/>
        <v>715</v>
      </c>
      <c r="B662" s="30">
        <f t="shared" si="40"/>
        <v>0.27210884353741499</v>
      </c>
      <c r="C662" s="30">
        <f t="shared" si="41"/>
        <v>737</v>
      </c>
      <c r="D662" s="30">
        <f t="shared" si="42"/>
        <v>1.6537499999999998</v>
      </c>
    </row>
    <row r="663" spans="1:4" x14ac:dyDescent="0.4">
      <c r="A663" s="30">
        <f t="shared" si="43"/>
        <v>716</v>
      </c>
      <c r="B663" s="30">
        <f t="shared" si="40"/>
        <v>0.27173913043478259</v>
      </c>
      <c r="C663" s="30">
        <f t="shared" si="41"/>
        <v>738</v>
      </c>
      <c r="D663" s="30">
        <f t="shared" si="42"/>
        <v>1.6560000000000004</v>
      </c>
    </row>
    <row r="664" spans="1:4" x14ac:dyDescent="0.4">
      <c r="A664" s="30">
        <f t="shared" si="43"/>
        <v>717</v>
      </c>
      <c r="B664" s="30">
        <f t="shared" si="40"/>
        <v>0.27137042062415195</v>
      </c>
      <c r="C664" s="30">
        <f t="shared" si="41"/>
        <v>739</v>
      </c>
      <c r="D664" s="30">
        <f t="shared" si="42"/>
        <v>1.65825</v>
      </c>
    </row>
    <row r="665" spans="1:4" x14ac:dyDescent="0.4">
      <c r="A665" s="30">
        <f t="shared" si="43"/>
        <v>718</v>
      </c>
      <c r="B665" s="30">
        <f t="shared" si="40"/>
        <v>0.27100271002710025</v>
      </c>
      <c r="C665" s="30">
        <f t="shared" si="41"/>
        <v>740</v>
      </c>
      <c r="D665" s="30">
        <f t="shared" si="42"/>
        <v>1.6605000000000001</v>
      </c>
    </row>
    <row r="666" spans="1:4" x14ac:dyDescent="0.4">
      <c r="A666" s="30">
        <f t="shared" si="43"/>
        <v>719</v>
      </c>
      <c r="B666" s="30">
        <f t="shared" si="40"/>
        <v>0.2706359945872801</v>
      </c>
      <c r="C666" s="30">
        <f t="shared" si="41"/>
        <v>741</v>
      </c>
      <c r="D666" s="30">
        <f t="shared" si="42"/>
        <v>1.6627500000000002</v>
      </c>
    </row>
    <row r="667" spans="1:4" x14ac:dyDescent="0.4">
      <c r="A667" s="30">
        <f t="shared" si="43"/>
        <v>720</v>
      </c>
      <c r="B667" s="30">
        <f t="shared" si="40"/>
        <v>0.27027027027027029</v>
      </c>
      <c r="C667" s="30">
        <f t="shared" si="41"/>
        <v>742</v>
      </c>
      <c r="D667" s="30">
        <f t="shared" si="42"/>
        <v>1.665</v>
      </c>
    </row>
    <row r="668" spans="1:4" x14ac:dyDescent="0.4">
      <c r="A668" s="30">
        <f t="shared" si="43"/>
        <v>721</v>
      </c>
      <c r="B668" s="30">
        <f t="shared" si="40"/>
        <v>0.26990553306342779</v>
      </c>
      <c r="C668" s="30">
        <f t="shared" si="41"/>
        <v>743</v>
      </c>
      <c r="D668" s="30">
        <f t="shared" si="42"/>
        <v>1.6672500000000001</v>
      </c>
    </row>
    <row r="669" spans="1:4" x14ac:dyDescent="0.4">
      <c r="A669" s="30">
        <f t="shared" si="43"/>
        <v>722</v>
      </c>
      <c r="B669" s="30">
        <f t="shared" si="40"/>
        <v>0.26954177897574122</v>
      </c>
      <c r="C669" s="30">
        <f t="shared" si="41"/>
        <v>744</v>
      </c>
      <c r="D669" s="30">
        <f t="shared" si="42"/>
        <v>1.6695000000000002</v>
      </c>
    </row>
    <row r="670" spans="1:4" x14ac:dyDescent="0.4">
      <c r="A670" s="30">
        <f t="shared" si="43"/>
        <v>723</v>
      </c>
      <c r="B670" s="30">
        <f t="shared" si="40"/>
        <v>0.26917900403768508</v>
      </c>
      <c r="C670" s="30">
        <f t="shared" si="41"/>
        <v>745</v>
      </c>
      <c r="D670" s="30">
        <f t="shared" si="42"/>
        <v>1.6717500000000001</v>
      </c>
    </row>
    <row r="671" spans="1:4" x14ac:dyDescent="0.4">
      <c r="A671" s="30">
        <f t="shared" si="43"/>
        <v>724</v>
      </c>
      <c r="B671" s="30">
        <f t="shared" si="40"/>
        <v>0.26881720430107525</v>
      </c>
      <c r="C671" s="30">
        <f t="shared" si="41"/>
        <v>746</v>
      </c>
      <c r="D671" s="30">
        <f t="shared" si="42"/>
        <v>1.6740000000000002</v>
      </c>
    </row>
    <row r="672" spans="1:4" x14ac:dyDescent="0.4">
      <c r="A672" s="30">
        <f t="shared" si="43"/>
        <v>725</v>
      </c>
      <c r="B672" s="30">
        <f t="shared" si="40"/>
        <v>0.26845637583892618</v>
      </c>
      <c r="C672" s="30">
        <f t="shared" si="41"/>
        <v>747</v>
      </c>
      <c r="D672" s="30">
        <f t="shared" si="42"/>
        <v>1.6762500000000002</v>
      </c>
    </row>
    <row r="673" spans="1:4" x14ac:dyDescent="0.4">
      <c r="A673" s="30">
        <f t="shared" si="43"/>
        <v>726</v>
      </c>
      <c r="B673" s="30">
        <f t="shared" si="40"/>
        <v>0.26809651474530832</v>
      </c>
      <c r="C673" s="30">
        <f t="shared" si="41"/>
        <v>748</v>
      </c>
      <c r="D673" s="30">
        <f t="shared" si="42"/>
        <v>1.6784999999999999</v>
      </c>
    </row>
    <row r="674" spans="1:4" x14ac:dyDescent="0.4">
      <c r="A674" s="30">
        <f t="shared" si="43"/>
        <v>727</v>
      </c>
      <c r="B674" s="30">
        <f t="shared" si="40"/>
        <v>0.2677376171352075</v>
      </c>
      <c r="C674" s="30">
        <f t="shared" si="41"/>
        <v>749</v>
      </c>
      <c r="D674" s="30">
        <f t="shared" si="42"/>
        <v>1.68075</v>
      </c>
    </row>
    <row r="675" spans="1:4" x14ac:dyDescent="0.4">
      <c r="A675" s="30">
        <f t="shared" si="43"/>
        <v>728</v>
      </c>
      <c r="B675" s="30">
        <f t="shared" si="40"/>
        <v>0.26737967914438504</v>
      </c>
      <c r="C675" s="30">
        <f t="shared" si="41"/>
        <v>750</v>
      </c>
      <c r="D675" s="30">
        <f t="shared" si="42"/>
        <v>1.6830000000000001</v>
      </c>
    </row>
    <row r="676" spans="1:4" x14ac:dyDescent="0.4">
      <c r="A676" s="30">
        <f t="shared" si="43"/>
        <v>729</v>
      </c>
      <c r="B676" s="30">
        <f t="shared" si="40"/>
        <v>0.26702269692923897</v>
      </c>
      <c r="C676" s="30">
        <f t="shared" si="41"/>
        <v>751</v>
      </c>
      <c r="D676" s="30">
        <f t="shared" si="42"/>
        <v>1.6852500000000001</v>
      </c>
    </row>
    <row r="677" spans="1:4" x14ac:dyDescent="0.4">
      <c r="A677" s="30">
        <f t="shared" si="43"/>
        <v>730</v>
      </c>
      <c r="B677" s="30">
        <f t="shared" si="40"/>
        <v>0.26666666666666666</v>
      </c>
      <c r="C677" s="30">
        <f t="shared" si="41"/>
        <v>752</v>
      </c>
      <c r="D677" s="30">
        <f t="shared" si="42"/>
        <v>1.6875</v>
      </c>
    </row>
    <row r="678" spans="1:4" x14ac:dyDescent="0.4">
      <c r="A678" s="30">
        <f t="shared" si="43"/>
        <v>731</v>
      </c>
      <c r="B678" s="30">
        <f t="shared" si="40"/>
        <v>0.26631158455392812</v>
      </c>
      <c r="C678" s="30">
        <f t="shared" si="41"/>
        <v>753</v>
      </c>
      <c r="D678" s="30">
        <f t="shared" si="42"/>
        <v>1.6897500000000001</v>
      </c>
    </row>
    <row r="679" spans="1:4" x14ac:dyDescent="0.4">
      <c r="A679" s="30">
        <f t="shared" si="43"/>
        <v>732</v>
      </c>
      <c r="B679" s="30">
        <f t="shared" si="40"/>
        <v>0.26595744680851063</v>
      </c>
      <c r="C679" s="30">
        <f t="shared" si="41"/>
        <v>754</v>
      </c>
      <c r="D679" s="30">
        <f t="shared" si="42"/>
        <v>1.6920000000000002</v>
      </c>
    </row>
    <row r="680" spans="1:4" x14ac:dyDescent="0.4">
      <c r="A680" s="30">
        <f t="shared" si="43"/>
        <v>733</v>
      </c>
      <c r="B680" s="30">
        <f t="shared" si="40"/>
        <v>0.26560424966799467</v>
      </c>
      <c r="C680" s="30">
        <f t="shared" si="41"/>
        <v>755</v>
      </c>
      <c r="D680" s="30">
        <f t="shared" si="42"/>
        <v>1.6942500000000003</v>
      </c>
    </row>
    <row r="681" spans="1:4" x14ac:dyDescent="0.4">
      <c r="A681" s="30">
        <f t="shared" si="43"/>
        <v>734</v>
      </c>
      <c r="B681" s="30">
        <f t="shared" si="40"/>
        <v>0.26525198938992045</v>
      </c>
      <c r="C681" s="30">
        <f t="shared" si="41"/>
        <v>756</v>
      </c>
      <c r="D681" s="30">
        <f t="shared" si="42"/>
        <v>1.6965000000000001</v>
      </c>
    </row>
    <row r="682" spans="1:4" x14ac:dyDescent="0.4">
      <c r="A682" s="30">
        <f t="shared" si="43"/>
        <v>735</v>
      </c>
      <c r="B682" s="30">
        <f t="shared" si="40"/>
        <v>0.26490066225165565</v>
      </c>
      <c r="C682" s="30">
        <f t="shared" si="41"/>
        <v>757</v>
      </c>
      <c r="D682" s="30">
        <f t="shared" si="42"/>
        <v>1.6987499999999998</v>
      </c>
    </row>
    <row r="683" spans="1:4" x14ac:dyDescent="0.4">
      <c r="A683" s="30">
        <f t="shared" si="43"/>
        <v>736</v>
      </c>
      <c r="B683" s="30">
        <f t="shared" si="40"/>
        <v>0.26455026455026454</v>
      </c>
      <c r="C683" s="30">
        <f t="shared" si="41"/>
        <v>758</v>
      </c>
      <c r="D683" s="30">
        <f t="shared" si="42"/>
        <v>1.7010000000000003</v>
      </c>
    </row>
    <row r="684" spans="1:4" x14ac:dyDescent="0.4">
      <c r="A684" s="30">
        <f t="shared" si="43"/>
        <v>737</v>
      </c>
      <c r="B684" s="30">
        <f t="shared" si="40"/>
        <v>0.26420079260237783</v>
      </c>
      <c r="C684" s="30">
        <f t="shared" si="41"/>
        <v>759</v>
      </c>
      <c r="D684" s="30">
        <f t="shared" si="42"/>
        <v>1.7032499999999999</v>
      </c>
    </row>
    <row r="685" spans="1:4" x14ac:dyDescent="0.4">
      <c r="A685" s="30">
        <f t="shared" si="43"/>
        <v>738</v>
      </c>
      <c r="B685" s="30">
        <f t="shared" si="40"/>
        <v>0.26385224274406333</v>
      </c>
      <c r="C685" s="30">
        <f t="shared" si="41"/>
        <v>760</v>
      </c>
      <c r="D685" s="30">
        <f t="shared" si="42"/>
        <v>1.7055</v>
      </c>
    </row>
    <row r="686" spans="1:4" x14ac:dyDescent="0.4">
      <c r="A686" s="30">
        <f t="shared" si="43"/>
        <v>739</v>
      </c>
      <c r="B686" s="30">
        <f t="shared" si="40"/>
        <v>0.2635046113306983</v>
      </c>
      <c r="C686" s="30">
        <f t="shared" si="41"/>
        <v>761</v>
      </c>
      <c r="D686" s="30">
        <f t="shared" si="42"/>
        <v>1.7077499999999999</v>
      </c>
    </row>
    <row r="687" spans="1:4" x14ac:dyDescent="0.4">
      <c r="A687" s="30">
        <f t="shared" si="43"/>
        <v>740</v>
      </c>
      <c r="B687" s="30">
        <f t="shared" si="40"/>
        <v>0.26315789473684209</v>
      </c>
      <c r="C687" s="30">
        <f t="shared" si="41"/>
        <v>762</v>
      </c>
      <c r="D687" s="30">
        <f t="shared" si="42"/>
        <v>1.7100000000000002</v>
      </c>
    </row>
    <row r="688" spans="1:4" x14ac:dyDescent="0.4">
      <c r="A688" s="30">
        <f t="shared" si="43"/>
        <v>741</v>
      </c>
      <c r="B688" s="30">
        <f t="shared" si="40"/>
        <v>0.26281208935611039</v>
      </c>
      <c r="C688" s="30">
        <f t="shared" si="41"/>
        <v>763</v>
      </c>
      <c r="D688" s="30">
        <f t="shared" si="42"/>
        <v>1.71225</v>
      </c>
    </row>
    <row r="689" spans="1:4" x14ac:dyDescent="0.4">
      <c r="A689" s="30">
        <f t="shared" si="43"/>
        <v>742</v>
      </c>
      <c r="B689" s="30">
        <f t="shared" si="40"/>
        <v>0.26246719160104987</v>
      </c>
      <c r="C689" s="30">
        <f t="shared" si="41"/>
        <v>764</v>
      </c>
      <c r="D689" s="30">
        <f t="shared" si="42"/>
        <v>1.7145000000000001</v>
      </c>
    </row>
    <row r="690" spans="1:4" x14ac:dyDescent="0.4">
      <c r="A690" s="30">
        <f t="shared" si="43"/>
        <v>743</v>
      </c>
      <c r="B690" s="30">
        <f t="shared" si="40"/>
        <v>0.26212319790301442</v>
      </c>
      <c r="C690" s="30">
        <f t="shared" si="41"/>
        <v>765</v>
      </c>
      <c r="D690" s="30">
        <f t="shared" si="42"/>
        <v>1.7167500000000002</v>
      </c>
    </row>
    <row r="691" spans="1:4" x14ac:dyDescent="0.4">
      <c r="A691" s="30">
        <f t="shared" si="43"/>
        <v>744</v>
      </c>
      <c r="B691" s="30">
        <f t="shared" si="40"/>
        <v>0.26178010471204188</v>
      </c>
      <c r="C691" s="30">
        <f t="shared" si="41"/>
        <v>766</v>
      </c>
      <c r="D691" s="30">
        <f t="shared" si="42"/>
        <v>1.7190000000000001</v>
      </c>
    </row>
    <row r="692" spans="1:4" x14ac:dyDescent="0.4">
      <c r="A692" s="30">
        <f t="shared" si="43"/>
        <v>745</v>
      </c>
      <c r="B692" s="30">
        <f t="shared" si="40"/>
        <v>0.26143790849673204</v>
      </c>
      <c r="C692" s="30">
        <f t="shared" si="41"/>
        <v>767</v>
      </c>
      <c r="D692" s="30">
        <f t="shared" si="42"/>
        <v>1.7212500000000002</v>
      </c>
    </row>
    <row r="693" spans="1:4" x14ac:dyDescent="0.4">
      <c r="A693" s="30">
        <f t="shared" si="43"/>
        <v>746</v>
      </c>
      <c r="B693" s="30">
        <f t="shared" si="40"/>
        <v>0.26109660574412535</v>
      </c>
      <c r="C693" s="30">
        <f t="shared" si="41"/>
        <v>768</v>
      </c>
      <c r="D693" s="30">
        <f t="shared" si="42"/>
        <v>1.7234999999999998</v>
      </c>
    </row>
    <row r="694" spans="1:4" x14ac:dyDescent="0.4">
      <c r="A694" s="30">
        <f t="shared" si="43"/>
        <v>747</v>
      </c>
      <c r="B694" s="30">
        <f t="shared" si="40"/>
        <v>0.2607561929595828</v>
      </c>
      <c r="C694" s="30">
        <f t="shared" si="41"/>
        <v>769</v>
      </c>
      <c r="D694" s="30">
        <f t="shared" si="42"/>
        <v>1.2943125</v>
      </c>
    </row>
    <row r="695" spans="1:4" x14ac:dyDescent="0.4">
      <c r="A695" s="30">
        <f t="shared" si="43"/>
        <v>748</v>
      </c>
      <c r="B695" s="30">
        <f t="shared" si="40"/>
        <v>0.26041666666666669</v>
      </c>
      <c r="C695" s="30">
        <f t="shared" si="41"/>
        <v>770</v>
      </c>
      <c r="D695" s="30">
        <f t="shared" si="42"/>
        <v>1.296</v>
      </c>
    </row>
    <row r="696" spans="1:4" x14ac:dyDescent="0.4">
      <c r="A696" s="30">
        <f t="shared" si="43"/>
        <v>749</v>
      </c>
      <c r="B696" s="30">
        <f t="shared" si="40"/>
        <v>0.26007802340702213</v>
      </c>
      <c r="C696" s="30">
        <f t="shared" si="41"/>
        <v>771</v>
      </c>
      <c r="D696" s="30">
        <f t="shared" si="42"/>
        <v>1.2976874999999999</v>
      </c>
    </row>
    <row r="697" spans="1:4" x14ac:dyDescent="0.4">
      <c r="A697" s="30">
        <f t="shared" si="43"/>
        <v>750</v>
      </c>
      <c r="B697" s="30">
        <f t="shared" si="40"/>
        <v>0.25974025974025972</v>
      </c>
      <c r="C697" s="30">
        <f t="shared" si="41"/>
        <v>772</v>
      </c>
      <c r="D697" s="30">
        <f t="shared" si="42"/>
        <v>1.2993750000000002</v>
      </c>
    </row>
    <row r="698" spans="1:4" x14ac:dyDescent="0.4">
      <c r="A698" s="30">
        <f t="shared" si="43"/>
        <v>751</v>
      </c>
      <c r="B698" s="30">
        <f t="shared" si="40"/>
        <v>0.25940337224383919</v>
      </c>
      <c r="C698" s="30">
        <f t="shared" si="41"/>
        <v>773</v>
      </c>
      <c r="D698" s="30">
        <f t="shared" si="42"/>
        <v>1.3010625</v>
      </c>
    </row>
    <row r="699" spans="1:4" x14ac:dyDescent="0.4">
      <c r="A699" s="30">
        <f t="shared" si="43"/>
        <v>752</v>
      </c>
      <c r="B699" s="30">
        <f t="shared" si="40"/>
        <v>0.25906735751295334</v>
      </c>
      <c r="C699" s="30">
        <f t="shared" si="41"/>
        <v>774</v>
      </c>
      <c r="D699" s="30">
        <f t="shared" si="42"/>
        <v>1.3027500000000003</v>
      </c>
    </row>
    <row r="700" spans="1:4" x14ac:dyDescent="0.4">
      <c r="A700" s="30">
        <f t="shared" si="43"/>
        <v>753</v>
      </c>
      <c r="B700" s="30">
        <f t="shared" si="40"/>
        <v>0.25873221216041398</v>
      </c>
      <c r="C700" s="30">
        <f t="shared" si="41"/>
        <v>775</v>
      </c>
      <c r="D700" s="30">
        <f t="shared" si="42"/>
        <v>1.3044375000000001</v>
      </c>
    </row>
    <row r="701" spans="1:4" x14ac:dyDescent="0.4">
      <c r="A701" s="30">
        <f t="shared" si="43"/>
        <v>754</v>
      </c>
      <c r="B701" s="30">
        <f t="shared" si="40"/>
        <v>0.25839793281653745</v>
      </c>
      <c r="C701" s="30">
        <f t="shared" si="41"/>
        <v>776</v>
      </c>
      <c r="D701" s="30">
        <f t="shared" si="42"/>
        <v>1.3061250000000002</v>
      </c>
    </row>
    <row r="702" spans="1:4" x14ac:dyDescent="0.4">
      <c r="A702" s="30">
        <f t="shared" si="43"/>
        <v>755</v>
      </c>
      <c r="B702" s="30">
        <f t="shared" si="40"/>
        <v>0.25806451612903225</v>
      </c>
      <c r="C702" s="30">
        <f t="shared" si="41"/>
        <v>777</v>
      </c>
      <c r="D702" s="30">
        <f t="shared" si="42"/>
        <v>1.3078125</v>
      </c>
    </row>
    <row r="703" spans="1:4" x14ac:dyDescent="0.4">
      <c r="A703" s="30">
        <f t="shared" si="43"/>
        <v>756</v>
      </c>
      <c r="B703" s="30">
        <f t="shared" si="40"/>
        <v>0.25773195876288657</v>
      </c>
      <c r="C703" s="30">
        <f t="shared" si="41"/>
        <v>778</v>
      </c>
      <c r="D703" s="30">
        <f t="shared" si="42"/>
        <v>1.3095000000000003</v>
      </c>
    </row>
    <row r="704" spans="1:4" x14ac:dyDescent="0.4">
      <c r="A704" s="30">
        <f t="shared" si="43"/>
        <v>757</v>
      </c>
      <c r="B704" s="30">
        <f t="shared" si="40"/>
        <v>0.2574002574002574</v>
      </c>
      <c r="C704" s="30">
        <f t="shared" si="41"/>
        <v>779</v>
      </c>
      <c r="D704" s="30">
        <f t="shared" si="42"/>
        <v>1.3111875000000002</v>
      </c>
    </row>
    <row r="705" spans="1:4" x14ac:dyDescent="0.4">
      <c r="A705" s="30">
        <f t="shared" si="43"/>
        <v>758</v>
      </c>
      <c r="B705" s="30">
        <f t="shared" si="40"/>
        <v>0.25706940874035988</v>
      </c>
      <c r="C705" s="30">
        <f t="shared" si="41"/>
        <v>780</v>
      </c>
      <c r="D705" s="30">
        <f t="shared" si="42"/>
        <v>1.3128750000000002</v>
      </c>
    </row>
    <row r="706" spans="1:4" x14ac:dyDescent="0.4">
      <c r="A706" s="30">
        <f t="shared" si="43"/>
        <v>759</v>
      </c>
      <c r="B706" s="30">
        <f t="shared" si="40"/>
        <v>0.25673940949935814</v>
      </c>
      <c r="C706" s="30">
        <f t="shared" si="41"/>
        <v>781</v>
      </c>
      <c r="D706" s="30">
        <f t="shared" si="42"/>
        <v>1.3145625000000001</v>
      </c>
    </row>
    <row r="707" spans="1:4" x14ac:dyDescent="0.4">
      <c r="A707" s="30">
        <f t="shared" si="43"/>
        <v>760</v>
      </c>
      <c r="B707" s="30">
        <f t="shared" si="40"/>
        <v>0.25641025641025639</v>
      </c>
      <c r="C707" s="30">
        <f t="shared" si="41"/>
        <v>782</v>
      </c>
      <c r="D707" s="30">
        <f t="shared" si="42"/>
        <v>1.3162500000000001</v>
      </c>
    </row>
    <row r="708" spans="1:4" x14ac:dyDescent="0.4">
      <c r="A708" s="30">
        <f t="shared" si="43"/>
        <v>761</v>
      </c>
      <c r="B708" s="30">
        <f t="shared" si="40"/>
        <v>0.25608194622279129</v>
      </c>
      <c r="C708" s="30">
        <f t="shared" si="41"/>
        <v>783</v>
      </c>
      <c r="D708" s="30">
        <f t="shared" si="42"/>
        <v>1.3179375000000002</v>
      </c>
    </row>
    <row r="709" spans="1:4" x14ac:dyDescent="0.4">
      <c r="A709" s="30">
        <f t="shared" si="43"/>
        <v>762</v>
      </c>
      <c r="B709" s="30">
        <f t="shared" si="40"/>
        <v>0.25575447570332482</v>
      </c>
      <c r="C709" s="30">
        <f t="shared" si="41"/>
        <v>784</v>
      </c>
      <c r="D709" s="30">
        <f t="shared" si="42"/>
        <v>1.319625</v>
      </c>
    </row>
    <row r="710" spans="1:4" x14ac:dyDescent="0.4">
      <c r="A710" s="30">
        <f t="shared" si="43"/>
        <v>763</v>
      </c>
      <c r="B710" s="30">
        <f t="shared" si="40"/>
        <v>0.2554278416347382</v>
      </c>
      <c r="C710" s="30">
        <f t="shared" si="41"/>
        <v>785</v>
      </c>
      <c r="D710" s="30">
        <f t="shared" si="42"/>
        <v>1.3213125000000001</v>
      </c>
    </row>
    <row r="711" spans="1:4" x14ac:dyDescent="0.4">
      <c r="A711" s="30">
        <f t="shared" si="43"/>
        <v>764</v>
      </c>
      <c r="B711" s="30">
        <f t="shared" si="40"/>
        <v>0.25510204081632654</v>
      </c>
      <c r="C711" s="30">
        <f t="shared" si="41"/>
        <v>786</v>
      </c>
      <c r="D711" s="30">
        <f t="shared" si="42"/>
        <v>1.323</v>
      </c>
    </row>
    <row r="712" spans="1:4" x14ac:dyDescent="0.4">
      <c r="A712" s="30">
        <f t="shared" si="43"/>
        <v>765</v>
      </c>
      <c r="B712" s="30">
        <f t="shared" si="40"/>
        <v>0.25477707006369427</v>
      </c>
      <c r="C712" s="30">
        <f t="shared" si="41"/>
        <v>787</v>
      </c>
      <c r="D712" s="30">
        <f t="shared" si="42"/>
        <v>1.3246875</v>
      </c>
    </row>
    <row r="713" spans="1:4" x14ac:dyDescent="0.4">
      <c r="A713" s="30">
        <f t="shared" si="43"/>
        <v>766</v>
      </c>
      <c r="B713" s="30">
        <f t="shared" si="40"/>
        <v>0.2544529262086514</v>
      </c>
      <c r="C713" s="30">
        <f t="shared" si="41"/>
        <v>788</v>
      </c>
      <c r="D713" s="30">
        <f t="shared" si="42"/>
        <v>1.3263750000000001</v>
      </c>
    </row>
    <row r="714" spans="1:4" x14ac:dyDescent="0.4">
      <c r="A714" s="30">
        <f t="shared" si="43"/>
        <v>767</v>
      </c>
      <c r="B714" s="30">
        <f t="shared" si="40"/>
        <v>0.25412960609911056</v>
      </c>
      <c r="C714" s="30">
        <f t="shared" si="41"/>
        <v>789</v>
      </c>
      <c r="D714" s="30">
        <f t="shared" si="42"/>
        <v>1.3280624999999999</v>
      </c>
    </row>
    <row r="715" spans="1:4" x14ac:dyDescent="0.4">
      <c r="A715" s="30">
        <f t="shared" si="43"/>
        <v>768</v>
      </c>
      <c r="B715" s="30">
        <f t="shared" ref="B715:B778" si="44">$B$4/8/(A715+$B$2)</f>
        <v>0.25380710659898476</v>
      </c>
      <c r="C715" s="30">
        <f t="shared" si="41"/>
        <v>790</v>
      </c>
      <c r="D715" s="30">
        <f t="shared" si="42"/>
        <v>1.3297500000000002</v>
      </c>
    </row>
    <row r="716" spans="1:4" x14ac:dyDescent="0.4">
      <c r="A716" s="30">
        <f t="shared" si="43"/>
        <v>769</v>
      </c>
      <c r="B716" s="30">
        <f t="shared" si="44"/>
        <v>0.25348542458808621</v>
      </c>
      <c r="C716" s="30">
        <f t="shared" ref="C716:C779" si="45">A716+$E$6</f>
        <v>791</v>
      </c>
      <c r="D716" s="30">
        <f t="shared" ref="D716:D779" si="46">$H$3/B716/CEILING(C716/$H$2,1)</f>
        <v>1.3314375000000001</v>
      </c>
    </row>
    <row r="717" spans="1:4" x14ac:dyDescent="0.4">
      <c r="A717" s="30">
        <f t="shared" ref="A717:A780" si="47">A716+$B$3</f>
        <v>770</v>
      </c>
      <c r="B717" s="30">
        <f t="shared" si="44"/>
        <v>0.25316455696202533</v>
      </c>
      <c r="C717" s="30">
        <f t="shared" si="45"/>
        <v>792</v>
      </c>
      <c r="D717" s="30">
        <f t="shared" si="46"/>
        <v>1.3331249999999999</v>
      </c>
    </row>
    <row r="718" spans="1:4" x14ac:dyDescent="0.4">
      <c r="A718" s="30">
        <f t="shared" si="47"/>
        <v>771</v>
      </c>
      <c r="B718" s="30">
        <f t="shared" si="44"/>
        <v>0.25284450063211122</v>
      </c>
      <c r="C718" s="30">
        <f t="shared" si="45"/>
        <v>793</v>
      </c>
      <c r="D718" s="30">
        <f t="shared" si="46"/>
        <v>1.3348125000000002</v>
      </c>
    </row>
    <row r="719" spans="1:4" x14ac:dyDescent="0.4">
      <c r="A719" s="30">
        <f t="shared" si="47"/>
        <v>772</v>
      </c>
      <c r="B719" s="30">
        <f t="shared" si="44"/>
        <v>0.25252525252525254</v>
      </c>
      <c r="C719" s="30">
        <f t="shared" si="45"/>
        <v>794</v>
      </c>
      <c r="D719" s="30">
        <f t="shared" si="46"/>
        <v>1.3365</v>
      </c>
    </row>
    <row r="720" spans="1:4" x14ac:dyDescent="0.4">
      <c r="A720" s="30">
        <f t="shared" si="47"/>
        <v>773</v>
      </c>
      <c r="B720" s="30">
        <f t="shared" si="44"/>
        <v>0.25220680958385877</v>
      </c>
      <c r="C720" s="30">
        <f t="shared" si="45"/>
        <v>795</v>
      </c>
      <c r="D720" s="30">
        <f t="shared" si="46"/>
        <v>1.3381875000000001</v>
      </c>
    </row>
    <row r="721" spans="1:4" x14ac:dyDescent="0.4">
      <c r="A721" s="30">
        <f t="shared" si="47"/>
        <v>774</v>
      </c>
      <c r="B721" s="30">
        <f t="shared" si="44"/>
        <v>0.25188916876574308</v>
      </c>
      <c r="C721" s="30">
        <f t="shared" si="45"/>
        <v>796</v>
      </c>
      <c r="D721" s="30">
        <f t="shared" si="46"/>
        <v>1.3398750000000001</v>
      </c>
    </row>
    <row r="722" spans="1:4" x14ac:dyDescent="0.4">
      <c r="A722" s="30">
        <f t="shared" si="47"/>
        <v>775</v>
      </c>
      <c r="B722" s="30">
        <f t="shared" si="44"/>
        <v>0.25157232704402516</v>
      </c>
      <c r="C722" s="30">
        <f t="shared" si="45"/>
        <v>797</v>
      </c>
      <c r="D722" s="30">
        <f t="shared" si="46"/>
        <v>1.3415625</v>
      </c>
    </row>
    <row r="723" spans="1:4" x14ac:dyDescent="0.4">
      <c r="A723" s="30">
        <f t="shared" si="47"/>
        <v>776</v>
      </c>
      <c r="B723" s="30">
        <f t="shared" si="44"/>
        <v>0.25125628140703515</v>
      </c>
      <c r="C723" s="30">
        <f t="shared" si="45"/>
        <v>798</v>
      </c>
      <c r="D723" s="30">
        <f t="shared" si="46"/>
        <v>1.3432500000000003</v>
      </c>
    </row>
    <row r="724" spans="1:4" x14ac:dyDescent="0.4">
      <c r="A724" s="30">
        <f t="shared" si="47"/>
        <v>777</v>
      </c>
      <c r="B724" s="30">
        <f t="shared" si="44"/>
        <v>0.25094102885821834</v>
      </c>
      <c r="C724" s="30">
        <f t="shared" si="45"/>
        <v>799</v>
      </c>
      <c r="D724" s="30">
        <f t="shared" si="46"/>
        <v>1.3449374999999999</v>
      </c>
    </row>
    <row r="725" spans="1:4" x14ac:dyDescent="0.4">
      <c r="A725" s="30">
        <f t="shared" si="47"/>
        <v>778</v>
      </c>
      <c r="B725" s="30">
        <f t="shared" si="44"/>
        <v>0.25062656641604009</v>
      </c>
      <c r="C725" s="30">
        <f t="shared" si="45"/>
        <v>800</v>
      </c>
      <c r="D725" s="30">
        <f t="shared" si="46"/>
        <v>1.3466250000000002</v>
      </c>
    </row>
    <row r="726" spans="1:4" x14ac:dyDescent="0.4">
      <c r="A726" s="30">
        <f t="shared" si="47"/>
        <v>779</v>
      </c>
      <c r="B726" s="30">
        <f t="shared" si="44"/>
        <v>0.25031289111389238</v>
      </c>
      <c r="C726" s="30">
        <f t="shared" si="45"/>
        <v>801</v>
      </c>
      <c r="D726" s="30">
        <f t="shared" si="46"/>
        <v>1.3483125</v>
      </c>
    </row>
    <row r="727" spans="1:4" x14ac:dyDescent="0.4">
      <c r="A727" s="30">
        <f t="shared" si="47"/>
        <v>780</v>
      </c>
      <c r="B727" s="30">
        <f t="shared" si="44"/>
        <v>0.25</v>
      </c>
      <c r="C727" s="30">
        <f t="shared" si="45"/>
        <v>802</v>
      </c>
      <c r="D727" s="30">
        <f t="shared" si="46"/>
        <v>1.35</v>
      </c>
    </row>
    <row r="728" spans="1:4" x14ac:dyDescent="0.4">
      <c r="A728" s="30">
        <f t="shared" si="47"/>
        <v>781</v>
      </c>
      <c r="B728" s="30">
        <f t="shared" si="44"/>
        <v>0.24968789013732834</v>
      </c>
      <c r="C728" s="30">
        <f t="shared" si="45"/>
        <v>803</v>
      </c>
      <c r="D728" s="30">
        <f t="shared" si="46"/>
        <v>1.3516875000000002</v>
      </c>
    </row>
    <row r="729" spans="1:4" x14ac:dyDescent="0.4">
      <c r="A729" s="30">
        <f t="shared" si="47"/>
        <v>782</v>
      </c>
      <c r="B729" s="30">
        <f t="shared" si="44"/>
        <v>0.24937655860349128</v>
      </c>
      <c r="C729" s="30">
        <f t="shared" si="45"/>
        <v>804</v>
      </c>
      <c r="D729" s="30">
        <f t="shared" si="46"/>
        <v>1.353375</v>
      </c>
    </row>
    <row r="730" spans="1:4" x14ac:dyDescent="0.4">
      <c r="A730" s="30">
        <f t="shared" si="47"/>
        <v>783</v>
      </c>
      <c r="B730" s="30">
        <f t="shared" si="44"/>
        <v>0.24906600249066002</v>
      </c>
      <c r="C730" s="30">
        <f t="shared" si="45"/>
        <v>805</v>
      </c>
      <c r="D730" s="30">
        <f t="shared" si="46"/>
        <v>1.3550625000000001</v>
      </c>
    </row>
    <row r="731" spans="1:4" x14ac:dyDescent="0.4">
      <c r="A731" s="30">
        <f t="shared" si="47"/>
        <v>784</v>
      </c>
      <c r="B731" s="30">
        <f t="shared" si="44"/>
        <v>0.24875621890547264</v>
      </c>
      <c r="C731" s="30">
        <f t="shared" si="45"/>
        <v>806</v>
      </c>
      <c r="D731" s="30">
        <f t="shared" si="46"/>
        <v>1.3567500000000001</v>
      </c>
    </row>
    <row r="732" spans="1:4" x14ac:dyDescent="0.4">
      <c r="A732" s="30">
        <f t="shared" si="47"/>
        <v>785</v>
      </c>
      <c r="B732" s="30">
        <f t="shared" si="44"/>
        <v>0.2484472049689441</v>
      </c>
      <c r="C732" s="30">
        <f t="shared" si="45"/>
        <v>807</v>
      </c>
      <c r="D732" s="30">
        <f t="shared" si="46"/>
        <v>1.3584375000000002</v>
      </c>
    </row>
    <row r="733" spans="1:4" x14ac:dyDescent="0.4">
      <c r="A733" s="30">
        <f t="shared" si="47"/>
        <v>786</v>
      </c>
      <c r="B733" s="30">
        <f t="shared" si="44"/>
        <v>0.24813895781637718</v>
      </c>
      <c r="C733" s="30">
        <f t="shared" si="45"/>
        <v>808</v>
      </c>
      <c r="D733" s="30">
        <f t="shared" si="46"/>
        <v>1.360125</v>
      </c>
    </row>
    <row r="734" spans="1:4" x14ac:dyDescent="0.4">
      <c r="A734" s="30">
        <f t="shared" si="47"/>
        <v>787</v>
      </c>
      <c r="B734" s="30">
        <f t="shared" si="44"/>
        <v>0.24783147459727387</v>
      </c>
      <c r="C734" s="30">
        <f t="shared" si="45"/>
        <v>809</v>
      </c>
      <c r="D734" s="30">
        <f t="shared" si="46"/>
        <v>1.3618125000000001</v>
      </c>
    </row>
    <row r="735" spans="1:4" x14ac:dyDescent="0.4">
      <c r="A735" s="30">
        <f t="shared" si="47"/>
        <v>788</v>
      </c>
      <c r="B735" s="30">
        <f t="shared" si="44"/>
        <v>0.24752475247524752</v>
      </c>
      <c r="C735" s="30">
        <f t="shared" si="45"/>
        <v>810</v>
      </c>
      <c r="D735" s="30">
        <f t="shared" si="46"/>
        <v>1.3635000000000002</v>
      </c>
    </row>
    <row r="736" spans="1:4" x14ac:dyDescent="0.4">
      <c r="A736" s="30">
        <f t="shared" si="47"/>
        <v>789</v>
      </c>
      <c r="B736" s="30">
        <f t="shared" si="44"/>
        <v>0.24721878862793573</v>
      </c>
      <c r="C736" s="30">
        <f t="shared" si="45"/>
        <v>811</v>
      </c>
      <c r="D736" s="30">
        <f t="shared" si="46"/>
        <v>1.3651875</v>
      </c>
    </row>
    <row r="737" spans="1:4" x14ac:dyDescent="0.4">
      <c r="A737" s="30">
        <f t="shared" si="47"/>
        <v>790</v>
      </c>
      <c r="B737" s="30">
        <f t="shared" si="44"/>
        <v>0.24691358024691357</v>
      </c>
      <c r="C737" s="30">
        <f t="shared" si="45"/>
        <v>812</v>
      </c>
      <c r="D737" s="30">
        <f t="shared" si="46"/>
        <v>1.3668750000000001</v>
      </c>
    </row>
    <row r="738" spans="1:4" x14ac:dyDescent="0.4">
      <c r="A738" s="30">
        <f t="shared" si="47"/>
        <v>791</v>
      </c>
      <c r="B738" s="30">
        <f t="shared" si="44"/>
        <v>0.24660912453760789</v>
      </c>
      <c r="C738" s="30">
        <f t="shared" si="45"/>
        <v>813</v>
      </c>
      <c r="D738" s="30">
        <f t="shared" si="46"/>
        <v>1.3685625000000001</v>
      </c>
    </row>
    <row r="739" spans="1:4" x14ac:dyDescent="0.4">
      <c r="A739" s="30">
        <f t="shared" si="47"/>
        <v>792</v>
      </c>
      <c r="B739" s="30">
        <f t="shared" si="44"/>
        <v>0.24630541871921183</v>
      </c>
      <c r="C739" s="30">
        <f t="shared" si="45"/>
        <v>814</v>
      </c>
      <c r="D739" s="30">
        <f t="shared" si="46"/>
        <v>1.37025</v>
      </c>
    </row>
    <row r="740" spans="1:4" x14ac:dyDescent="0.4">
      <c r="A740" s="30">
        <f t="shared" si="47"/>
        <v>793</v>
      </c>
      <c r="B740" s="30">
        <f t="shared" si="44"/>
        <v>0.24600246002460024</v>
      </c>
      <c r="C740" s="30">
        <f t="shared" si="45"/>
        <v>815</v>
      </c>
      <c r="D740" s="30">
        <f t="shared" si="46"/>
        <v>1.3719375</v>
      </c>
    </row>
    <row r="741" spans="1:4" x14ac:dyDescent="0.4">
      <c r="A741" s="30">
        <f t="shared" si="47"/>
        <v>794</v>
      </c>
      <c r="B741" s="30">
        <f t="shared" si="44"/>
        <v>0.24570024570024571</v>
      </c>
      <c r="C741" s="30">
        <f t="shared" si="45"/>
        <v>816</v>
      </c>
      <c r="D741" s="30">
        <f t="shared" si="46"/>
        <v>1.3736250000000001</v>
      </c>
    </row>
    <row r="742" spans="1:4" x14ac:dyDescent="0.4">
      <c r="A742" s="30">
        <f t="shared" si="47"/>
        <v>795</v>
      </c>
      <c r="B742" s="30">
        <f t="shared" si="44"/>
        <v>0.24539877300613497</v>
      </c>
      <c r="C742" s="30">
        <f t="shared" si="45"/>
        <v>817</v>
      </c>
      <c r="D742" s="30">
        <f t="shared" si="46"/>
        <v>1.3753125000000002</v>
      </c>
    </row>
    <row r="743" spans="1:4" x14ac:dyDescent="0.4">
      <c r="A743" s="30">
        <f t="shared" si="47"/>
        <v>796</v>
      </c>
      <c r="B743" s="30">
        <f t="shared" si="44"/>
        <v>0.24509803921568626</v>
      </c>
      <c r="C743" s="30">
        <f t="shared" si="45"/>
        <v>818</v>
      </c>
      <c r="D743" s="30">
        <f t="shared" si="46"/>
        <v>1.3770000000000002</v>
      </c>
    </row>
    <row r="744" spans="1:4" x14ac:dyDescent="0.4">
      <c r="A744" s="30">
        <f t="shared" si="47"/>
        <v>797</v>
      </c>
      <c r="B744" s="30">
        <f t="shared" si="44"/>
        <v>0.24479804161566707</v>
      </c>
      <c r="C744" s="30">
        <f t="shared" si="45"/>
        <v>819</v>
      </c>
      <c r="D744" s="30">
        <f t="shared" si="46"/>
        <v>1.3786875000000001</v>
      </c>
    </row>
    <row r="745" spans="1:4" x14ac:dyDescent="0.4">
      <c r="A745" s="30">
        <f t="shared" si="47"/>
        <v>798</v>
      </c>
      <c r="B745" s="30">
        <f t="shared" si="44"/>
        <v>0.24449877750611246</v>
      </c>
      <c r="C745" s="30">
        <f t="shared" si="45"/>
        <v>820</v>
      </c>
      <c r="D745" s="30">
        <f t="shared" si="46"/>
        <v>1.3803750000000001</v>
      </c>
    </row>
    <row r="746" spans="1:4" x14ac:dyDescent="0.4">
      <c r="A746" s="30">
        <f t="shared" si="47"/>
        <v>799</v>
      </c>
      <c r="B746" s="30">
        <f t="shared" si="44"/>
        <v>0.24420024420024419</v>
      </c>
      <c r="C746" s="30">
        <f t="shared" si="45"/>
        <v>821</v>
      </c>
      <c r="D746" s="30">
        <f t="shared" si="46"/>
        <v>1.3820625000000002</v>
      </c>
    </row>
    <row r="747" spans="1:4" x14ac:dyDescent="0.4">
      <c r="A747" s="30">
        <f t="shared" si="47"/>
        <v>800</v>
      </c>
      <c r="B747" s="30">
        <f t="shared" si="44"/>
        <v>0.24390243902439024</v>
      </c>
      <c r="C747" s="30">
        <f t="shared" si="45"/>
        <v>822</v>
      </c>
      <c r="D747" s="30">
        <f t="shared" si="46"/>
        <v>1.38375</v>
      </c>
    </row>
    <row r="748" spans="1:4" x14ac:dyDescent="0.4">
      <c r="A748" s="30">
        <f t="shared" si="47"/>
        <v>801</v>
      </c>
      <c r="B748" s="30">
        <f t="shared" si="44"/>
        <v>0.243605359317905</v>
      </c>
      <c r="C748" s="30">
        <f t="shared" si="45"/>
        <v>823</v>
      </c>
      <c r="D748" s="30">
        <f t="shared" si="46"/>
        <v>1.3854375000000001</v>
      </c>
    </row>
    <row r="749" spans="1:4" x14ac:dyDescent="0.4">
      <c r="A749" s="30">
        <f t="shared" si="47"/>
        <v>802</v>
      </c>
      <c r="B749" s="30">
        <f t="shared" si="44"/>
        <v>0.24330900243309003</v>
      </c>
      <c r="C749" s="30">
        <f t="shared" si="45"/>
        <v>824</v>
      </c>
      <c r="D749" s="30">
        <f t="shared" si="46"/>
        <v>1.3871249999999999</v>
      </c>
    </row>
    <row r="750" spans="1:4" x14ac:dyDescent="0.4">
      <c r="A750" s="30">
        <f t="shared" si="47"/>
        <v>803</v>
      </c>
      <c r="B750" s="30">
        <f t="shared" si="44"/>
        <v>0.24301336573511542</v>
      </c>
      <c r="C750" s="30">
        <f t="shared" si="45"/>
        <v>825</v>
      </c>
      <c r="D750" s="30">
        <f t="shared" si="46"/>
        <v>1.3888125000000002</v>
      </c>
    </row>
    <row r="751" spans="1:4" x14ac:dyDescent="0.4">
      <c r="A751" s="30">
        <f t="shared" si="47"/>
        <v>804</v>
      </c>
      <c r="B751" s="30">
        <f t="shared" si="44"/>
        <v>0.24271844660194175</v>
      </c>
      <c r="C751" s="30">
        <f t="shared" si="45"/>
        <v>826</v>
      </c>
      <c r="D751" s="30">
        <f t="shared" si="46"/>
        <v>1.3905000000000001</v>
      </c>
    </row>
    <row r="752" spans="1:4" x14ac:dyDescent="0.4">
      <c r="A752" s="30">
        <f t="shared" si="47"/>
        <v>805</v>
      </c>
      <c r="B752" s="30">
        <f t="shared" si="44"/>
        <v>0.24242424242424243</v>
      </c>
      <c r="C752" s="30">
        <f t="shared" si="45"/>
        <v>827</v>
      </c>
      <c r="D752" s="30">
        <f t="shared" si="46"/>
        <v>1.3921875000000001</v>
      </c>
    </row>
    <row r="753" spans="1:4" x14ac:dyDescent="0.4">
      <c r="A753" s="30">
        <f t="shared" si="47"/>
        <v>806</v>
      </c>
      <c r="B753" s="30">
        <f t="shared" si="44"/>
        <v>0.24213075060532688</v>
      </c>
      <c r="C753" s="30">
        <f t="shared" si="45"/>
        <v>828</v>
      </c>
      <c r="D753" s="30">
        <f t="shared" si="46"/>
        <v>1.393875</v>
      </c>
    </row>
    <row r="754" spans="1:4" x14ac:dyDescent="0.4">
      <c r="A754" s="30">
        <f t="shared" si="47"/>
        <v>807</v>
      </c>
      <c r="B754" s="30">
        <f t="shared" si="44"/>
        <v>0.2418379685610641</v>
      </c>
      <c r="C754" s="30">
        <f t="shared" si="45"/>
        <v>829</v>
      </c>
      <c r="D754" s="30">
        <f t="shared" si="46"/>
        <v>1.3955625</v>
      </c>
    </row>
    <row r="755" spans="1:4" x14ac:dyDescent="0.4">
      <c r="A755" s="30">
        <f t="shared" si="47"/>
        <v>808</v>
      </c>
      <c r="B755" s="30">
        <f t="shared" si="44"/>
        <v>0.24154589371980675</v>
      </c>
      <c r="C755" s="30">
        <f t="shared" si="45"/>
        <v>830</v>
      </c>
      <c r="D755" s="30">
        <f t="shared" si="46"/>
        <v>1.3972500000000001</v>
      </c>
    </row>
    <row r="756" spans="1:4" x14ac:dyDescent="0.4">
      <c r="A756" s="30">
        <f t="shared" si="47"/>
        <v>809</v>
      </c>
      <c r="B756" s="30">
        <f t="shared" si="44"/>
        <v>0.24125452352231605</v>
      </c>
      <c r="C756" s="30">
        <f t="shared" si="45"/>
        <v>831</v>
      </c>
      <c r="D756" s="30">
        <f t="shared" si="46"/>
        <v>1.3989374999999999</v>
      </c>
    </row>
    <row r="757" spans="1:4" x14ac:dyDescent="0.4">
      <c r="A757" s="30">
        <f t="shared" si="47"/>
        <v>810</v>
      </c>
      <c r="B757" s="30">
        <f t="shared" si="44"/>
        <v>0.24096385542168675</v>
      </c>
      <c r="C757" s="30">
        <f t="shared" si="45"/>
        <v>832</v>
      </c>
      <c r="D757" s="30">
        <f t="shared" si="46"/>
        <v>1.400625</v>
      </c>
    </row>
    <row r="758" spans="1:4" x14ac:dyDescent="0.4">
      <c r="A758" s="30">
        <f t="shared" si="47"/>
        <v>811</v>
      </c>
      <c r="B758" s="30">
        <f t="shared" si="44"/>
        <v>0.24067388688327315</v>
      </c>
      <c r="C758" s="30">
        <f t="shared" si="45"/>
        <v>833</v>
      </c>
      <c r="D758" s="30">
        <f t="shared" si="46"/>
        <v>1.4023125000000001</v>
      </c>
    </row>
    <row r="759" spans="1:4" x14ac:dyDescent="0.4">
      <c r="A759" s="30">
        <f t="shared" si="47"/>
        <v>812</v>
      </c>
      <c r="B759" s="30">
        <f t="shared" si="44"/>
        <v>0.24038461538461539</v>
      </c>
      <c r="C759" s="30">
        <f t="shared" si="45"/>
        <v>834</v>
      </c>
      <c r="D759" s="30">
        <f t="shared" si="46"/>
        <v>1.4040000000000001</v>
      </c>
    </row>
    <row r="760" spans="1:4" x14ac:dyDescent="0.4">
      <c r="A760" s="30">
        <f t="shared" si="47"/>
        <v>813</v>
      </c>
      <c r="B760" s="30">
        <f t="shared" si="44"/>
        <v>0.24009603841536614</v>
      </c>
      <c r="C760" s="30">
        <f t="shared" si="45"/>
        <v>835</v>
      </c>
      <c r="D760" s="30">
        <f t="shared" si="46"/>
        <v>1.4056875000000002</v>
      </c>
    </row>
    <row r="761" spans="1:4" x14ac:dyDescent="0.4">
      <c r="A761" s="30">
        <f t="shared" si="47"/>
        <v>814</v>
      </c>
      <c r="B761" s="30">
        <f t="shared" si="44"/>
        <v>0.23980815347721823</v>
      </c>
      <c r="C761" s="30">
        <f t="shared" si="45"/>
        <v>836</v>
      </c>
      <c r="D761" s="30">
        <f t="shared" si="46"/>
        <v>1.407375</v>
      </c>
    </row>
    <row r="762" spans="1:4" x14ac:dyDescent="0.4">
      <c r="A762" s="30">
        <f t="shared" si="47"/>
        <v>815</v>
      </c>
      <c r="B762" s="30">
        <f t="shared" si="44"/>
        <v>0.23952095808383234</v>
      </c>
      <c r="C762" s="30">
        <f t="shared" si="45"/>
        <v>837</v>
      </c>
      <c r="D762" s="30">
        <f t="shared" si="46"/>
        <v>1.4090625000000001</v>
      </c>
    </row>
    <row r="763" spans="1:4" x14ac:dyDescent="0.4">
      <c r="A763" s="30">
        <f t="shared" si="47"/>
        <v>816</v>
      </c>
      <c r="B763" s="30">
        <f t="shared" si="44"/>
        <v>0.23923444976076555</v>
      </c>
      <c r="C763" s="30">
        <f t="shared" si="45"/>
        <v>838</v>
      </c>
      <c r="D763" s="30">
        <f t="shared" si="46"/>
        <v>1.4107500000000002</v>
      </c>
    </row>
    <row r="764" spans="1:4" x14ac:dyDescent="0.4">
      <c r="A764" s="30">
        <f t="shared" si="47"/>
        <v>817</v>
      </c>
      <c r="B764" s="30">
        <f t="shared" si="44"/>
        <v>0.23894862604540024</v>
      </c>
      <c r="C764" s="30">
        <f t="shared" si="45"/>
        <v>839</v>
      </c>
      <c r="D764" s="30">
        <f t="shared" si="46"/>
        <v>1.4124375</v>
      </c>
    </row>
    <row r="765" spans="1:4" x14ac:dyDescent="0.4">
      <c r="A765" s="30">
        <f t="shared" si="47"/>
        <v>818</v>
      </c>
      <c r="B765" s="30">
        <f t="shared" si="44"/>
        <v>0.2386634844868735</v>
      </c>
      <c r="C765" s="30">
        <f t="shared" si="45"/>
        <v>840</v>
      </c>
      <c r="D765" s="30">
        <f t="shared" si="46"/>
        <v>1.4141250000000001</v>
      </c>
    </row>
    <row r="766" spans="1:4" x14ac:dyDescent="0.4">
      <c r="A766" s="30">
        <f t="shared" si="47"/>
        <v>819</v>
      </c>
      <c r="B766" s="30">
        <f t="shared" si="44"/>
        <v>0.23837902264600716</v>
      </c>
      <c r="C766" s="30">
        <f t="shared" si="45"/>
        <v>841</v>
      </c>
      <c r="D766" s="30">
        <f t="shared" si="46"/>
        <v>1.4158125000000001</v>
      </c>
    </row>
    <row r="767" spans="1:4" x14ac:dyDescent="0.4">
      <c r="A767" s="30">
        <f t="shared" si="47"/>
        <v>820</v>
      </c>
      <c r="B767" s="30">
        <f t="shared" si="44"/>
        <v>0.23809523809523808</v>
      </c>
      <c r="C767" s="30">
        <f t="shared" si="45"/>
        <v>842</v>
      </c>
      <c r="D767" s="30">
        <f t="shared" si="46"/>
        <v>1.4175000000000002</v>
      </c>
    </row>
    <row r="768" spans="1:4" x14ac:dyDescent="0.4">
      <c r="A768" s="30">
        <f t="shared" si="47"/>
        <v>821</v>
      </c>
      <c r="B768" s="30">
        <f t="shared" si="44"/>
        <v>0.23781212841854935</v>
      </c>
      <c r="C768" s="30">
        <f t="shared" si="45"/>
        <v>843</v>
      </c>
      <c r="D768" s="30">
        <f t="shared" si="46"/>
        <v>1.4191875</v>
      </c>
    </row>
    <row r="769" spans="1:4" x14ac:dyDescent="0.4">
      <c r="A769" s="30">
        <f t="shared" si="47"/>
        <v>822</v>
      </c>
      <c r="B769" s="30">
        <f t="shared" si="44"/>
        <v>0.23752969121140141</v>
      </c>
      <c r="C769" s="30">
        <f t="shared" si="45"/>
        <v>844</v>
      </c>
      <c r="D769" s="30">
        <f t="shared" si="46"/>
        <v>1.4208750000000001</v>
      </c>
    </row>
    <row r="770" spans="1:4" x14ac:dyDescent="0.4">
      <c r="A770" s="30">
        <f t="shared" si="47"/>
        <v>823</v>
      </c>
      <c r="B770" s="30">
        <f t="shared" si="44"/>
        <v>0.23724792408066431</v>
      </c>
      <c r="C770" s="30">
        <f t="shared" si="45"/>
        <v>845</v>
      </c>
      <c r="D770" s="30">
        <f t="shared" si="46"/>
        <v>1.4225625</v>
      </c>
    </row>
    <row r="771" spans="1:4" x14ac:dyDescent="0.4">
      <c r="A771" s="30">
        <f t="shared" si="47"/>
        <v>824</v>
      </c>
      <c r="B771" s="30">
        <f t="shared" si="44"/>
        <v>0.23696682464454977</v>
      </c>
      <c r="C771" s="30">
        <f t="shared" si="45"/>
        <v>846</v>
      </c>
      <c r="D771" s="30">
        <f t="shared" si="46"/>
        <v>1.42425</v>
      </c>
    </row>
    <row r="772" spans="1:4" x14ac:dyDescent="0.4">
      <c r="A772" s="30">
        <f t="shared" si="47"/>
        <v>825</v>
      </c>
      <c r="B772" s="30">
        <f t="shared" si="44"/>
        <v>0.23668639053254437</v>
      </c>
      <c r="C772" s="30">
        <f t="shared" si="45"/>
        <v>847</v>
      </c>
      <c r="D772" s="30">
        <f t="shared" si="46"/>
        <v>1.4259375000000001</v>
      </c>
    </row>
    <row r="773" spans="1:4" x14ac:dyDescent="0.4">
      <c r="A773" s="30">
        <f t="shared" si="47"/>
        <v>826</v>
      </c>
      <c r="B773" s="30">
        <f t="shared" si="44"/>
        <v>0.2364066193853428</v>
      </c>
      <c r="C773" s="30">
        <f t="shared" si="45"/>
        <v>848</v>
      </c>
      <c r="D773" s="30">
        <f t="shared" si="46"/>
        <v>1.4276250000000001</v>
      </c>
    </row>
    <row r="774" spans="1:4" x14ac:dyDescent="0.4">
      <c r="A774" s="30">
        <f t="shared" si="47"/>
        <v>827</v>
      </c>
      <c r="B774" s="30">
        <f t="shared" si="44"/>
        <v>0.23612750885478159</v>
      </c>
      <c r="C774" s="30">
        <f t="shared" si="45"/>
        <v>849</v>
      </c>
      <c r="D774" s="30">
        <f t="shared" si="46"/>
        <v>1.4293125</v>
      </c>
    </row>
    <row r="775" spans="1:4" x14ac:dyDescent="0.4">
      <c r="A775" s="30">
        <f t="shared" si="47"/>
        <v>828</v>
      </c>
      <c r="B775" s="30">
        <f t="shared" si="44"/>
        <v>0.23584905660377359</v>
      </c>
      <c r="C775" s="30">
        <f t="shared" si="45"/>
        <v>850</v>
      </c>
      <c r="D775" s="30">
        <f t="shared" si="46"/>
        <v>1.431</v>
      </c>
    </row>
    <row r="776" spans="1:4" x14ac:dyDescent="0.4">
      <c r="A776" s="30">
        <f t="shared" si="47"/>
        <v>829</v>
      </c>
      <c r="B776" s="30">
        <f t="shared" si="44"/>
        <v>0.23557126030624265</v>
      </c>
      <c r="C776" s="30">
        <f t="shared" si="45"/>
        <v>851</v>
      </c>
      <c r="D776" s="30">
        <f t="shared" si="46"/>
        <v>1.4326875000000001</v>
      </c>
    </row>
    <row r="777" spans="1:4" x14ac:dyDescent="0.4">
      <c r="A777" s="30">
        <f t="shared" si="47"/>
        <v>830</v>
      </c>
      <c r="B777" s="30">
        <f t="shared" si="44"/>
        <v>0.23529411764705882</v>
      </c>
      <c r="C777" s="30">
        <f t="shared" si="45"/>
        <v>852</v>
      </c>
      <c r="D777" s="30">
        <f t="shared" si="46"/>
        <v>1.4343750000000002</v>
      </c>
    </row>
    <row r="778" spans="1:4" x14ac:dyDescent="0.4">
      <c r="A778" s="30">
        <f t="shared" si="47"/>
        <v>831</v>
      </c>
      <c r="B778" s="30">
        <f t="shared" si="44"/>
        <v>0.23501762632197415</v>
      </c>
      <c r="C778" s="30">
        <f t="shared" si="45"/>
        <v>853</v>
      </c>
      <c r="D778" s="30">
        <f t="shared" si="46"/>
        <v>1.4360625</v>
      </c>
    </row>
    <row r="779" spans="1:4" x14ac:dyDescent="0.4">
      <c r="A779" s="30">
        <f t="shared" si="47"/>
        <v>832</v>
      </c>
      <c r="B779" s="30">
        <f t="shared" ref="B779:B842" si="48">$B$4/8/(A779+$B$2)</f>
        <v>0.23474178403755869</v>
      </c>
      <c r="C779" s="30">
        <f t="shared" si="45"/>
        <v>854</v>
      </c>
      <c r="D779" s="30">
        <f t="shared" si="46"/>
        <v>1.4377500000000001</v>
      </c>
    </row>
    <row r="780" spans="1:4" x14ac:dyDescent="0.4">
      <c r="A780" s="30">
        <f t="shared" si="47"/>
        <v>833</v>
      </c>
      <c r="B780" s="30">
        <f t="shared" si="48"/>
        <v>0.23446658851113716</v>
      </c>
      <c r="C780" s="30">
        <f t="shared" ref="C780:C843" si="49">A780+$E$6</f>
        <v>855</v>
      </c>
      <c r="D780" s="30">
        <f t="shared" ref="D780:D843" si="50">$H$3/B780/CEILING(C780/$H$2,1)</f>
        <v>1.4394375000000001</v>
      </c>
    </row>
    <row r="781" spans="1:4" x14ac:dyDescent="0.4">
      <c r="A781" s="30">
        <f t="shared" ref="A781:A844" si="51">A780+$B$3</f>
        <v>834</v>
      </c>
      <c r="B781" s="30">
        <f t="shared" si="48"/>
        <v>0.23419203747072601</v>
      </c>
      <c r="C781" s="30">
        <f t="shared" si="49"/>
        <v>856</v>
      </c>
      <c r="D781" s="30">
        <f t="shared" si="50"/>
        <v>1.441125</v>
      </c>
    </row>
    <row r="782" spans="1:4" x14ac:dyDescent="0.4">
      <c r="A782" s="30">
        <f t="shared" si="51"/>
        <v>835</v>
      </c>
      <c r="B782" s="30">
        <f t="shared" si="48"/>
        <v>0.23391812865497075</v>
      </c>
      <c r="C782" s="30">
        <f t="shared" si="49"/>
        <v>857</v>
      </c>
      <c r="D782" s="30">
        <f t="shared" si="50"/>
        <v>1.4428125000000003</v>
      </c>
    </row>
    <row r="783" spans="1:4" x14ac:dyDescent="0.4">
      <c r="A783" s="30">
        <f t="shared" si="51"/>
        <v>836</v>
      </c>
      <c r="B783" s="30">
        <f t="shared" si="48"/>
        <v>0.23364485981308411</v>
      </c>
      <c r="C783" s="30">
        <f t="shared" si="49"/>
        <v>858</v>
      </c>
      <c r="D783" s="30">
        <f t="shared" si="50"/>
        <v>1.4445000000000001</v>
      </c>
    </row>
    <row r="784" spans="1:4" x14ac:dyDescent="0.4">
      <c r="A784" s="30">
        <f t="shared" si="51"/>
        <v>837</v>
      </c>
      <c r="B784" s="30">
        <f t="shared" si="48"/>
        <v>0.23337222870478413</v>
      </c>
      <c r="C784" s="30">
        <f t="shared" si="49"/>
        <v>859</v>
      </c>
      <c r="D784" s="30">
        <f t="shared" si="50"/>
        <v>1.4461875</v>
      </c>
    </row>
    <row r="785" spans="1:4" x14ac:dyDescent="0.4">
      <c r="A785" s="30">
        <f t="shared" si="51"/>
        <v>838</v>
      </c>
      <c r="B785" s="30">
        <f t="shared" si="48"/>
        <v>0.23310023310023309</v>
      </c>
      <c r="C785" s="30">
        <f t="shared" si="49"/>
        <v>860</v>
      </c>
      <c r="D785" s="30">
        <f t="shared" si="50"/>
        <v>1.4478750000000002</v>
      </c>
    </row>
    <row r="786" spans="1:4" x14ac:dyDescent="0.4">
      <c r="A786" s="30">
        <f t="shared" si="51"/>
        <v>839</v>
      </c>
      <c r="B786" s="30">
        <f t="shared" si="48"/>
        <v>0.23282887077997672</v>
      </c>
      <c r="C786" s="30">
        <f t="shared" si="49"/>
        <v>861</v>
      </c>
      <c r="D786" s="30">
        <f t="shared" si="50"/>
        <v>1.4495625000000001</v>
      </c>
    </row>
    <row r="787" spans="1:4" x14ac:dyDescent="0.4">
      <c r="A787" s="30">
        <f t="shared" si="51"/>
        <v>840</v>
      </c>
      <c r="B787" s="30">
        <f t="shared" si="48"/>
        <v>0.23255813953488372</v>
      </c>
      <c r="C787" s="30">
        <f t="shared" si="49"/>
        <v>862</v>
      </c>
      <c r="D787" s="30">
        <f t="shared" si="50"/>
        <v>1.4512500000000002</v>
      </c>
    </row>
    <row r="788" spans="1:4" x14ac:dyDescent="0.4">
      <c r="A788" s="30">
        <f t="shared" si="51"/>
        <v>841</v>
      </c>
      <c r="B788" s="30">
        <f t="shared" si="48"/>
        <v>0.23228803716608595</v>
      </c>
      <c r="C788" s="30">
        <f t="shared" si="49"/>
        <v>863</v>
      </c>
      <c r="D788" s="30">
        <f t="shared" si="50"/>
        <v>1.4529375</v>
      </c>
    </row>
    <row r="789" spans="1:4" x14ac:dyDescent="0.4">
      <c r="A789" s="30">
        <f t="shared" si="51"/>
        <v>842</v>
      </c>
      <c r="B789" s="30">
        <f t="shared" si="48"/>
        <v>0.23201856148491878</v>
      </c>
      <c r="C789" s="30">
        <f t="shared" si="49"/>
        <v>864</v>
      </c>
      <c r="D789" s="30">
        <f t="shared" si="50"/>
        <v>1.4546250000000001</v>
      </c>
    </row>
    <row r="790" spans="1:4" x14ac:dyDescent="0.4">
      <c r="A790" s="30">
        <f t="shared" si="51"/>
        <v>843</v>
      </c>
      <c r="B790" s="30">
        <f t="shared" si="48"/>
        <v>0.23174971031286212</v>
      </c>
      <c r="C790" s="30">
        <f t="shared" si="49"/>
        <v>865</v>
      </c>
      <c r="D790" s="30">
        <f t="shared" si="50"/>
        <v>1.4563124999999999</v>
      </c>
    </row>
    <row r="791" spans="1:4" x14ac:dyDescent="0.4">
      <c r="A791" s="30">
        <f t="shared" si="51"/>
        <v>844</v>
      </c>
      <c r="B791" s="30">
        <f t="shared" si="48"/>
        <v>0.23148148148148148</v>
      </c>
      <c r="C791" s="30">
        <f t="shared" si="49"/>
        <v>866</v>
      </c>
      <c r="D791" s="30">
        <f t="shared" si="50"/>
        <v>1.4580000000000002</v>
      </c>
    </row>
    <row r="792" spans="1:4" x14ac:dyDescent="0.4">
      <c r="A792" s="30">
        <f t="shared" si="51"/>
        <v>845</v>
      </c>
      <c r="B792" s="30">
        <f t="shared" si="48"/>
        <v>0.23121387283236994</v>
      </c>
      <c r="C792" s="30">
        <f t="shared" si="49"/>
        <v>867</v>
      </c>
      <c r="D792" s="30">
        <f t="shared" si="50"/>
        <v>1.4596875</v>
      </c>
    </row>
    <row r="793" spans="1:4" x14ac:dyDescent="0.4">
      <c r="A793" s="30">
        <f t="shared" si="51"/>
        <v>846</v>
      </c>
      <c r="B793" s="30">
        <f t="shared" si="48"/>
        <v>0.23094688221709006</v>
      </c>
      <c r="C793" s="30">
        <f t="shared" si="49"/>
        <v>868</v>
      </c>
      <c r="D793" s="30">
        <f t="shared" si="50"/>
        <v>1.4613750000000001</v>
      </c>
    </row>
    <row r="794" spans="1:4" x14ac:dyDescent="0.4">
      <c r="A794" s="30">
        <f t="shared" si="51"/>
        <v>847</v>
      </c>
      <c r="B794" s="30">
        <f t="shared" si="48"/>
        <v>0.23068050749711649</v>
      </c>
      <c r="C794" s="30">
        <f t="shared" si="49"/>
        <v>869</v>
      </c>
      <c r="D794" s="30">
        <f t="shared" si="50"/>
        <v>1.4630625000000002</v>
      </c>
    </row>
    <row r="795" spans="1:4" x14ac:dyDescent="0.4">
      <c r="A795" s="30">
        <f t="shared" si="51"/>
        <v>848</v>
      </c>
      <c r="B795" s="30">
        <f t="shared" si="48"/>
        <v>0.2304147465437788</v>
      </c>
      <c r="C795" s="30">
        <f t="shared" si="49"/>
        <v>870</v>
      </c>
      <c r="D795" s="30">
        <f t="shared" si="50"/>
        <v>1.46475</v>
      </c>
    </row>
    <row r="796" spans="1:4" x14ac:dyDescent="0.4">
      <c r="A796" s="30">
        <f t="shared" si="51"/>
        <v>849</v>
      </c>
      <c r="B796" s="30">
        <f t="shared" si="48"/>
        <v>0.23014959723820483</v>
      </c>
      <c r="C796" s="30">
        <f t="shared" si="49"/>
        <v>871</v>
      </c>
      <c r="D796" s="30">
        <f t="shared" si="50"/>
        <v>1.4664375000000001</v>
      </c>
    </row>
    <row r="797" spans="1:4" x14ac:dyDescent="0.4">
      <c r="A797" s="30">
        <f t="shared" si="51"/>
        <v>850</v>
      </c>
      <c r="B797" s="30">
        <f t="shared" si="48"/>
        <v>0.22988505747126436</v>
      </c>
      <c r="C797" s="30">
        <f t="shared" si="49"/>
        <v>872</v>
      </c>
      <c r="D797" s="30">
        <f t="shared" si="50"/>
        <v>1.4681250000000001</v>
      </c>
    </row>
    <row r="798" spans="1:4" x14ac:dyDescent="0.4">
      <c r="A798" s="30">
        <f t="shared" si="51"/>
        <v>851</v>
      </c>
      <c r="B798" s="30">
        <f t="shared" si="48"/>
        <v>0.22962112514351321</v>
      </c>
      <c r="C798" s="30">
        <f t="shared" si="49"/>
        <v>873</v>
      </c>
      <c r="D798" s="30">
        <f t="shared" si="50"/>
        <v>1.4698125</v>
      </c>
    </row>
    <row r="799" spans="1:4" x14ac:dyDescent="0.4">
      <c r="A799" s="30">
        <f t="shared" si="51"/>
        <v>852</v>
      </c>
      <c r="B799" s="30">
        <f t="shared" si="48"/>
        <v>0.22935779816513763</v>
      </c>
      <c r="C799" s="30">
        <f t="shared" si="49"/>
        <v>874</v>
      </c>
      <c r="D799" s="30">
        <f t="shared" si="50"/>
        <v>1.4715</v>
      </c>
    </row>
    <row r="800" spans="1:4" x14ac:dyDescent="0.4">
      <c r="A800" s="30">
        <f t="shared" si="51"/>
        <v>853</v>
      </c>
      <c r="B800" s="30">
        <f t="shared" si="48"/>
        <v>0.22909507445589919</v>
      </c>
      <c r="C800" s="30">
        <f t="shared" si="49"/>
        <v>875</v>
      </c>
      <c r="D800" s="30">
        <f t="shared" si="50"/>
        <v>1.4731875000000001</v>
      </c>
    </row>
    <row r="801" spans="1:4" x14ac:dyDescent="0.4">
      <c r="A801" s="30">
        <f t="shared" si="51"/>
        <v>854</v>
      </c>
      <c r="B801" s="30">
        <f t="shared" si="48"/>
        <v>0.2288329519450801</v>
      </c>
      <c r="C801" s="30">
        <f t="shared" si="49"/>
        <v>876</v>
      </c>
      <c r="D801" s="30">
        <f t="shared" si="50"/>
        <v>1.4748749999999999</v>
      </c>
    </row>
    <row r="802" spans="1:4" x14ac:dyDescent="0.4">
      <c r="A802" s="30">
        <f t="shared" si="51"/>
        <v>855</v>
      </c>
      <c r="B802" s="30">
        <f t="shared" si="48"/>
        <v>0.22857142857142856</v>
      </c>
      <c r="C802" s="30">
        <f t="shared" si="49"/>
        <v>877</v>
      </c>
      <c r="D802" s="30">
        <f t="shared" si="50"/>
        <v>1.4765625000000002</v>
      </c>
    </row>
    <row r="803" spans="1:4" x14ac:dyDescent="0.4">
      <c r="A803" s="30">
        <f t="shared" si="51"/>
        <v>856</v>
      </c>
      <c r="B803" s="30">
        <f t="shared" si="48"/>
        <v>0.22831050228310501</v>
      </c>
      <c r="C803" s="30">
        <f t="shared" si="49"/>
        <v>878</v>
      </c>
      <c r="D803" s="30">
        <f t="shared" si="50"/>
        <v>1.4782500000000003</v>
      </c>
    </row>
    <row r="804" spans="1:4" x14ac:dyDescent="0.4">
      <c r="A804" s="30">
        <f t="shared" si="51"/>
        <v>857</v>
      </c>
      <c r="B804" s="30">
        <f t="shared" si="48"/>
        <v>0.22805017103762829</v>
      </c>
      <c r="C804" s="30">
        <f t="shared" si="49"/>
        <v>879</v>
      </c>
      <c r="D804" s="30">
        <f t="shared" si="50"/>
        <v>1.4799375000000001</v>
      </c>
    </row>
    <row r="805" spans="1:4" x14ac:dyDescent="0.4">
      <c r="A805" s="30">
        <f t="shared" si="51"/>
        <v>858</v>
      </c>
      <c r="B805" s="30">
        <f t="shared" si="48"/>
        <v>0.22779043280182232</v>
      </c>
      <c r="C805" s="30">
        <f t="shared" si="49"/>
        <v>880</v>
      </c>
      <c r="D805" s="30">
        <f t="shared" si="50"/>
        <v>1.4816250000000002</v>
      </c>
    </row>
    <row r="806" spans="1:4" x14ac:dyDescent="0.4">
      <c r="A806" s="30">
        <f t="shared" si="51"/>
        <v>859</v>
      </c>
      <c r="B806" s="30">
        <f t="shared" si="48"/>
        <v>0.22753128555176336</v>
      </c>
      <c r="C806" s="30">
        <f t="shared" si="49"/>
        <v>881</v>
      </c>
      <c r="D806" s="30">
        <f t="shared" si="50"/>
        <v>1.4833125000000003</v>
      </c>
    </row>
    <row r="807" spans="1:4" x14ac:dyDescent="0.4">
      <c r="A807" s="30">
        <f t="shared" si="51"/>
        <v>860</v>
      </c>
      <c r="B807" s="30">
        <f t="shared" si="48"/>
        <v>0.22727272727272727</v>
      </c>
      <c r="C807" s="30">
        <f t="shared" si="49"/>
        <v>882</v>
      </c>
      <c r="D807" s="30">
        <f t="shared" si="50"/>
        <v>1.4850000000000001</v>
      </c>
    </row>
    <row r="808" spans="1:4" x14ac:dyDescent="0.4">
      <c r="A808" s="30">
        <f t="shared" si="51"/>
        <v>861</v>
      </c>
      <c r="B808" s="30">
        <f t="shared" si="48"/>
        <v>0.22701475595913734</v>
      </c>
      <c r="C808" s="30">
        <f t="shared" si="49"/>
        <v>883</v>
      </c>
      <c r="D808" s="30">
        <f t="shared" si="50"/>
        <v>1.4866875000000002</v>
      </c>
    </row>
    <row r="809" spans="1:4" x14ac:dyDescent="0.4">
      <c r="A809" s="30">
        <f t="shared" si="51"/>
        <v>862</v>
      </c>
      <c r="B809" s="30">
        <f t="shared" si="48"/>
        <v>0.22675736961451248</v>
      </c>
      <c r="C809" s="30">
        <f t="shared" si="49"/>
        <v>884</v>
      </c>
      <c r="D809" s="30">
        <f t="shared" si="50"/>
        <v>1.488375</v>
      </c>
    </row>
    <row r="810" spans="1:4" x14ac:dyDescent="0.4">
      <c r="A810" s="30">
        <f t="shared" si="51"/>
        <v>863</v>
      </c>
      <c r="B810" s="30">
        <f t="shared" si="48"/>
        <v>0.22650056625141562</v>
      </c>
      <c r="C810" s="30">
        <f t="shared" si="49"/>
        <v>885</v>
      </c>
      <c r="D810" s="30">
        <f t="shared" si="50"/>
        <v>1.4900625000000001</v>
      </c>
    </row>
    <row r="811" spans="1:4" x14ac:dyDescent="0.4">
      <c r="A811" s="30">
        <f t="shared" si="51"/>
        <v>864</v>
      </c>
      <c r="B811" s="30">
        <f t="shared" si="48"/>
        <v>0.22624434389140272</v>
      </c>
      <c r="C811" s="30">
        <f t="shared" si="49"/>
        <v>886</v>
      </c>
      <c r="D811" s="30">
        <f t="shared" si="50"/>
        <v>1.4917500000000001</v>
      </c>
    </row>
    <row r="812" spans="1:4" x14ac:dyDescent="0.4">
      <c r="A812" s="30">
        <f t="shared" si="51"/>
        <v>865</v>
      </c>
      <c r="B812" s="30">
        <f t="shared" si="48"/>
        <v>0.22598870056497175</v>
      </c>
      <c r="C812" s="30">
        <f t="shared" si="49"/>
        <v>887</v>
      </c>
      <c r="D812" s="30">
        <f t="shared" si="50"/>
        <v>1.4934375000000002</v>
      </c>
    </row>
    <row r="813" spans="1:4" x14ac:dyDescent="0.4">
      <c r="A813" s="30">
        <f t="shared" si="51"/>
        <v>866</v>
      </c>
      <c r="B813" s="30">
        <f t="shared" si="48"/>
        <v>0.22573363431151242</v>
      </c>
      <c r="C813" s="30">
        <f t="shared" si="49"/>
        <v>888</v>
      </c>
      <c r="D813" s="30">
        <f t="shared" si="50"/>
        <v>1.495125</v>
      </c>
    </row>
    <row r="814" spans="1:4" x14ac:dyDescent="0.4">
      <c r="A814" s="30">
        <f t="shared" si="51"/>
        <v>867</v>
      </c>
      <c r="B814" s="30">
        <f t="shared" si="48"/>
        <v>0.22547914317925591</v>
      </c>
      <c r="C814" s="30">
        <f t="shared" si="49"/>
        <v>889</v>
      </c>
      <c r="D814" s="30">
        <f t="shared" si="50"/>
        <v>1.4968125000000001</v>
      </c>
    </row>
    <row r="815" spans="1:4" x14ac:dyDescent="0.4">
      <c r="A815" s="30">
        <f t="shared" si="51"/>
        <v>868</v>
      </c>
      <c r="B815" s="30">
        <f t="shared" si="48"/>
        <v>0.22522522522522523</v>
      </c>
      <c r="C815" s="30">
        <f t="shared" si="49"/>
        <v>890</v>
      </c>
      <c r="D815" s="30">
        <f t="shared" si="50"/>
        <v>1.4985000000000002</v>
      </c>
    </row>
    <row r="816" spans="1:4" x14ac:dyDescent="0.4">
      <c r="A816" s="30">
        <f t="shared" si="51"/>
        <v>869</v>
      </c>
      <c r="B816" s="30">
        <f t="shared" si="48"/>
        <v>0.2249718785151856</v>
      </c>
      <c r="C816" s="30">
        <f t="shared" si="49"/>
        <v>891</v>
      </c>
      <c r="D816" s="30">
        <f t="shared" si="50"/>
        <v>1.5001875</v>
      </c>
    </row>
    <row r="817" spans="1:4" x14ac:dyDescent="0.4">
      <c r="A817" s="30">
        <f t="shared" si="51"/>
        <v>870</v>
      </c>
      <c r="B817" s="30">
        <f t="shared" si="48"/>
        <v>0.2247191011235955</v>
      </c>
      <c r="C817" s="30">
        <f t="shared" si="49"/>
        <v>892</v>
      </c>
      <c r="D817" s="30">
        <f t="shared" si="50"/>
        <v>1.5018750000000001</v>
      </c>
    </row>
    <row r="818" spans="1:4" x14ac:dyDescent="0.4">
      <c r="A818" s="30">
        <f t="shared" si="51"/>
        <v>871</v>
      </c>
      <c r="B818" s="30">
        <f t="shared" si="48"/>
        <v>0.22446689113355781</v>
      </c>
      <c r="C818" s="30">
        <f t="shared" si="49"/>
        <v>893</v>
      </c>
      <c r="D818" s="30">
        <f t="shared" si="50"/>
        <v>1.5035625000000001</v>
      </c>
    </row>
    <row r="819" spans="1:4" x14ac:dyDescent="0.4">
      <c r="A819" s="30">
        <f t="shared" si="51"/>
        <v>872</v>
      </c>
      <c r="B819" s="30">
        <f t="shared" si="48"/>
        <v>0.22421524663677131</v>
      </c>
      <c r="C819" s="30">
        <f t="shared" si="49"/>
        <v>894</v>
      </c>
      <c r="D819" s="30">
        <f t="shared" si="50"/>
        <v>1.50525</v>
      </c>
    </row>
    <row r="820" spans="1:4" x14ac:dyDescent="0.4">
      <c r="A820" s="30">
        <f t="shared" si="51"/>
        <v>873</v>
      </c>
      <c r="B820" s="30">
        <f t="shared" si="48"/>
        <v>0.22396416573348266</v>
      </c>
      <c r="C820" s="30">
        <f t="shared" si="49"/>
        <v>895</v>
      </c>
      <c r="D820" s="30">
        <f t="shared" si="50"/>
        <v>1.5069375</v>
      </c>
    </row>
    <row r="821" spans="1:4" x14ac:dyDescent="0.4">
      <c r="A821" s="30">
        <f t="shared" si="51"/>
        <v>874</v>
      </c>
      <c r="B821" s="30">
        <f t="shared" si="48"/>
        <v>0.22371364653243847</v>
      </c>
      <c r="C821" s="30">
        <f t="shared" si="49"/>
        <v>896</v>
      </c>
      <c r="D821" s="30">
        <f t="shared" si="50"/>
        <v>1.5086250000000001</v>
      </c>
    </row>
    <row r="822" spans="1:4" x14ac:dyDescent="0.4">
      <c r="A822" s="30">
        <f t="shared" si="51"/>
        <v>875</v>
      </c>
      <c r="B822" s="30">
        <f t="shared" si="48"/>
        <v>0.22346368715083798</v>
      </c>
      <c r="C822" s="30">
        <f t="shared" si="49"/>
        <v>897</v>
      </c>
      <c r="D822" s="30">
        <f t="shared" si="50"/>
        <v>1.5103125000000002</v>
      </c>
    </row>
    <row r="823" spans="1:4" x14ac:dyDescent="0.4">
      <c r="A823" s="30">
        <f t="shared" si="51"/>
        <v>876</v>
      </c>
      <c r="B823" s="30">
        <f t="shared" si="48"/>
        <v>0.22321428571428573</v>
      </c>
      <c r="C823" s="30">
        <f t="shared" si="49"/>
        <v>898</v>
      </c>
      <c r="D823" s="30">
        <f t="shared" si="50"/>
        <v>1.512</v>
      </c>
    </row>
    <row r="824" spans="1:4" x14ac:dyDescent="0.4">
      <c r="A824" s="30">
        <f t="shared" si="51"/>
        <v>877</v>
      </c>
      <c r="B824" s="30">
        <f t="shared" si="48"/>
        <v>0.2229654403567447</v>
      </c>
      <c r="C824" s="30">
        <f t="shared" si="49"/>
        <v>899</v>
      </c>
      <c r="D824" s="30">
        <f t="shared" si="50"/>
        <v>1.5136875000000001</v>
      </c>
    </row>
    <row r="825" spans="1:4" x14ac:dyDescent="0.4">
      <c r="A825" s="30">
        <f t="shared" si="51"/>
        <v>878</v>
      </c>
      <c r="B825" s="30">
        <f t="shared" si="48"/>
        <v>0.22271714922048999</v>
      </c>
      <c r="C825" s="30">
        <f t="shared" si="49"/>
        <v>900</v>
      </c>
      <c r="D825" s="30">
        <f t="shared" si="50"/>
        <v>1.5153749999999999</v>
      </c>
    </row>
    <row r="826" spans="1:4" x14ac:dyDescent="0.4">
      <c r="A826" s="30">
        <f t="shared" si="51"/>
        <v>879</v>
      </c>
      <c r="B826" s="30">
        <f t="shared" si="48"/>
        <v>0.22246941045606228</v>
      </c>
      <c r="C826" s="30">
        <f t="shared" si="49"/>
        <v>901</v>
      </c>
      <c r="D826" s="30">
        <f t="shared" si="50"/>
        <v>1.5170625000000002</v>
      </c>
    </row>
    <row r="827" spans="1:4" x14ac:dyDescent="0.4">
      <c r="A827" s="30">
        <f t="shared" si="51"/>
        <v>880</v>
      </c>
      <c r="B827" s="30">
        <f t="shared" si="48"/>
        <v>0.22222222222222221</v>
      </c>
      <c r="C827" s="30">
        <f t="shared" si="49"/>
        <v>902</v>
      </c>
      <c r="D827" s="30">
        <f t="shared" si="50"/>
        <v>1.5187500000000003</v>
      </c>
    </row>
    <row r="828" spans="1:4" x14ac:dyDescent="0.4">
      <c r="A828" s="30">
        <f t="shared" si="51"/>
        <v>881</v>
      </c>
      <c r="B828" s="30">
        <f t="shared" si="48"/>
        <v>0.22197558268590456</v>
      </c>
      <c r="C828" s="30">
        <f t="shared" si="49"/>
        <v>903</v>
      </c>
      <c r="D828" s="30">
        <f t="shared" si="50"/>
        <v>1.5204375000000001</v>
      </c>
    </row>
    <row r="829" spans="1:4" x14ac:dyDescent="0.4">
      <c r="A829" s="30">
        <f t="shared" si="51"/>
        <v>882</v>
      </c>
      <c r="B829" s="30">
        <f t="shared" si="48"/>
        <v>0.22172949002217296</v>
      </c>
      <c r="C829" s="30">
        <f t="shared" si="49"/>
        <v>904</v>
      </c>
      <c r="D829" s="30">
        <f t="shared" si="50"/>
        <v>1.522125</v>
      </c>
    </row>
    <row r="830" spans="1:4" x14ac:dyDescent="0.4">
      <c r="A830" s="30">
        <f t="shared" si="51"/>
        <v>883</v>
      </c>
      <c r="B830" s="30">
        <f t="shared" si="48"/>
        <v>0.22148394241417496</v>
      </c>
      <c r="C830" s="30">
        <f t="shared" si="49"/>
        <v>905</v>
      </c>
      <c r="D830" s="30">
        <f t="shared" si="50"/>
        <v>1.5238125000000002</v>
      </c>
    </row>
    <row r="831" spans="1:4" x14ac:dyDescent="0.4">
      <c r="A831" s="30">
        <f t="shared" si="51"/>
        <v>884</v>
      </c>
      <c r="B831" s="30">
        <f t="shared" si="48"/>
        <v>0.22123893805309736</v>
      </c>
      <c r="C831" s="30">
        <f t="shared" si="49"/>
        <v>906</v>
      </c>
      <c r="D831" s="30">
        <f t="shared" si="50"/>
        <v>1.5255000000000001</v>
      </c>
    </row>
    <row r="832" spans="1:4" x14ac:dyDescent="0.4">
      <c r="A832" s="30">
        <f t="shared" si="51"/>
        <v>885</v>
      </c>
      <c r="B832" s="30">
        <f t="shared" si="48"/>
        <v>0.22099447513812154</v>
      </c>
      <c r="C832" s="30">
        <f t="shared" si="49"/>
        <v>907</v>
      </c>
      <c r="D832" s="30">
        <f t="shared" si="50"/>
        <v>1.5271875000000001</v>
      </c>
    </row>
    <row r="833" spans="1:4" x14ac:dyDescent="0.4">
      <c r="A833" s="30">
        <f t="shared" si="51"/>
        <v>886</v>
      </c>
      <c r="B833" s="30">
        <f t="shared" si="48"/>
        <v>0.22075055187637968</v>
      </c>
      <c r="C833" s="30">
        <f t="shared" si="49"/>
        <v>908</v>
      </c>
      <c r="D833" s="30">
        <f t="shared" si="50"/>
        <v>1.5288750000000002</v>
      </c>
    </row>
    <row r="834" spans="1:4" x14ac:dyDescent="0.4">
      <c r="A834" s="30">
        <f t="shared" si="51"/>
        <v>887</v>
      </c>
      <c r="B834" s="30">
        <f t="shared" si="48"/>
        <v>0.22050716648291069</v>
      </c>
      <c r="C834" s="30">
        <f t="shared" si="49"/>
        <v>909</v>
      </c>
      <c r="D834" s="30">
        <f t="shared" si="50"/>
        <v>1.5305625</v>
      </c>
    </row>
    <row r="835" spans="1:4" x14ac:dyDescent="0.4">
      <c r="A835" s="30">
        <f t="shared" si="51"/>
        <v>888</v>
      </c>
      <c r="B835" s="30">
        <f t="shared" si="48"/>
        <v>0.22026431718061673</v>
      </c>
      <c r="C835" s="30">
        <f t="shared" si="49"/>
        <v>910</v>
      </c>
      <c r="D835" s="30">
        <f t="shared" si="50"/>
        <v>1.5322500000000001</v>
      </c>
    </row>
    <row r="836" spans="1:4" x14ac:dyDescent="0.4">
      <c r="A836" s="30">
        <f t="shared" si="51"/>
        <v>889</v>
      </c>
      <c r="B836" s="30">
        <f t="shared" si="48"/>
        <v>0.22002200220022003</v>
      </c>
      <c r="C836" s="30">
        <f t="shared" si="49"/>
        <v>911</v>
      </c>
      <c r="D836" s="30">
        <f t="shared" si="50"/>
        <v>1.5339375</v>
      </c>
    </row>
    <row r="837" spans="1:4" x14ac:dyDescent="0.4">
      <c r="A837" s="30">
        <f t="shared" si="51"/>
        <v>890</v>
      </c>
      <c r="B837" s="30">
        <f t="shared" si="48"/>
        <v>0.21978021978021978</v>
      </c>
      <c r="C837" s="30">
        <f t="shared" si="49"/>
        <v>912</v>
      </c>
      <c r="D837" s="30">
        <f t="shared" si="50"/>
        <v>1.535625</v>
      </c>
    </row>
    <row r="838" spans="1:4" x14ac:dyDescent="0.4">
      <c r="A838" s="30">
        <f t="shared" si="51"/>
        <v>891</v>
      </c>
      <c r="B838" s="30">
        <f t="shared" si="48"/>
        <v>0.21953896816684962</v>
      </c>
      <c r="C838" s="30">
        <f t="shared" si="49"/>
        <v>913</v>
      </c>
      <c r="D838" s="30">
        <f t="shared" si="50"/>
        <v>1.5373125000000001</v>
      </c>
    </row>
    <row r="839" spans="1:4" x14ac:dyDescent="0.4">
      <c r="A839" s="30">
        <f t="shared" si="51"/>
        <v>892</v>
      </c>
      <c r="B839" s="30">
        <f t="shared" si="48"/>
        <v>0.21929824561403508</v>
      </c>
      <c r="C839" s="30">
        <f t="shared" si="49"/>
        <v>914</v>
      </c>
      <c r="D839" s="30">
        <f t="shared" si="50"/>
        <v>1.5390000000000001</v>
      </c>
    </row>
    <row r="840" spans="1:4" x14ac:dyDescent="0.4">
      <c r="A840" s="30">
        <f t="shared" si="51"/>
        <v>893</v>
      </c>
      <c r="B840" s="30">
        <f t="shared" si="48"/>
        <v>0.21905805038335158</v>
      </c>
      <c r="C840" s="30">
        <f t="shared" si="49"/>
        <v>915</v>
      </c>
      <c r="D840" s="30">
        <f t="shared" si="50"/>
        <v>1.5406875000000002</v>
      </c>
    </row>
    <row r="841" spans="1:4" x14ac:dyDescent="0.4">
      <c r="A841" s="30">
        <f t="shared" si="51"/>
        <v>894</v>
      </c>
      <c r="B841" s="30">
        <f t="shared" si="48"/>
        <v>0.21881838074398249</v>
      </c>
      <c r="C841" s="30">
        <f t="shared" si="49"/>
        <v>916</v>
      </c>
      <c r="D841" s="30">
        <f t="shared" si="50"/>
        <v>1.5423750000000001</v>
      </c>
    </row>
    <row r="842" spans="1:4" x14ac:dyDescent="0.4">
      <c r="A842" s="30">
        <f t="shared" si="51"/>
        <v>895</v>
      </c>
      <c r="B842" s="30">
        <f t="shared" si="48"/>
        <v>0.21857923497267759</v>
      </c>
      <c r="C842" s="30">
        <f t="shared" si="49"/>
        <v>917</v>
      </c>
      <c r="D842" s="30">
        <f t="shared" si="50"/>
        <v>1.5440625000000001</v>
      </c>
    </row>
    <row r="843" spans="1:4" x14ac:dyDescent="0.4">
      <c r="A843" s="30">
        <f t="shared" si="51"/>
        <v>896</v>
      </c>
      <c r="B843" s="30">
        <f t="shared" ref="B843:B906" si="52">$B$4/8/(A843+$B$2)</f>
        <v>0.2183406113537118</v>
      </c>
      <c r="C843" s="30">
        <f t="shared" si="49"/>
        <v>918</v>
      </c>
      <c r="D843" s="30">
        <f t="shared" si="50"/>
        <v>1.54575</v>
      </c>
    </row>
    <row r="844" spans="1:4" x14ac:dyDescent="0.4">
      <c r="A844" s="30">
        <f t="shared" si="51"/>
        <v>897</v>
      </c>
      <c r="B844" s="30">
        <f t="shared" si="52"/>
        <v>0.21810250817884405</v>
      </c>
      <c r="C844" s="30">
        <f t="shared" ref="C844:C907" si="53">A844+$E$6</f>
        <v>919</v>
      </c>
      <c r="D844" s="30">
        <f t="shared" ref="D844:D907" si="54">$H$3/B844/CEILING(C844/$H$2,1)</f>
        <v>1.5474375000000002</v>
      </c>
    </row>
    <row r="845" spans="1:4" x14ac:dyDescent="0.4">
      <c r="A845" s="30">
        <f t="shared" ref="A845:A908" si="55">A844+$B$3</f>
        <v>898</v>
      </c>
      <c r="B845" s="30">
        <f t="shared" si="52"/>
        <v>0.2178649237472767</v>
      </c>
      <c r="C845" s="30">
        <f t="shared" si="53"/>
        <v>920</v>
      </c>
      <c r="D845" s="30">
        <f t="shared" si="54"/>
        <v>1.5491250000000001</v>
      </c>
    </row>
    <row r="846" spans="1:4" x14ac:dyDescent="0.4">
      <c r="A846" s="30">
        <f t="shared" si="55"/>
        <v>899</v>
      </c>
      <c r="B846" s="30">
        <f t="shared" si="52"/>
        <v>0.2176278563656148</v>
      </c>
      <c r="C846" s="30">
        <f t="shared" si="53"/>
        <v>921</v>
      </c>
      <c r="D846" s="30">
        <f t="shared" si="54"/>
        <v>1.5508125000000001</v>
      </c>
    </row>
    <row r="847" spans="1:4" x14ac:dyDescent="0.4">
      <c r="A847" s="30">
        <f t="shared" si="55"/>
        <v>900</v>
      </c>
      <c r="B847" s="30">
        <f t="shared" si="52"/>
        <v>0.21739130434782608</v>
      </c>
      <c r="C847" s="30">
        <f t="shared" si="53"/>
        <v>922</v>
      </c>
      <c r="D847" s="30">
        <f t="shared" si="54"/>
        <v>1.5525000000000002</v>
      </c>
    </row>
    <row r="848" spans="1:4" x14ac:dyDescent="0.4">
      <c r="A848" s="30">
        <f t="shared" si="55"/>
        <v>901</v>
      </c>
      <c r="B848" s="30">
        <f t="shared" si="52"/>
        <v>0.21715526601520088</v>
      </c>
      <c r="C848" s="30">
        <f t="shared" si="53"/>
        <v>923</v>
      </c>
      <c r="D848" s="30">
        <f t="shared" si="54"/>
        <v>1.5541875000000001</v>
      </c>
    </row>
    <row r="849" spans="1:4" x14ac:dyDescent="0.4">
      <c r="A849" s="30">
        <f t="shared" si="55"/>
        <v>902</v>
      </c>
      <c r="B849" s="30">
        <f t="shared" si="52"/>
        <v>0.21691973969631237</v>
      </c>
      <c r="C849" s="30">
        <f t="shared" si="53"/>
        <v>924</v>
      </c>
      <c r="D849" s="30">
        <f t="shared" si="54"/>
        <v>1.5558750000000001</v>
      </c>
    </row>
    <row r="850" spans="1:4" x14ac:dyDescent="0.4">
      <c r="A850" s="30">
        <f t="shared" si="55"/>
        <v>903</v>
      </c>
      <c r="B850" s="30">
        <f t="shared" si="52"/>
        <v>0.21668472372697725</v>
      </c>
      <c r="C850" s="30">
        <f t="shared" si="53"/>
        <v>925</v>
      </c>
      <c r="D850" s="30">
        <f t="shared" si="54"/>
        <v>1.5575625000000002</v>
      </c>
    </row>
    <row r="851" spans="1:4" x14ac:dyDescent="0.4">
      <c r="A851" s="30">
        <f t="shared" si="55"/>
        <v>904</v>
      </c>
      <c r="B851" s="30">
        <f t="shared" si="52"/>
        <v>0.21645021645021645</v>
      </c>
      <c r="C851" s="30">
        <f t="shared" si="53"/>
        <v>926</v>
      </c>
      <c r="D851" s="30">
        <f t="shared" si="54"/>
        <v>1.55925</v>
      </c>
    </row>
    <row r="852" spans="1:4" x14ac:dyDescent="0.4">
      <c r="A852" s="30">
        <f t="shared" si="55"/>
        <v>905</v>
      </c>
      <c r="B852" s="30">
        <f t="shared" si="52"/>
        <v>0.21621621621621623</v>
      </c>
      <c r="C852" s="30">
        <f t="shared" si="53"/>
        <v>927</v>
      </c>
      <c r="D852" s="30">
        <f t="shared" si="54"/>
        <v>1.5609375000000001</v>
      </c>
    </row>
    <row r="853" spans="1:4" x14ac:dyDescent="0.4">
      <c r="A853" s="30">
        <f t="shared" si="55"/>
        <v>906</v>
      </c>
      <c r="B853" s="30">
        <f t="shared" si="52"/>
        <v>0.21598272138228941</v>
      </c>
      <c r="C853" s="30">
        <f t="shared" si="53"/>
        <v>928</v>
      </c>
      <c r="D853" s="30">
        <f t="shared" si="54"/>
        <v>1.5626250000000002</v>
      </c>
    </row>
    <row r="854" spans="1:4" x14ac:dyDescent="0.4">
      <c r="A854" s="30">
        <f t="shared" si="55"/>
        <v>907</v>
      </c>
      <c r="B854" s="30">
        <f t="shared" si="52"/>
        <v>0.21574973031283712</v>
      </c>
      <c r="C854" s="30">
        <f t="shared" si="53"/>
        <v>929</v>
      </c>
      <c r="D854" s="30">
        <f t="shared" si="54"/>
        <v>1.5643125</v>
      </c>
    </row>
    <row r="855" spans="1:4" x14ac:dyDescent="0.4">
      <c r="A855" s="30">
        <f t="shared" si="55"/>
        <v>908</v>
      </c>
      <c r="B855" s="30">
        <f t="shared" si="52"/>
        <v>0.21551724137931033</v>
      </c>
      <c r="C855" s="30">
        <f t="shared" si="53"/>
        <v>930</v>
      </c>
      <c r="D855" s="30">
        <f t="shared" si="54"/>
        <v>1.5660000000000003</v>
      </c>
    </row>
    <row r="856" spans="1:4" x14ac:dyDescent="0.4">
      <c r="A856" s="30">
        <f t="shared" si="55"/>
        <v>909</v>
      </c>
      <c r="B856" s="30">
        <f t="shared" si="52"/>
        <v>0.21528525296017223</v>
      </c>
      <c r="C856" s="30">
        <f t="shared" si="53"/>
        <v>931</v>
      </c>
      <c r="D856" s="30">
        <f t="shared" si="54"/>
        <v>1.5676875000000001</v>
      </c>
    </row>
    <row r="857" spans="1:4" x14ac:dyDescent="0.4">
      <c r="A857" s="30">
        <f t="shared" si="55"/>
        <v>910</v>
      </c>
      <c r="B857" s="30">
        <f t="shared" si="52"/>
        <v>0.21505376344086022</v>
      </c>
      <c r="C857" s="30">
        <f t="shared" si="53"/>
        <v>932</v>
      </c>
      <c r="D857" s="30">
        <f t="shared" si="54"/>
        <v>1.5693750000000002</v>
      </c>
    </row>
    <row r="858" spans="1:4" x14ac:dyDescent="0.4">
      <c r="A858" s="30">
        <f t="shared" si="55"/>
        <v>911</v>
      </c>
      <c r="B858" s="30">
        <f t="shared" si="52"/>
        <v>0.21482277121374865</v>
      </c>
      <c r="C858" s="30">
        <f t="shared" si="53"/>
        <v>933</v>
      </c>
      <c r="D858" s="30">
        <f t="shared" si="54"/>
        <v>1.5710625</v>
      </c>
    </row>
    <row r="859" spans="1:4" x14ac:dyDescent="0.4">
      <c r="A859" s="30">
        <f t="shared" si="55"/>
        <v>912</v>
      </c>
      <c r="B859" s="30">
        <f t="shared" si="52"/>
        <v>0.21459227467811159</v>
      </c>
      <c r="C859" s="30">
        <f t="shared" si="53"/>
        <v>934</v>
      </c>
      <c r="D859" s="30">
        <f t="shared" si="54"/>
        <v>1.5727500000000001</v>
      </c>
    </row>
    <row r="860" spans="1:4" x14ac:dyDescent="0.4">
      <c r="A860" s="30">
        <f t="shared" si="55"/>
        <v>913</v>
      </c>
      <c r="B860" s="30">
        <f t="shared" si="52"/>
        <v>0.21436227224008575</v>
      </c>
      <c r="C860" s="30">
        <f t="shared" si="53"/>
        <v>935</v>
      </c>
      <c r="D860" s="30">
        <f t="shared" si="54"/>
        <v>1.5744375000000002</v>
      </c>
    </row>
    <row r="861" spans="1:4" x14ac:dyDescent="0.4">
      <c r="A861" s="30">
        <f t="shared" si="55"/>
        <v>914</v>
      </c>
      <c r="B861" s="30">
        <f t="shared" si="52"/>
        <v>0.21413276231263384</v>
      </c>
      <c r="C861" s="30">
        <f t="shared" si="53"/>
        <v>936</v>
      </c>
      <c r="D861" s="30">
        <f t="shared" si="54"/>
        <v>1.576125</v>
      </c>
    </row>
    <row r="862" spans="1:4" x14ac:dyDescent="0.4">
      <c r="A862" s="30">
        <f t="shared" si="55"/>
        <v>915</v>
      </c>
      <c r="B862" s="30">
        <f t="shared" si="52"/>
        <v>0.21390374331550802</v>
      </c>
      <c r="C862" s="30">
        <f t="shared" si="53"/>
        <v>937</v>
      </c>
      <c r="D862" s="30">
        <f t="shared" si="54"/>
        <v>1.5778125000000001</v>
      </c>
    </row>
    <row r="863" spans="1:4" x14ac:dyDescent="0.4">
      <c r="A863" s="30">
        <f t="shared" si="55"/>
        <v>916</v>
      </c>
      <c r="B863" s="30">
        <f t="shared" si="52"/>
        <v>0.21367521367521367</v>
      </c>
      <c r="C863" s="30">
        <f t="shared" si="53"/>
        <v>938</v>
      </c>
      <c r="D863" s="30">
        <f t="shared" si="54"/>
        <v>1.5795000000000001</v>
      </c>
    </row>
    <row r="864" spans="1:4" x14ac:dyDescent="0.4">
      <c r="A864" s="30">
        <f t="shared" si="55"/>
        <v>917</v>
      </c>
      <c r="B864" s="30">
        <f t="shared" si="52"/>
        <v>0.21344717182497333</v>
      </c>
      <c r="C864" s="30">
        <f t="shared" si="53"/>
        <v>939</v>
      </c>
      <c r="D864" s="30">
        <f t="shared" si="54"/>
        <v>1.5811875</v>
      </c>
    </row>
    <row r="865" spans="1:4" x14ac:dyDescent="0.4">
      <c r="A865" s="30">
        <f t="shared" si="55"/>
        <v>918</v>
      </c>
      <c r="B865" s="30">
        <f t="shared" si="52"/>
        <v>0.21321961620469082</v>
      </c>
      <c r="C865" s="30">
        <f t="shared" si="53"/>
        <v>940</v>
      </c>
      <c r="D865" s="30">
        <f t="shared" si="54"/>
        <v>1.5828750000000003</v>
      </c>
    </row>
    <row r="866" spans="1:4" x14ac:dyDescent="0.4">
      <c r="A866" s="30">
        <f t="shared" si="55"/>
        <v>919</v>
      </c>
      <c r="B866" s="30">
        <f t="shared" si="52"/>
        <v>0.21299254526091588</v>
      </c>
      <c r="C866" s="30">
        <f t="shared" si="53"/>
        <v>941</v>
      </c>
      <c r="D866" s="30">
        <f t="shared" si="54"/>
        <v>1.5845625000000001</v>
      </c>
    </row>
    <row r="867" spans="1:4" x14ac:dyDescent="0.4">
      <c r="A867" s="30">
        <f t="shared" si="55"/>
        <v>920</v>
      </c>
      <c r="B867" s="30">
        <f t="shared" si="52"/>
        <v>0.21276595744680851</v>
      </c>
      <c r="C867" s="30">
        <f t="shared" si="53"/>
        <v>942</v>
      </c>
      <c r="D867" s="30">
        <f t="shared" si="54"/>
        <v>1.5862500000000002</v>
      </c>
    </row>
    <row r="868" spans="1:4" x14ac:dyDescent="0.4">
      <c r="A868" s="30">
        <f t="shared" si="55"/>
        <v>921</v>
      </c>
      <c r="B868" s="30">
        <f t="shared" si="52"/>
        <v>0.21253985122210414</v>
      </c>
      <c r="C868" s="30">
        <f t="shared" si="53"/>
        <v>943</v>
      </c>
      <c r="D868" s="30">
        <f t="shared" si="54"/>
        <v>1.5879375000000002</v>
      </c>
    </row>
    <row r="869" spans="1:4" x14ac:dyDescent="0.4">
      <c r="A869" s="30">
        <f t="shared" si="55"/>
        <v>922</v>
      </c>
      <c r="B869" s="30">
        <f t="shared" si="52"/>
        <v>0.21231422505307856</v>
      </c>
      <c r="C869" s="30">
        <f t="shared" si="53"/>
        <v>944</v>
      </c>
      <c r="D869" s="30">
        <f t="shared" si="54"/>
        <v>1.5896250000000001</v>
      </c>
    </row>
    <row r="870" spans="1:4" x14ac:dyDescent="0.4">
      <c r="A870" s="30">
        <f t="shared" si="55"/>
        <v>923</v>
      </c>
      <c r="B870" s="30">
        <f t="shared" si="52"/>
        <v>0.21208907741251326</v>
      </c>
      <c r="C870" s="30">
        <f t="shared" si="53"/>
        <v>945</v>
      </c>
      <c r="D870" s="30">
        <f t="shared" si="54"/>
        <v>1.5913125000000001</v>
      </c>
    </row>
    <row r="871" spans="1:4" x14ac:dyDescent="0.4">
      <c r="A871" s="30">
        <f t="shared" si="55"/>
        <v>924</v>
      </c>
      <c r="B871" s="30">
        <f t="shared" si="52"/>
        <v>0.21186440677966101</v>
      </c>
      <c r="C871" s="30">
        <f t="shared" si="53"/>
        <v>946</v>
      </c>
      <c r="D871" s="30">
        <f t="shared" si="54"/>
        <v>1.5930000000000002</v>
      </c>
    </row>
    <row r="872" spans="1:4" x14ac:dyDescent="0.4">
      <c r="A872" s="30">
        <f t="shared" si="55"/>
        <v>925</v>
      </c>
      <c r="B872" s="30">
        <f t="shared" si="52"/>
        <v>0.21164021164021163</v>
      </c>
      <c r="C872" s="30">
        <f t="shared" si="53"/>
        <v>947</v>
      </c>
      <c r="D872" s="30">
        <f t="shared" si="54"/>
        <v>1.5946875000000003</v>
      </c>
    </row>
    <row r="873" spans="1:4" x14ac:dyDescent="0.4">
      <c r="A873" s="30">
        <f t="shared" si="55"/>
        <v>926</v>
      </c>
      <c r="B873" s="30">
        <f t="shared" si="52"/>
        <v>0.21141649048625794</v>
      </c>
      <c r="C873" s="30">
        <f t="shared" si="53"/>
        <v>948</v>
      </c>
      <c r="D873" s="30">
        <f t="shared" si="54"/>
        <v>1.5963750000000001</v>
      </c>
    </row>
    <row r="874" spans="1:4" x14ac:dyDescent="0.4">
      <c r="A874" s="30">
        <f t="shared" si="55"/>
        <v>927</v>
      </c>
      <c r="B874" s="30">
        <f t="shared" si="52"/>
        <v>0.21119324181626187</v>
      </c>
      <c r="C874" s="30">
        <f t="shared" si="53"/>
        <v>949</v>
      </c>
      <c r="D874" s="30">
        <f t="shared" si="54"/>
        <v>1.5980625000000002</v>
      </c>
    </row>
    <row r="875" spans="1:4" x14ac:dyDescent="0.4">
      <c r="A875" s="30">
        <f t="shared" si="55"/>
        <v>928</v>
      </c>
      <c r="B875" s="30">
        <f t="shared" si="52"/>
        <v>0.2109704641350211</v>
      </c>
      <c r="C875" s="30">
        <f t="shared" si="53"/>
        <v>950</v>
      </c>
      <c r="D875" s="30">
        <f t="shared" si="54"/>
        <v>1.59975</v>
      </c>
    </row>
    <row r="876" spans="1:4" x14ac:dyDescent="0.4">
      <c r="A876" s="30">
        <f t="shared" si="55"/>
        <v>929</v>
      </c>
      <c r="B876" s="30">
        <f t="shared" si="52"/>
        <v>0.21074815595363541</v>
      </c>
      <c r="C876" s="30">
        <f t="shared" si="53"/>
        <v>951</v>
      </c>
      <c r="D876" s="30">
        <f t="shared" si="54"/>
        <v>1.6014375000000001</v>
      </c>
    </row>
    <row r="877" spans="1:4" x14ac:dyDescent="0.4">
      <c r="A877" s="30">
        <f t="shared" si="55"/>
        <v>930</v>
      </c>
      <c r="B877" s="30">
        <f t="shared" si="52"/>
        <v>0.21052631578947367</v>
      </c>
      <c r="C877" s="30">
        <f t="shared" si="53"/>
        <v>952</v>
      </c>
      <c r="D877" s="30">
        <f t="shared" si="54"/>
        <v>1.6031250000000001</v>
      </c>
    </row>
    <row r="878" spans="1:4" x14ac:dyDescent="0.4">
      <c r="A878" s="30">
        <f t="shared" si="55"/>
        <v>931</v>
      </c>
      <c r="B878" s="30">
        <f t="shared" si="52"/>
        <v>0.2103049421661409</v>
      </c>
      <c r="C878" s="30">
        <f t="shared" si="53"/>
        <v>953</v>
      </c>
      <c r="D878" s="30">
        <f t="shared" si="54"/>
        <v>1.6048125000000002</v>
      </c>
    </row>
    <row r="879" spans="1:4" x14ac:dyDescent="0.4">
      <c r="A879" s="30">
        <f t="shared" si="55"/>
        <v>932</v>
      </c>
      <c r="B879" s="30">
        <f t="shared" si="52"/>
        <v>0.21008403361344538</v>
      </c>
      <c r="C879" s="30">
        <f t="shared" si="53"/>
        <v>954</v>
      </c>
      <c r="D879" s="30">
        <f t="shared" si="54"/>
        <v>1.6065</v>
      </c>
    </row>
    <row r="880" spans="1:4" x14ac:dyDescent="0.4">
      <c r="A880" s="30">
        <f t="shared" si="55"/>
        <v>933</v>
      </c>
      <c r="B880" s="30">
        <f t="shared" si="52"/>
        <v>0.20986358866736621</v>
      </c>
      <c r="C880" s="30">
        <f t="shared" si="53"/>
        <v>955</v>
      </c>
      <c r="D880" s="30">
        <f t="shared" si="54"/>
        <v>1.6081875000000001</v>
      </c>
    </row>
    <row r="881" spans="1:4" x14ac:dyDescent="0.4">
      <c r="A881" s="30">
        <f t="shared" si="55"/>
        <v>934</v>
      </c>
      <c r="B881" s="30">
        <f t="shared" si="52"/>
        <v>0.20964360587002095</v>
      </c>
      <c r="C881" s="30">
        <f t="shared" si="53"/>
        <v>956</v>
      </c>
      <c r="D881" s="30">
        <f t="shared" si="54"/>
        <v>1.6098750000000002</v>
      </c>
    </row>
    <row r="882" spans="1:4" x14ac:dyDescent="0.4">
      <c r="A882" s="30">
        <f t="shared" si="55"/>
        <v>935</v>
      </c>
      <c r="B882" s="30">
        <f t="shared" si="52"/>
        <v>0.20942408376963351</v>
      </c>
      <c r="C882" s="30">
        <f t="shared" si="53"/>
        <v>957</v>
      </c>
      <c r="D882" s="30">
        <f t="shared" si="54"/>
        <v>1.6115625</v>
      </c>
    </row>
    <row r="883" spans="1:4" x14ac:dyDescent="0.4">
      <c r="A883" s="30">
        <f t="shared" si="55"/>
        <v>936</v>
      </c>
      <c r="B883" s="30">
        <f t="shared" si="52"/>
        <v>0.20920502092050208</v>
      </c>
      <c r="C883" s="30">
        <f t="shared" si="53"/>
        <v>958</v>
      </c>
      <c r="D883" s="30">
        <f t="shared" si="54"/>
        <v>1.6132500000000001</v>
      </c>
    </row>
    <row r="884" spans="1:4" x14ac:dyDescent="0.4">
      <c r="A884" s="30">
        <f t="shared" si="55"/>
        <v>937</v>
      </c>
      <c r="B884" s="30">
        <f t="shared" si="52"/>
        <v>0.2089864158829676</v>
      </c>
      <c r="C884" s="30">
        <f t="shared" si="53"/>
        <v>959</v>
      </c>
      <c r="D884" s="30">
        <f t="shared" si="54"/>
        <v>1.6149375000000001</v>
      </c>
    </row>
    <row r="885" spans="1:4" x14ac:dyDescent="0.4">
      <c r="A885" s="30">
        <f t="shared" si="55"/>
        <v>938</v>
      </c>
      <c r="B885" s="30">
        <f t="shared" si="52"/>
        <v>0.20876826722338204</v>
      </c>
      <c r="C885" s="30">
        <f t="shared" si="53"/>
        <v>960</v>
      </c>
      <c r="D885" s="30">
        <f t="shared" si="54"/>
        <v>1.6166250000000002</v>
      </c>
    </row>
    <row r="886" spans="1:4" x14ac:dyDescent="0.4">
      <c r="A886" s="30">
        <f t="shared" si="55"/>
        <v>939</v>
      </c>
      <c r="B886" s="30">
        <f t="shared" si="52"/>
        <v>0.20855057351407716</v>
      </c>
      <c r="C886" s="30">
        <f t="shared" si="53"/>
        <v>961</v>
      </c>
      <c r="D886" s="30">
        <f t="shared" si="54"/>
        <v>1.6183125</v>
      </c>
    </row>
    <row r="887" spans="1:4" x14ac:dyDescent="0.4">
      <c r="A887" s="30">
        <f t="shared" si="55"/>
        <v>940</v>
      </c>
      <c r="B887" s="30">
        <f t="shared" si="52"/>
        <v>0.20833333333333334</v>
      </c>
      <c r="C887" s="30">
        <f t="shared" si="53"/>
        <v>962</v>
      </c>
      <c r="D887" s="30">
        <f t="shared" si="54"/>
        <v>1.62</v>
      </c>
    </row>
    <row r="888" spans="1:4" x14ac:dyDescent="0.4">
      <c r="A888" s="30">
        <f t="shared" si="55"/>
        <v>941</v>
      </c>
      <c r="B888" s="30">
        <f t="shared" si="52"/>
        <v>0.20811654526534859</v>
      </c>
      <c r="C888" s="30">
        <f t="shared" si="53"/>
        <v>963</v>
      </c>
      <c r="D888" s="30">
        <f t="shared" si="54"/>
        <v>1.6216875000000002</v>
      </c>
    </row>
    <row r="889" spans="1:4" x14ac:dyDescent="0.4">
      <c r="A889" s="30">
        <f t="shared" si="55"/>
        <v>942</v>
      </c>
      <c r="B889" s="30">
        <f t="shared" si="52"/>
        <v>0.20790020790020791</v>
      </c>
      <c r="C889" s="30">
        <f t="shared" si="53"/>
        <v>964</v>
      </c>
      <c r="D889" s="30">
        <f t="shared" si="54"/>
        <v>1.623375</v>
      </c>
    </row>
    <row r="890" spans="1:4" x14ac:dyDescent="0.4">
      <c r="A890" s="30">
        <f t="shared" si="55"/>
        <v>943</v>
      </c>
      <c r="B890" s="30">
        <f t="shared" si="52"/>
        <v>0.20768431983385255</v>
      </c>
      <c r="C890" s="30">
        <f t="shared" si="53"/>
        <v>965</v>
      </c>
      <c r="D890" s="30">
        <f t="shared" si="54"/>
        <v>1.6250625000000001</v>
      </c>
    </row>
    <row r="891" spans="1:4" x14ac:dyDescent="0.4">
      <c r="A891" s="30">
        <f t="shared" si="55"/>
        <v>944</v>
      </c>
      <c r="B891" s="30">
        <f t="shared" si="52"/>
        <v>0.2074688796680498</v>
      </c>
      <c r="C891" s="30">
        <f t="shared" si="53"/>
        <v>966</v>
      </c>
      <c r="D891" s="30">
        <f t="shared" si="54"/>
        <v>1.6267499999999999</v>
      </c>
    </row>
    <row r="892" spans="1:4" x14ac:dyDescent="0.4">
      <c r="A892" s="30">
        <f t="shared" si="55"/>
        <v>945</v>
      </c>
      <c r="B892" s="30">
        <f t="shared" si="52"/>
        <v>0.20725388601036268</v>
      </c>
      <c r="C892" s="30">
        <f t="shared" si="53"/>
        <v>967</v>
      </c>
      <c r="D892" s="30">
        <f t="shared" si="54"/>
        <v>1.6284375000000002</v>
      </c>
    </row>
    <row r="893" spans="1:4" x14ac:dyDescent="0.4">
      <c r="A893" s="30">
        <f t="shared" si="55"/>
        <v>946</v>
      </c>
      <c r="B893" s="30">
        <f t="shared" si="52"/>
        <v>0.20703933747412009</v>
      </c>
      <c r="C893" s="30">
        <f t="shared" si="53"/>
        <v>968</v>
      </c>
      <c r="D893" s="30">
        <f t="shared" si="54"/>
        <v>1.630125</v>
      </c>
    </row>
    <row r="894" spans="1:4" x14ac:dyDescent="0.4">
      <c r="A894" s="30">
        <f t="shared" si="55"/>
        <v>947</v>
      </c>
      <c r="B894" s="30">
        <f t="shared" si="52"/>
        <v>0.20682523267838676</v>
      </c>
      <c r="C894" s="30">
        <f t="shared" si="53"/>
        <v>969</v>
      </c>
      <c r="D894" s="30">
        <f t="shared" si="54"/>
        <v>1.6318125000000001</v>
      </c>
    </row>
    <row r="895" spans="1:4" x14ac:dyDescent="0.4">
      <c r="A895" s="30">
        <f t="shared" si="55"/>
        <v>948</v>
      </c>
      <c r="B895" s="30">
        <f t="shared" si="52"/>
        <v>0.20661157024793389</v>
      </c>
      <c r="C895" s="30">
        <f t="shared" si="53"/>
        <v>970</v>
      </c>
      <c r="D895" s="30">
        <f t="shared" si="54"/>
        <v>1.6335</v>
      </c>
    </row>
    <row r="896" spans="1:4" x14ac:dyDescent="0.4">
      <c r="A896" s="30">
        <f t="shared" si="55"/>
        <v>949</v>
      </c>
      <c r="B896" s="30">
        <f t="shared" si="52"/>
        <v>0.20639834881320948</v>
      </c>
      <c r="C896" s="30">
        <f t="shared" si="53"/>
        <v>971</v>
      </c>
      <c r="D896" s="30">
        <f t="shared" si="54"/>
        <v>1.6351875000000002</v>
      </c>
    </row>
    <row r="897" spans="1:4" x14ac:dyDescent="0.4">
      <c r="A897" s="30">
        <f t="shared" si="55"/>
        <v>950</v>
      </c>
      <c r="B897" s="30">
        <f t="shared" si="52"/>
        <v>0.20618556701030927</v>
      </c>
      <c r="C897" s="30">
        <f t="shared" si="53"/>
        <v>972</v>
      </c>
      <c r="D897" s="30">
        <f t="shared" si="54"/>
        <v>1.6368750000000003</v>
      </c>
    </row>
    <row r="898" spans="1:4" x14ac:dyDescent="0.4">
      <c r="A898" s="30">
        <f t="shared" si="55"/>
        <v>951</v>
      </c>
      <c r="B898" s="30">
        <f t="shared" si="52"/>
        <v>0.20597322348094749</v>
      </c>
      <c r="C898" s="30">
        <f t="shared" si="53"/>
        <v>973</v>
      </c>
      <c r="D898" s="30">
        <f t="shared" si="54"/>
        <v>1.6385624999999999</v>
      </c>
    </row>
    <row r="899" spans="1:4" x14ac:dyDescent="0.4">
      <c r="A899" s="30">
        <f t="shared" si="55"/>
        <v>952</v>
      </c>
      <c r="B899" s="30">
        <f t="shared" si="52"/>
        <v>0.20576131687242799</v>
      </c>
      <c r="C899" s="30">
        <f t="shared" si="53"/>
        <v>974</v>
      </c>
      <c r="D899" s="30">
        <f t="shared" si="54"/>
        <v>1.64025</v>
      </c>
    </row>
    <row r="900" spans="1:4" x14ac:dyDescent="0.4">
      <c r="A900" s="30">
        <f t="shared" si="55"/>
        <v>953</v>
      </c>
      <c r="B900" s="30">
        <f t="shared" si="52"/>
        <v>0.20554984583761562</v>
      </c>
      <c r="C900" s="30">
        <f t="shared" si="53"/>
        <v>975</v>
      </c>
      <c r="D900" s="30">
        <f t="shared" si="54"/>
        <v>1.6419375</v>
      </c>
    </row>
    <row r="901" spans="1:4" x14ac:dyDescent="0.4">
      <c r="A901" s="30">
        <f t="shared" si="55"/>
        <v>954</v>
      </c>
      <c r="B901" s="30">
        <f t="shared" si="52"/>
        <v>0.20533880903490759</v>
      </c>
      <c r="C901" s="30">
        <f t="shared" si="53"/>
        <v>976</v>
      </c>
      <c r="D901" s="30">
        <f t="shared" si="54"/>
        <v>1.6436250000000001</v>
      </c>
    </row>
    <row r="902" spans="1:4" x14ac:dyDescent="0.4">
      <c r="A902" s="30">
        <f t="shared" si="55"/>
        <v>955</v>
      </c>
      <c r="B902" s="30">
        <f t="shared" si="52"/>
        <v>0.20512820512820512</v>
      </c>
      <c r="C902" s="30">
        <f t="shared" si="53"/>
        <v>977</v>
      </c>
      <c r="D902" s="30">
        <f t="shared" si="54"/>
        <v>1.6453125000000002</v>
      </c>
    </row>
    <row r="903" spans="1:4" x14ac:dyDescent="0.4">
      <c r="A903" s="30">
        <f t="shared" si="55"/>
        <v>956</v>
      </c>
      <c r="B903" s="30">
        <f t="shared" si="52"/>
        <v>0.20491803278688525</v>
      </c>
      <c r="C903" s="30">
        <f t="shared" si="53"/>
        <v>978</v>
      </c>
      <c r="D903" s="30">
        <f t="shared" si="54"/>
        <v>1.647</v>
      </c>
    </row>
    <row r="904" spans="1:4" x14ac:dyDescent="0.4">
      <c r="A904" s="30">
        <f t="shared" si="55"/>
        <v>957</v>
      </c>
      <c r="B904" s="30">
        <f t="shared" si="52"/>
        <v>0.20470829068577279</v>
      </c>
      <c r="C904" s="30">
        <f t="shared" si="53"/>
        <v>979</v>
      </c>
      <c r="D904" s="30">
        <f t="shared" si="54"/>
        <v>1.6486875000000001</v>
      </c>
    </row>
    <row r="905" spans="1:4" x14ac:dyDescent="0.4">
      <c r="A905" s="30">
        <f t="shared" si="55"/>
        <v>958</v>
      </c>
      <c r="B905" s="30">
        <f t="shared" si="52"/>
        <v>0.20449897750511248</v>
      </c>
      <c r="C905" s="30">
        <f t="shared" si="53"/>
        <v>980</v>
      </c>
      <c r="D905" s="30">
        <f t="shared" si="54"/>
        <v>1.6503750000000001</v>
      </c>
    </row>
    <row r="906" spans="1:4" x14ac:dyDescent="0.4">
      <c r="A906" s="30">
        <f t="shared" si="55"/>
        <v>959</v>
      </c>
      <c r="B906" s="30">
        <f t="shared" si="52"/>
        <v>0.20429009193054137</v>
      </c>
      <c r="C906" s="30">
        <f t="shared" si="53"/>
        <v>981</v>
      </c>
      <c r="D906" s="30">
        <f t="shared" si="54"/>
        <v>1.6520625</v>
      </c>
    </row>
    <row r="907" spans="1:4" x14ac:dyDescent="0.4">
      <c r="A907" s="30">
        <f t="shared" si="55"/>
        <v>960</v>
      </c>
      <c r="B907" s="30">
        <f t="shared" ref="B907:B970" si="56">$B$4/8/(A907+$B$2)</f>
        <v>0.20408163265306123</v>
      </c>
      <c r="C907" s="30">
        <f t="shared" si="53"/>
        <v>982</v>
      </c>
      <c r="D907" s="30">
        <f t="shared" si="54"/>
        <v>1.6537500000000001</v>
      </c>
    </row>
    <row r="908" spans="1:4" x14ac:dyDescent="0.4">
      <c r="A908" s="30">
        <f t="shared" si="55"/>
        <v>961</v>
      </c>
      <c r="B908" s="30">
        <f t="shared" si="56"/>
        <v>0.2038735983690112</v>
      </c>
      <c r="C908" s="30">
        <f t="shared" ref="C908:C971" si="57">A908+$E$6</f>
        <v>983</v>
      </c>
      <c r="D908" s="30">
        <f t="shared" ref="D908:D971" si="58">$H$3/B908/CEILING(C908/$H$2,1)</f>
        <v>1.6554375000000001</v>
      </c>
    </row>
    <row r="909" spans="1:4" x14ac:dyDescent="0.4">
      <c r="A909" s="30">
        <f t="shared" ref="A909:A972" si="59">A908+$B$3</f>
        <v>962</v>
      </c>
      <c r="B909" s="30">
        <f t="shared" si="56"/>
        <v>0.20366598778004075</v>
      </c>
      <c r="C909" s="30">
        <f t="shared" si="57"/>
        <v>984</v>
      </c>
      <c r="D909" s="30">
        <f t="shared" si="58"/>
        <v>1.657125</v>
      </c>
    </row>
    <row r="910" spans="1:4" x14ac:dyDescent="0.4">
      <c r="A910" s="30">
        <f t="shared" si="59"/>
        <v>963</v>
      </c>
      <c r="B910" s="30">
        <f t="shared" si="56"/>
        <v>0.20345879959308241</v>
      </c>
      <c r="C910" s="30">
        <f t="shared" si="57"/>
        <v>985</v>
      </c>
      <c r="D910" s="30">
        <f t="shared" si="58"/>
        <v>1.6588125</v>
      </c>
    </row>
    <row r="911" spans="1:4" x14ac:dyDescent="0.4">
      <c r="A911" s="30">
        <f t="shared" si="59"/>
        <v>964</v>
      </c>
      <c r="B911" s="30">
        <f t="shared" si="56"/>
        <v>0.2032520325203252</v>
      </c>
      <c r="C911" s="30">
        <f t="shared" si="57"/>
        <v>986</v>
      </c>
      <c r="D911" s="30">
        <f t="shared" si="58"/>
        <v>1.6605000000000001</v>
      </c>
    </row>
    <row r="912" spans="1:4" x14ac:dyDescent="0.4">
      <c r="A912" s="30">
        <f t="shared" si="59"/>
        <v>965</v>
      </c>
      <c r="B912" s="30">
        <f t="shared" si="56"/>
        <v>0.20304568527918782</v>
      </c>
      <c r="C912" s="30">
        <f t="shared" si="57"/>
        <v>987</v>
      </c>
      <c r="D912" s="30">
        <f t="shared" si="58"/>
        <v>1.6621875000000002</v>
      </c>
    </row>
    <row r="913" spans="1:4" x14ac:dyDescent="0.4">
      <c r="A913" s="30">
        <f t="shared" si="59"/>
        <v>966</v>
      </c>
      <c r="B913" s="30">
        <f t="shared" si="56"/>
        <v>0.20283975659229209</v>
      </c>
      <c r="C913" s="30">
        <f t="shared" si="57"/>
        <v>988</v>
      </c>
      <c r="D913" s="30">
        <f t="shared" si="58"/>
        <v>1.6638750000000002</v>
      </c>
    </row>
    <row r="914" spans="1:4" x14ac:dyDescent="0.4">
      <c r="A914" s="30">
        <f t="shared" si="59"/>
        <v>967</v>
      </c>
      <c r="B914" s="30">
        <f t="shared" si="56"/>
        <v>0.20263424518743667</v>
      </c>
      <c r="C914" s="30">
        <f t="shared" si="57"/>
        <v>989</v>
      </c>
      <c r="D914" s="30">
        <f t="shared" si="58"/>
        <v>1.6655625000000003</v>
      </c>
    </row>
    <row r="915" spans="1:4" x14ac:dyDescent="0.4">
      <c r="A915" s="30">
        <f t="shared" si="59"/>
        <v>968</v>
      </c>
      <c r="B915" s="30">
        <f t="shared" si="56"/>
        <v>0.20242914979757085</v>
      </c>
      <c r="C915" s="30">
        <f t="shared" si="57"/>
        <v>990</v>
      </c>
      <c r="D915" s="30">
        <f t="shared" si="58"/>
        <v>1.6672500000000001</v>
      </c>
    </row>
    <row r="916" spans="1:4" x14ac:dyDescent="0.4">
      <c r="A916" s="30">
        <f t="shared" si="59"/>
        <v>969</v>
      </c>
      <c r="B916" s="30">
        <f t="shared" si="56"/>
        <v>0.20222446916076844</v>
      </c>
      <c r="C916" s="30">
        <f t="shared" si="57"/>
        <v>991</v>
      </c>
      <c r="D916" s="30">
        <f t="shared" si="58"/>
        <v>1.6689375000000002</v>
      </c>
    </row>
    <row r="917" spans="1:4" x14ac:dyDescent="0.4">
      <c r="A917" s="30">
        <f t="shared" si="59"/>
        <v>970</v>
      </c>
      <c r="B917" s="30">
        <f t="shared" si="56"/>
        <v>0.20202020202020202</v>
      </c>
      <c r="C917" s="30">
        <f t="shared" si="57"/>
        <v>992</v>
      </c>
      <c r="D917" s="30">
        <f t="shared" si="58"/>
        <v>1.6706250000000002</v>
      </c>
    </row>
    <row r="918" spans="1:4" x14ac:dyDescent="0.4">
      <c r="A918" s="30">
        <f t="shared" si="59"/>
        <v>971</v>
      </c>
      <c r="B918" s="30">
        <f t="shared" si="56"/>
        <v>0.20181634712411706</v>
      </c>
      <c r="C918" s="30">
        <f t="shared" si="57"/>
        <v>993</v>
      </c>
      <c r="D918" s="30">
        <f t="shared" si="58"/>
        <v>1.6723125000000001</v>
      </c>
    </row>
    <row r="919" spans="1:4" x14ac:dyDescent="0.4">
      <c r="A919" s="30">
        <f t="shared" si="59"/>
        <v>972</v>
      </c>
      <c r="B919" s="30">
        <f t="shared" si="56"/>
        <v>0.20161290322580644</v>
      </c>
      <c r="C919" s="30">
        <f t="shared" si="57"/>
        <v>994</v>
      </c>
      <c r="D919" s="30">
        <f t="shared" si="58"/>
        <v>1.6740000000000002</v>
      </c>
    </row>
    <row r="920" spans="1:4" x14ac:dyDescent="0.4">
      <c r="A920" s="30">
        <f t="shared" si="59"/>
        <v>973</v>
      </c>
      <c r="B920" s="30">
        <f t="shared" si="56"/>
        <v>0.2014098690835851</v>
      </c>
      <c r="C920" s="30">
        <f t="shared" si="57"/>
        <v>995</v>
      </c>
      <c r="D920" s="30">
        <f t="shared" si="58"/>
        <v>1.6756875</v>
      </c>
    </row>
    <row r="921" spans="1:4" x14ac:dyDescent="0.4">
      <c r="A921" s="30">
        <f t="shared" si="59"/>
        <v>974</v>
      </c>
      <c r="B921" s="30">
        <f t="shared" si="56"/>
        <v>0.2012072434607646</v>
      </c>
      <c r="C921" s="30">
        <f t="shared" si="57"/>
        <v>996</v>
      </c>
      <c r="D921" s="30">
        <f t="shared" si="58"/>
        <v>1.6773750000000001</v>
      </c>
    </row>
    <row r="922" spans="1:4" x14ac:dyDescent="0.4">
      <c r="A922" s="30">
        <f t="shared" si="59"/>
        <v>975</v>
      </c>
      <c r="B922" s="30">
        <f t="shared" si="56"/>
        <v>0.20100502512562815</v>
      </c>
      <c r="C922" s="30">
        <f t="shared" si="57"/>
        <v>997</v>
      </c>
      <c r="D922" s="30">
        <f t="shared" si="58"/>
        <v>1.6790625000000001</v>
      </c>
    </row>
    <row r="923" spans="1:4" x14ac:dyDescent="0.4">
      <c r="A923" s="30">
        <f t="shared" si="59"/>
        <v>976</v>
      </c>
      <c r="B923" s="30">
        <f t="shared" si="56"/>
        <v>0.20080321285140562</v>
      </c>
      <c r="C923" s="30">
        <f t="shared" si="57"/>
        <v>998</v>
      </c>
      <c r="D923" s="30">
        <f t="shared" si="58"/>
        <v>1.6807500000000002</v>
      </c>
    </row>
    <row r="924" spans="1:4" x14ac:dyDescent="0.4">
      <c r="A924" s="30">
        <f t="shared" si="59"/>
        <v>977</v>
      </c>
      <c r="B924" s="30">
        <f t="shared" si="56"/>
        <v>0.20060180541624875</v>
      </c>
      <c r="C924" s="30">
        <f t="shared" si="57"/>
        <v>999</v>
      </c>
      <c r="D924" s="30">
        <f t="shared" si="58"/>
        <v>1.6824375</v>
      </c>
    </row>
    <row r="925" spans="1:4" x14ac:dyDescent="0.4">
      <c r="A925" s="30">
        <f t="shared" si="59"/>
        <v>978</v>
      </c>
      <c r="B925" s="30">
        <f t="shared" si="56"/>
        <v>0.20040080160320642</v>
      </c>
      <c r="C925" s="30">
        <f t="shared" si="57"/>
        <v>1000</v>
      </c>
      <c r="D925" s="30">
        <f t="shared" si="58"/>
        <v>1.6841250000000001</v>
      </c>
    </row>
    <row r="926" spans="1:4" x14ac:dyDescent="0.4">
      <c r="A926" s="30">
        <f t="shared" si="59"/>
        <v>979</v>
      </c>
      <c r="B926" s="30">
        <f t="shared" si="56"/>
        <v>0.20020020020020021</v>
      </c>
      <c r="C926" s="30">
        <f t="shared" si="57"/>
        <v>1001</v>
      </c>
      <c r="D926" s="30">
        <f t="shared" si="58"/>
        <v>1.6858124999999999</v>
      </c>
    </row>
    <row r="927" spans="1:4" x14ac:dyDescent="0.4">
      <c r="A927" s="30">
        <f t="shared" si="59"/>
        <v>980</v>
      </c>
      <c r="B927" s="30">
        <f t="shared" si="56"/>
        <v>0.2</v>
      </c>
      <c r="C927" s="30">
        <f t="shared" si="57"/>
        <v>1002</v>
      </c>
      <c r="D927" s="30">
        <f t="shared" si="58"/>
        <v>1.6875</v>
      </c>
    </row>
    <row r="928" spans="1:4" x14ac:dyDescent="0.4">
      <c r="A928" s="30">
        <f t="shared" si="59"/>
        <v>981</v>
      </c>
      <c r="B928" s="30">
        <f t="shared" si="56"/>
        <v>0.19980019980019981</v>
      </c>
      <c r="C928" s="30">
        <f t="shared" si="57"/>
        <v>1003</v>
      </c>
      <c r="D928" s="30">
        <f t="shared" si="58"/>
        <v>1.6891875000000001</v>
      </c>
    </row>
    <row r="929" spans="1:4" x14ac:dyDescent="0.4">
      <c r="A929" s="30">
        <f t="shared" si="59"/>
        <v>982</v>
      </c>
      <c r="B929" s="30">
        <f t="shared" si="56"/>
        <v>0.19960079840319361</v>
      </c>
      <c r="C929" s="30">
        <f t="shared" si="57"/>
        <v>1004</v>
      </c>
      <c r="D929" s="30">
        <f t="shared" si="58"/>
        <v>1.6908750000000001</v>
      </c>
    </row>
    <row r="930" spans="1:4" x14ac:dyDescent="0.4">
      <c r="A930" s="30">
        <f t="shared" si="59"/>
        <v>983</v>
      </c>
      <c r="B930" s="30">
        <f t="shared" si="56"/>
        <v>0.19940179461615154</v>
      </c>
      <c r="C930" s="30">
        <f t="shared" si="57"/>
        <v>1005</v>
      </c>
      <c r="D930" s="30">
        <f t="shared" si="58"/>
        <v>1.6925625000000002</v>
      </c>
    </row>
    <row r="931" spans="1:4" x14ac:dyDescent="0.4">
      <c r="A931" s="30">
        <f t="shared" si="59"/>
        <v>984</v>
      </c>
      <c r="B931" s="30">
        <f t="shared" si="56"/>
        <v>0.19920318725099601</v>
      </c>
      <c r="C931" s="30">
        <f t="shared" si="57"/>
        <v>1006</v>
      </c>
      <c r="D931" s="30">
        <f t="shared" si="58"/>
        <v>1.6942500000000003</v>
      </c>
    </row>
    <row r="932" spans="1:4" x14ac:dyDescent="0.4">
      <c r="A932" s="30">
        <f t="shared" si="59"/>
        <v>985</v>
      </c>
      <c r="B932" s="30">
        <f t="shared" si="56"/>
        <v>0.19900497512437812</v>
      </c>
      <c r="C932" s="30">
        <f t="shared" si="57"/>
        <v>1007</v>
      </c>
      <c r="D932" s="30">
        <f t="shared" si="58"/>
        <v>1.6959375000000001</v>
      </c>
    </row>
    <row r="933" spans="1:4" x14ac:dyDescent="0.4">
      <c r="A933" s="30">
        <f t="shared" si="59"/>
        <v>986</v>
      </c>
      <c r="B933" s="30">
        <f t="shared" si="56"/>
        <v>0.19880715705765409</v>
      </c>
      <c r="C933" s="30">
        <f t="shared" si="57"/>
        <v>1008</v>
      </c>
      <c r="D933" s="30">
        <f t="shared" si="58"/>
        <v>1.6976249999999999</v>
      </c>
    </row>
    <row r="934" spans="1:4" x14ac:dyDescent="0.4">
      <c r="A934" s="30">
        <f t="shared" si="59"/>
        <v>987</v>
      </c>
      <c r="B934" s="30">
        <f t="shared" si="56"/>
        <v>0.19860973187686196</v>
      </c>
      <c r="C934" s="30">
        <f t="shared" si="57"/>
        <v>1009</v>
      </c>
      <c r="D934" s="30">
        <f t="shared" si="58"/>
        <v>1.6993125000000002</v>
      </c>
    </row>
    <row r="935" spans="1:4" x14ac:dyDescent="0.4">
      <c r="A935" s="30">
        <f t="shared" si="59"/>
        <v>988</v>
      </c>
      <c r="B935" s="30">
        <f t="shared" si="56"/>
        <v>0.1984126984126984</v>
      </c>
      <c r="C935" s="30">
        <f t="shared" si="57"/>
        <v>1010</v>
      </c>
      <c r="D935" s="30">
        <f t="shared" si="58"/>
        <v>1.7010000000000003</v>
      </c>
    </row>
    <row r="936" spans="1:4" x14ac:dyDescent="0.4">
      <c r="A936" s="30">
        <f t="shared" si="59"/>
        <v>989</v>
      </c>
      <c r="B936" s="30">
        <f t="shared" si="56"/>
        <v>0.19821605550049554</v>
      </c>
      <c r="C936" s="30">
        <f t="shared" si="57"/>
        <v>1011</v>
      </c>
      <c r="D936" s="30">
        <f t="shared" si="58"/>
        <v>1.7026875000000001</v>
      </c>
    </row>
    <row r="937" spans="1:4" x14ac:dyDescent="0.4">
      <c r="A937" s="30">
        <f t="shared" si="59"/>
        <v>990</v>
      </c>
      <c r="B937" s="30">
        <f t="shared" si="56"/>
        <v>0.19801980198019803</v>
      </c>
      <c r="C937" s="30">
        <f t="shared" si="57"/>
        <v>1012</v>
      </c>
      <c r="D937" s="30">
        <f t="shared" si="58"/>
        <v>1.704375</v>
      </c>
    </row>
    <row r="938" spans="1:4" x14ac:dyDescent="0.4">
      <c r="A938" s="30">
        <f t="shared" si="59"/>
        <v>991</v>
      </c>
      <c r="B938" s="30">
        <f t="shared" si="56"/>
        <v>0.19782393669634027</v>
      </c>
      <c r="C938" s="30">
        <f t="shared" si="57"/>
        <v>1013</v>
      </c>
      <c r="D938" s="30">
        <f t="shared" si="58"/>
        <v>1.7060625</v>
      </c>
    </row>
    <row r="939" spans="1:4" x14ac:dyDescent="0.4">
      <c r="A939" s="30">
        <f t="shared" si="59"/>
        <v>992</v>
      </c>
      <c r="B939" s="30">
        <f t="shared" si="56"/>
        <v>0.19762845849802371</v>
      </c>
      <c r="C939" s="30">
        <f t="shared" si="57"/>
        <v>1014</v>
      </c>
      <c r="D939" s="30">
        <f t="shared" si="58"/>
        <v>1.7077500000000001</v>
      </c>
    </row>
    <row r="940" spans="1:4" x14ac:dyDescent="0.4">
      <c r="A940" s="30">
        <f t="shared" si="59"/>
        <v>993</v>
      </c>
      <c r="B940" s="30">
        <f t="shared" si="56"/>
        <v>0.19743336623889438</v>
      </c>
      <c r="C940" s="30">
        <f t="shared" si="57"/>
        <v>1015</v>
      </c>
      <c r="D940" s="30">
        <f t="shared" si="58"/>
        <v>1.7094375000000002</v>
      </c>
    </row>
    <row r="941" spans="1:4" x14ac:dyDescent="0.4">
      <c r="A941" s="30">
        <f t="shared" si="59"/>
        <v>994</v>
      </c>
      <c r="B941" s="30">
        <f t="shared" si="56"/>
        <v>0.19723865877712032</v>
      </c>
      <c r="C941" s="30">
        <f t="shared" si="57"/>
        <v>1016</v>
      </c>
      <c r="D941" s="30">
        <f t="shared" si="58"/>
        <v>1.711125</v>
      </c>
    </row>
    <row r="942" spans="1:4" x14ac:dyDescent="0.4">
      <c r="A942" s="30">
        <f t="shared" si="59"/>
        <v>995</v>
      </c>
      <c r="B942" s="30">
        <f t="shared" si="56"/>
        <v>0.19704433497536947</v>
      </c>
      <c r="C942" s="30">
        <f t="shared" si="57"/>
        <v>1017</v>
      </c>
      <c r="D942" s="30">
        <f t="shared" si="58"/>
        <v>1.7128125000000001</v>
      </c>
    </row>
    <row r="943" spans="1:4" x14ac:dyDescent="0.4">
      <c r="A943" s="30">
        <f t="shared" si="59"/>
        <v>996</v>
      </c>
      <c r="B943" s="30">
        <f t="shared" si="56"/>
        <v>0.19685039370078741</v>
      </c>
      <c r="C943" s="30">
        <f t="shared" si="57"/>
        <v>1018</v>
      </c>
      <c r="D943" s="30">
        <f t="shared" si="58"/>
        <v>1.7144999999999999</v>
      </c>
    </row>
    <row r="944" spans="1:4" x14ac:dyDescent="0.4">
      <c r="A944" s="30">
        <f t="shared" si="59"/>
        <v>997</v>
      </c>
      <c r="B944" s="30">
        <f t="shared" si="56"/>
        <v>0.19665683382497542</v>
      </c>
      <c r="C944" s="30">
        <f t="shared" si="57"/>
        <v>1019</v>
      </c>
      <c r="D944" s="30">
        <f t="shared" si="58"/>
        <v>1.7161875</v>
      </c>
    </row>
    <row r="945" spans="1:4" x14ac:dyDescent="0.4">
      <c r="A945" s="30">
        <f t="shared" si="59"/>
        <v>998</v>
      </c>
      <c r="B945" s="30">
        <f t="shared" si="56"/>
        <v>0.19646365422396855</v>
      </c>
      <c r="C945" s="30">
        <f t="shared" si="57"/>
        <v>1020</v>
      </c>
      <c r="D945" s="30">
        <f t="shared" si="58"/>
        <v>1.7178750000000003</v>
      </c>
    </row>
    <row r="946" spans="1:4" x14ac:dyDescent="0.4">
      <c r="A946" s="30">
        <f t="shared" si="59"/>
        <v>999</v>
      </c>
      <c r="B946" s="30">
        <f t="shared" si="56"/>
        <v>0.19627085377821393</v>
      </c>
      <c r="C946" s="30">
        <f t="shared" si="57"/>
        <v>1021</v>
      </c>
      <c r="D946" s="30">
        <f t="shared" si="58"/>
        <v>1.7195625000000001</v>
      </c>
    </row>
    <row r="947" spans="1:4" x14ac:dyDescent="0.4">
      <c r="A947" s="30">
        <f t="shared" si="59"/>
        <v>1000</v>
      </c>
      <c r="B947" s="30">
        <f t="shared" si="56"/>
        <v>0.19607843137254902</v>
      </c>
      <c r="C947" s="30">
        <f t="shared" si="57"/>
        <v>1022</v>
      </c>
      <c r="D947" s="30">
        <f t="shared" si="58"/>
        <v>1.7212500000000002</v>
      </c>
    </row>
    <row r="948" spans="1:4" x14ac:dyDescent="0.4">
      <c r="A948" s="30">
        <f t="shared" si="59"/>
        <v>1001</v>
      </c>
      <c r="B948" s="30">
        <f t="shared" si="56"/>
        <v>0.19588638589618021</v>
      </c>
      <c r="C948" s="30">
        <f t="shared" si="57"/>
        <v>1023</v>
      </c>
      <c r="D948" s="30">
        <f t="shared" si="58"/>
        <v>1.7229375000000002</v>
      </c>
    </row>
    <row r="949" spans="1:4" x14ac:dyDescent="0.4">
      <c r="A949" s="30">
        <f t="shared" si="59"/>
        <v>1002</v>
      </c>
      <c r="B949" s="30">
        <f t="shared" si="56"/>
        <v>0.19569471624266144</v>
      </c>
      <c r="C949" s="30">
        <f t="shared" si="57"/>
        <v>1024</v>
      </c>
      <c r="D949" s="30">
        <f t="shared" si="58"/>
        <v>1.7246250000000003</v>
      </c>
    </row>
    <row r="950" spans="1:4" x14ac:dyDescent="0.4">
      <c r="A950" s="30">
        <f t="shared" si="59"/>
        <v>1003</v>
      </c>
      <c r="B950" s="30">
        <f t="shared" si="56"/>
        <v>0.19550342130987292</v>
      </c>
      <c r="C950" s="30">
        <f t="shared" si="57"/>
        <v>1025</v>
      </c>
      <c r="D950" s="30">
        <f t="shared" si="58"/>
        <v>1.3810500000000001</v>
      </c>
    </row>
    <row r="951" spans="1:4" x14ac:dyDescent="0.4">
      <c r="A951" s="30">
        <f t="shared" si="59"/>
        <v>1004</v>
      </c>
      <c r="B951" s="30">
        <f t="shared" si="56"/>
        <v>0.1953125</v>
      </c>
      <c r="C951" s="30">
        <f t="shared" si="57"/>
        <v>1026</v>
      </c>
      <c r="D951" s="30">
        <f t="shared" si="58"/>
        <v>1.3824000000000001</v>
      </c>
    </row>
    <row r="952" spans="1:4" x14ac:dyDescent="0.4">
      <c r="A952" s="30">
        <f t="shared" si="59"/>
        <v>1005</v>
      </c>
      <c r="B952" s="30">
        <f t="shared" si="56"/>
        <v>0.1951219512195122</v>
      </c>
      <c r="C952" s="30">
        <f t="shared" si="57"/>
        <v>1027</v>
      </c>
      <c r="D952" s="30">
        <f t="shared" si="58"/>
        <v>1.38375</v>
      </c>
    </row>
    <row r="953" spans="1:4" x14ac:dyDescent="0.4">
      <c r="A953" s="30">
        <f t="shared" si="59"/>
        <v>1006</v>
      </c>
      <c r="B953" s="30">
        <f t="shared" si="56"/>
        <v>0.19493177387914229</v>
      </c>
      <c r="C953" s="30">
        <f t="shared" si="57"/>
        <v>1028</v>
      </c>
      <c r="D953" s="30">
        <f t="shared" si="58"/>
        <v>1.3851</v>
      </c>
    </row>
    <row r="954" spans="1:4" x14ac:dyDescent="0.4">
      <c r="A954" s="30">
        <f t="shared" si="59"/>
        <v>1007</v>
      </c>
      <c r="B954" s="30">
        <f t="shared" si="56"/>
        <v>0.19474196689386564</v>
      </c>
      <c r="C954" s="30">
        <f t="shared" si="57"/>
        <v>1029</v>
      </c>
      <c r="D954" s="30">
        <f t="shared" si="58"/>
        <v>1.38645</v>
      </c>
    </row>
    <row r="955" spans="1:4" x14ac:dyDescent="0.4">
      <c r="A955" s="30">
        <f t="shared" si="59"/>
        <v>1008</v>
      </c>
      <c r="B955" s="30">
        <f t="shared" si="56"/>
        <v>0.19455252918287938</v>
      </c>
      <c r="C955" s="30">
        <f t="shared" si="57"/>
        <v>1030</v>
      </c>
      <c r="D955" s="30">
        <f t="shared" si="58"/>
        <v>1.3877999999999999</v>
      </c>
    </row>
    <row r="956" spans="1:4" x14ac:dyDescent="0.4">
      <c r="A956" s="30">
        <f t="shared" si="59"/>
        <v>1009</v>
      </c>
      <c r="B956" s="30">
        <f t="shared" si="56"/>
        <v>0.19436345966958213</v>
      </c>
      <c r="C956" s="30">
        <f t="shared" si="57"/>
        <v>1031</v>
      </c>
      <c r="D956" s="30">
        <f t="shared" si="58"/>
        <v>1.3891500000000001</v>
      </c>
    </row>
    <row r="957" spans="1:4" x14ac:dyDescent="0.4">
      <c r="A957" s="30">
        <f t="shared" si="59"/>
        <v>1010</v>
      </c>
      <c r="B957" s="30">
        <f t="shared" si="56"/>
        <v>0.1941747572815534</v>
      </c>
      <c r="C957" s="30">
        <f t="shared" si="57"/>
        <v>1032</v>
      </c>
      <c r="D957" s="30">
        <f t="shared" si="58"/>
        <v>1.3905000000000001</v>
      </c>
    </row>
    <row r="958" spans="1:4" x14ac:dyDescent="0.4">
      <c r="A958" s="30">
        <f t="shared" si="59"/>
        <v>1011</v>
      </c>
      <c r="B958" s="30">
        <f t="shared" si="56"/>
        <v>0.19398642095053345</v>
      </c>
      <c r="C958" s="30">
        <f t="shared" si="57"/>
        <v>1033</v>
      </c>
      <c r="D958" s="30">
        <f t="shared" si="58"/>
        <v>1.3918500000000003</v>
      </c>
    </row>
    <row r="959" spans="1:4" x14ac:dyDescent="0.4">
      <c r="A959" s="30">
        <f t="shared" si="59"/>
        <v>1012</v>
      </c>
      <c r="B959" s="30">
        <f t="shared" si="56"/>
        <v>0.19379844961240311</v>
      </c>
      <c r="C959" s="30">
        <f t="shared" si="57"/>
        <v>1034</v>
      </c>
      <c r="D959" s="30">
        <f t="shared" si="58"/>
        <v>1.3932</v>
      </c>
    </row>
    <row r="960" spans="1:4" x14ac:dyDescent="0.4">
      <c r="A960" s="30">
        <f t="shared" si="59"/>
        <v>1013</v>
      </c>
      <c r="B960" s="30">
        <f t="shared" si="56"/>
        <v>0.1936108422071636</v>
      </c>
      <c r="C960" s="30">
        <f t="shared" si="57"/>
        <v>1035</v>
      </c>
      <c r="D960" s="30">
        <f t="shared" si="58"/>
        <v>1.3945500000000002</v>
      </c>
    </row>
    <row r="961" spans="1:4" x14ac:dyDescent="0.4">
      <c r="A961" s="30">
        <f t="shared" si="59"/>
        <v>1014</v>
      </c>
      <c r="B961" s="30">
        <f t="shared" si="56"/>
        <v>0.19342359767891681</v>
      </c>
      <c r="C961" s="30">
        <f t="shared" si="57"/>
        <v>1036</v>
      </c>
      <c r="D961" s="30">
        <f t="shared" si="58"/>
        <v>1.3959000000000001</v>
      </c>
    </row>
    <row r="962" spans="1:4" x14ac:dyDescent="0.4">
      <c r="A962" s="30">
        <f t="shared" si="59"/>
        <v>1015</v>
      </c>
      <c r="B962" s="30">
        <f t="shared" si="56"/>
        <v>0.19323671497584541</v>
      </c>
      <c r="C962" s="30">
        <f t="shared" si="57"/>
        <v>1037</v>
      </c>
      <c r="D962" s="30">
        <f t="shared" si="58"/>
        <v>1.3972500000000001</v>
      </c>
    </row>
    <row r="963" spans="1:4" x14ac:dyDescent="0.4">
      <c r="A963" s="30">
        <f t="shared" si="59"/>
        <v>1016</v>
      </c>
      <c r="B963" s="30">
        <f t="shared" si="56"/>
        <v>0.19305019305019305</v>
      </c>
      <c r="C963" s="30">
        <f t="shared" si="57"/>
        <v>1038</v>
      </c>
      <c r="D963" s="30">
        <f t="shared" si="58"/>
        <v>1.3986000000000001</v>
      </c>
    </row>
    <row r="964" spans="1:4" x14ac:dyDescent="0.4">
      <c r="A964" s="30">
        <f t="shared" si="59"/>
        <v>1017</v>
      </c>
      <c r="B964" s="30">
        <f t="shared" si="56"/>
        <v>0.19286403085824494</v>
      </c>
      <c r="C964" s="30">
        <f t="shared" si="57"/>
        <v>1039</v>
      </c>
      <c r="D964" s="30">
        <f t="shared" si="58"/>
        <v>1.39995</v>
      </c>
    </row>
    <row r="965" spans="1:4" x14ac:dyDescent="0.4">
      <c r="A965" s="30">
        <f t="shared" si="59"/>
        <v>1018</v>
      </c>
      <c r="B965" s="30">
        <f t="shared" si="56"/>
        <v>0.19267822736030829</v>
      </c>
      <c r="C965" s="30">
        <f t="shared" si="57"/>
        <v>1040</v>
      </c>
      <c r="D965" s="30">
        <f t="shared" si="58"/>
        <v>1.4013</v>
      </c>
    </row>
    <row r="966" spans="1:4" x14ac:dyDescent="0.4">
      <c r="A966" s="30">
        <f t="shared" si="59"/>
        <v>1019</v>
      </c>
      <c r="B966" s="30">
        <f t="shared" si="56"/>
        <v>0.19249278152069296</v>
      </c>
      <c r="C966" s="30">
        <f t="shared" si="57"/>
        <v>1041</v>
      </c>
      <c r="D966" s="30">
        <f t="shared" si="58"/>
        <v>1.4026500000000002</v>
      </c>
    </row>
    <row r="967" spans="1:4" x14ac:dyDescent="0.4">
      <c r="A967" s="30">
        <f t="shared" si="59"/>
        <v>1020</v>
      </c>
      <c r="B967" s="30">
        <f t="shared" si="56"/>
        <v>0.19230769230769232</v>
      </c>
      <c r="C967" s="30">
        <f t="shared" si="57"/>
        <v>1042</v>
      </c>
      <c r="D967" s="30">
        <f t="shared" si="58"/>
        <v>1.4040000000000001</v>
      </c>
    </row>
    <row r="968" spans="1:4" x14ac:dyDescent="0.4">
      <c r="A968" s="30">
        <f t="shared" si="59"/>
        <v>1021</v>
      </c>
      <c r="B968" s="30">
        <f t="shared" si="56"/>
        <v>0.19212295869356388</v>
      </c>
      <c r="C968" s="30">
        <f t="shared" si="57"/>
        <v>1043</v>
      </c>
      <c r="D968" s="30">
        <f t="shared" si="58"/>
        <v>1.4053500000000001</v>
      </c>
    </row>
    <row r="969" spans="1:4" x14ac:dyDescent="0.4">
      <c r="A969" s="30">
        <f t="shared" si="59"/>
        <v>1022</v>
      </c>
      <c r="B969" s="30">
        <f t="shared" si="56"/>
        <v>0.19193857965451055</v>
      </c>
      <c r="C969" s="30">
        <f t="shared" si="57"/>
        <v>1044</v>
      </c>
      <c r="D969" s="30">
        <f t="shared" si="58"/>
        <v>1.4067000000000001</v>
      </c>
    </row>
    <row r="970" spans="1:4" x14ac:dyDescent="0.4">
      <c r="A970" s="30">
        <f t="shared" si="59"/>
        <v>1023</v>
      </c>
      <c r="B970" s="30">
        <f t="shared" si="56"/>
        <v>0.19175455417066156</v>
      </c>
      <c r="C970" s="30">
        <f t="shared" si="57"/>
        <v>1045</v>
      </c>
      <c r="D970" s="30">
        <f t="shared" si="58"/>
        <v>1.40805</v>
      </c>
    </row>
    <row r="971" spans="1:4" x14ac:dyDescent="0.4">
      <c r="A971" s="30">
        <f t="shared" si="59"/>
        <v>1024</v>
      </c>
      <c r="B971" s="30">
        <f t="shared" ref="B971:B1034" si="60">$B$4/8/(A971+$B$2)</f>
        <v>0.19157088122605365</v>
      </c>
      <c r="C971" s="30">
        <f t="shared" si="57"/>
        <v>1046</v>
      </c>
      <c r="D971" s="30">
        <f t="shared" si="58"/>
        <v>1.4094000000000002</v>
      </c>
    </row>
    <row r="972" spans="1:4" x14ac:dyDescent="0.4">
      <c r="A972" s="30">
        <f t="shared" si="59"/>
        <v>1025</v>
      </c>
      <c r="B972" s="30">
        <f t="shared" si="60"/>
        <v>0.19138755980861244</v>
      </c>
      <c r="C972" s="30">
        <f t="shared" ref="C972:C1035" si="61">A972+$E$6</f>
        <v>1047</v>
      </c>
      <c r="D972" s="30">
        <f t="shared" ref="D972:D1035" si="62">$H$3/B972/CEILING(C972/$H$2,1)</f>
        <v>1.4107500000000002</v>
      </c>
    </row>
    <row r="973" spans="1:4" x14ac:dyDescent="0.4">
      <c r="A973" s="30">
        <f t="shared" ref="A973:A1036" si="63">A972+$B$3</f>
        <v>1026</v>
      </c>
      <c r="B973" s="30">
        <f t="shared" si="60"/>
        <v>0.19120458891013384</v>
      </c>
      <c r="C973" s="30">
        <f t="shared" si="61"/>
        <v>1048</v>
      </c>
      <c r="D973" s="30">
        <f t="shared" si="62"/>
        <v>1.4121000000000001</v>
      </c>
    </row>
    <row r="974" spans="1:4" x14ac:dyDescent="0.4">
      <c r="A974" s="30">
        <f t="shared" si="63"/>
        <v>1027</v>
      </c>
      <c r="B974" s="30">
        <f t="shared" si="60"/>
        <v>0.19102196752626552</v>
      </c>
      <c r="C974" s="30">
        <f t="shared" si="61"/>
        <v>1049</v>
      </c>
      <c r="D974" s="30">
        <f t="shared" si="62"/>
        <v>1.4134500000000001</v>
      </c>
    </row>
    <row r="975" spans="1:4" x14ac:dyDescent="0.4">
      <c r="A975" s="30">
        <f t="shared" si="63"/>
        <v>1028</v>
      </c>
      <c r="B975" s="30">
        <f t="shared" si="60"/>
        <v>0.19083969465648856</v>
      </c>
      <c r="C975" s="30">
        <f t="shared" si="61"/>
        <v>1050</v>
      </c>
      <c r="D975" s="30">
        <f t="shared" si="62"/>
        <v>1.4148000000000001</v>
      </c>
    </row>
    <row r="976" spans="1:4" x14ac:dyDescent="0.4">
      <c r="A976" s="30">
        <f t="shared" si="63"/>
        <v>1029</v>
      </c>
      <c r="B976" s="30">
        <f t="shared" si="60"/>
        <v>0.19065776930409914</v>
      </c>
      <c r="C976" s="30">
        <f t="shared" si="61"/>
        <v>1051</v>
      </c>
      <c r="D976" s="30">
        <f t="shared" si="62"/>
        <v>1.4161500000000002</v>
      </c>
    </row>
    <row r="977" spans="1:4" x14ac:dyDescent="0.4">
      <c r="A977" s="30">
        <f t="shared" si="63"/>
        <v>1030</v>
      </c>
      <c r="B977" s="30">
        <f t="shared" si="60"/>
        <v>0.19047619047619047</v>
      </c>
      <c r="C977" s="30">
        <f t="shared" si="61"/>
        <v>1052</v>
      </c>
      <c r="D977" s="30">
        <f t="shared" si="62"/>
        <v>1.4175000000000002</v>
      </c>
    </row>
    <row r="978" spans="1:4" x14ac:dyDescent="0.4">
      <c r="A978" s="30">
        <f t="shared" si="63"/>
        <v>1031</v>
      </c>
      <c r="B978" s="30">
        <f t="shared" si="60"/>
        <v>0.19029495718363462</v>
      </c>
      <c r="C978" s="30">
        <f t="shared" si="61"/>
        <v>1053</v>
      </c>
      <c r="D978" s="30">
        <f t="shared" si="62"/>
        <v>1.4188500000000002</v>
      </c>
    </row>
    <row r="979" spans="1:4" x14ac:dyDescent="0.4">
      <c r="A979" s="30">
        <f t="shared" si="63"/>
        <v>1032</v>
      </c>
      <c r="B979" s="30">
        <f t="shared" si="60"/>
        <v>0.19011406844106463</v>
      </c>
      <c r="C979" s="30">
        <f t="shared" si="61"/>
        <v>1054</v>
      </c>
      <c r="D979" s="30">
        <f t="shared" si="62"/>
        <v>1.4202000000000001</v>
      </c>
    </row>
    <row r="980" spans="1:4" x14ac:dyDescent="0.4">
      <c r="A980" s="30">
        <f t="shared" si="63"/>
        <v>1033</v>
      </c>
      <c r="B980" s="30">
        <f t="shared" si="60"/>
        <v>0.18993352326685661</v>
      </c>
      <c r="C980" s="30">
        <f t="shared" si="61"/>
        <v>1055</v>
      </c>
      <c r="D980" s="30">
        <f t="shared" si="62"/>
        <v>1.4215500000000001</v>
      </c>
    </row>
    <row r="981" spans="1:4" x14ac:dyDescent="0.4">
      <c r="A981" s="30">
        <f t="shared" si="63"/>
        <v>1034</v>
      </c>
      <c r="B981" s="30">
        <f t="shared" si="60"/>
        <v>0.18975332068311196</v>
      </c>
      <c r="C981" s="30">
        <f t="shared" si="61"/>
        <v>1056</v>
      </c>
      <c r="D981" s="30">
        <f t="shared" si="62"/>
        <v>1.4229000000000001</v>
      </c>
    </row>
    <row r="982" spans="1:4" x14ac:dyDescent="0.4">
      <c r="A982" s="30">
        <f t="shared" si="63"/>
        <v>1035</v>
      </c>
      <c r="B982" s="30">
        <f t="shared" si="60"/>
        <v>0.1895734597156398</v>
      </c>
      <c r="C982" s="30">
        <f t="shared" si="61"/>
        <v>1057</v>
      </c>
      <c r="D982" s="30">
        <f t="shared" si="62"/>
        <v>1.4242500000000002</v>
      </c>
    </row>
    <row r="983" spans="1:4" x14ac:dyDescent="0.4">
      <c r="A983" s="30">
        <f t="shared" si="63"/>
        <v>1036</v>
      </c>
      <c r="B983" s="30">
        <f t="shared" si="60"/>
        <v>0.18939393939393939</v>
      </c>
      <c r="C983" s="30">
        <f t="shared" si="61"/>
        <v>1058</v>
      </c>
      <c r="D983" s="30">
        <f t="shared" si="62"/>
        <v>1.4256</v>
      </c>
    </row>
    <row r="984" spans="1:4" x14ac:dyDescent="0.4">
      <c r="A984" s="30">
        <f t="shared" si="63"/>
        <v>1037</v>
      </c>
      <c r="B984" s="30">
        <f t="shared" si="60"/>
        <v>0.1892147587511826</v>
      </c>
      <c r="C984" s="30">
        <f t="shared" si="61"/>
        <v>1059</v>
      </c>
      <c r="D984" s="30">
        <f t="shared" si="62"/>
        <v>1.4269500000000002</v>
      </c>
    </row>
    <row r="985" spans="1:4" x14ac:dyDescent="0.4">
      <c r="A985" s="30">
        <f t="shared" si="63"/>
        <v>1038</v>
      </c>
      <c r="B985" s="30">
        <f t="shared" si="60"/>
        <v>0.1890359168241966</v>
      </c>
      <c r="C985" s="30">
        <f t="shared" si="61"/>
        <v>1060</v>
      </c>
      <c r="D985" s="30">
        <f t="shared" si="62"/>
        <v>1.4283000000000001</v>
      </c>
    </row>
    <row r="986" spans="1:4" x14ac:dyDescent="0.4">
      <c r="A986" s="30">
        <f t="shared" si="63"/>
        <v>1039</v>
      </c>
      <c r="B986" s="30">
        <f t="shared" si="60"/>
        <v>0.18885741265344666</v>
      </c>
      <c r="C986" s="30">
        <f t="shared" si="61"/>
        <v>1061</v>
      </c>
      <c r="D986" s="30">
        <f t="shared" si="62"/>
        <v>1.4296500000000001</v>
      </c>
    </row>
    <row r="987" spans="1:4" x14ac:dyDescent="0.4">
      <c r="A987" s="30">
        <f t="shared" si="63"/>
        <v>1040</v>
      </c>
      <c r="B987" s="30">
        <f t="shared" si="60"/>
        <v>0.18867924528301888</v>
      </c>
      <c r="C987" s="30">
        <f t="shared" si="61"/>
        <v>1062</v>
      </c>
      <c r="D987" s="30">
        <f t="shared" si="62"/>
        <v>1.431</v>
      </c>
    </row>
    <row r="988" spans="1:4" x14ac:dyDescent="0.4">
      <c r="A988" s="30">
        <f t="shared" si="63"/>
        <v>1041</v>
      </c>
      <c r="B988" s="30">
        <f t="shared" si="60"/>
        <v>0.1885014137606032</v>
      </c>
      <c r="C988" s="30">
        <f t="shared" si="61"/>
        <v>1063</v>
      </c>
      <c r="D988" s="30">
        <f t="shared" si="62"/>
        <v>1.43235</v>
      </c>
    </row>
    <row r="989" spans="1:4" x14ac:dyDescent="0.4">
      <c r="A989" s="30">
        <f t="shared" si="63"/>
        <v>1042</v>
      </c>
      <c r="B989" s="30">
        <f t="shared" si="60"/>
        <v>0.18832391713747645</v>
      </c>
      <c r="C989" s="30">
        <f t="shared" si="61"/>
        <v>1064</v>
      </c>
      <c r="D989" s="30">
        <f t="shared" si="62"/>
        <v>1.4337000000000002</v>
      </c>
    </row>
    <row r="990" spans="1:4" x14ac:dyDescent="0.4">
      <c r="A990" s="30">
        <f t="shared" si="63"/>
        <v>1043</v>
      </c>
      <c r="B990" s="30">
        <f t="shared" si="60"/>
        <v>0.18814675446848542</v>
      </c>
      <c r="C990" s="30">
        <f t="shared" si="61"/>
        <v>1065</v>
      </c>
      <c r="D990" s="30">
        <f t="shared" si="62"/>
        <v>1.4350499999999999</v>
      </c>
    </row>
    <row r="991" spans="1:4" x14ac:dyDescent="0.4">
      <c r="A991" s="30">
        <f t="shared" si="63"/>
        <v>1044</v>
      </c>
      <c r="B991" s="30">
        <f t="shared" si="60"/>
        <v>0.18796992481203006</v>
      </c>
      <c r="C991" s="30">
        <f t="shared" si="61"/>
        <v>1066</v>
      </c>
      <c r="D991" s="30">
        <f t="shared" si="62"/>
        <v>1.4364000000000003</v>
      </c>
    </row>
    <row r="992" spans="1:4" x14ac:dyDescent="0.4">
      <c r="A992" s="30">
        <f t="shared" si="63"/>
        <v>1045</v>
      </c>
      <c r="B992" s="30">
        <f t="shared" si="60"/>
        <v>0.18779342723004694</v>
      </c>
      <c r="C992" s="30">
        <f t="shared" si="61"/>
        <v>1067</v>
      </c>
      <c r="D992" s="30">
        <f t="shared" si="62"/>
        <v>1.4377500000000001</v>
      </c>
    </row>
    <row r="993" spans="1:4" x14ac:dyDescent="0.4">
      <c r="A993" s="30">
        <f t="shared" si="63"/>
        <v>1046</v>
      </c>
      <c r="B993" s="30">
        <f t="shared" si="60"/>
        <v>0.18761726078799248</v>
      </c>
      <c r="C993" s="30">
        <f t="shared" si="61"/>
        <v>1068</v>
      </c>
      <c r="D993" s="30">
        <f t="shared" si="62"/>
        <v>1.4391000000000003</v>
      </c>
    </row>
    <row r="994" spans="1:4" x14ac:dyDescent="0.4">
      <c r="A994" s="30">
        <f t="shared" si="63"/>
        <v>1047</v>
      </c>
      <c r="B994" s="30">
        <f t="shared" si="60"/>
        <v>0.18744142455482662</v>
      </c>
      <c r="C994" s="30">
        <f t="shared" si="61"/>
        <v>1069</v>
      </c>
      <c r="D994" s="30">
        <f t="shared" si="62"/>
        <v>1.44045</v>
      </c>
    </row>
    <row r="995" spans="1:4" x14ac:dyDescent="0.4">
      <c r="A995" s="30">
        <f t="shared" si="63"/>
        <v>1048</v>
      </c>
      <c r="B995" s="30">
        <f t="shared" si="60"/>
        <v>0.18726591760299627</v>
      </c>
      <c r="C995" s="30">
        <f t="shared" si="61"/>
        <v>1070</v>
      </c>
      <c r="D995" s="30">
        <f t="shared" si="62"/>
        <v>1.4418</v>
      </c>
    </row>
    <row r="996" spans="1:4" x14ac:dyDescent="0.4">
      <c r="A996" s="30">
        <f t="shared" si="63"/>
        <v>1049</v>
      </c>
      <c r="B996" s="30">
        <f t="shared" si="60"/>
        <v>0.18709073900841908</v>
      </c>
      <c r="C996" s="30">
        <f t="shared" si="61"/>
        <v>1071</v>
      </c>
      <c r="D996" s="30">
        <f t="shared" si="62"/>
        <v>1.4431500000000002</v>
      </c>
    </row>
    <row r="997" spans="1:4" x14ac:dyDescent="0.4">
      <c r="A997" s="30">
        <f t="shared" si="63"/>
        <v>1050</v>
      </c>
      <c r="B997" s="30">
        <f t="shared" si="60"/>
        <v>0.18691588785046728</v>
      </c>
      <c r="C997" s="30">
        <f t="shared" si="61"/>
        <v>1072</v>
      </c>
      <c r="D997" s="30">
        <f t="shared" si="62"/>
        <v>1.4445000000000001</v>
      </c>
    </row>
    <row r="998" spans="1:4" x14ac:dyDescent="0.4">
      <c r="A998" s="30">
        <f t="shared" si="63"/>
        <v>1051</v>
      </c>
      <c r="B998" s="30">
        <f t="shared" si="60"/>
        <v>0.18674136321195145</v>
      </c>
      <c r="C998" s="30">
        <f t="shared" si="61"/>
        <v>1073</v>
      </c>
      <c r="D998" s="30">
        <f t="shared" si="62"/>
        <v>1.4458500000000001</v>
      </c>
    </row>
    <row r="999" spans="1:4" x14ac:dyDescent="0.4">
      <c r="A999" s="30">
        <f t="shared" si="63"/>
        <v>1052</v>
      </c>
      <c r="B999" s="30">
        <f t="shared" si="60"/>
        <v>0.18656716417910449</v>
      </c>
      <c r="C999" s="30">
        <f t="shared" si="61"/>
        <v>1074</v>
      </c>
      <c r="D999" s="30">
        <f t="shared" si="62"/>
        <v>1.4472</v>
      </c>
    </row>
    <row r="1000" spans="1:4" x14ac:dyDescent="0.4">
      <c r="A1000" s="30">
        <f t="shared" si="63"/>
        <v>1053</v>
      </c>
      <c r="B1000" s="30">
        <f t="shared" si="60"/>
        <v>0.1863932898415657</v>
      </c>
      <c r="C1000" s="30">
        <f t="shared" si="61"/>
        <v>1075</v>
      </c>
      <c r="D1000" s="30">
        <f t="shared" si="62"/>
        <v>1.4485500000000002</v>
      </c>
    </row>
    <row r="1001" spans="1:4" x14ac:dyDescent="0.4">
      <c r="A1001" s="30">
        <f t="shared" si="63"/>
        <v>1054</v>
      </c>
      <c r="B1001" s="30">
        <f t="shared" si="60"/>
        <v>0.18621973929236499</v>
      </c>
      <c r="C1001" s="30">
        <f t="shared" si="61"/>
        <v>1076</v>
      </c>
      <c r="D1001" s="30">
        <f t="shared" si="62"/>
        <v>1.4499</v>
      </c>
    </row>
    <row r="1002" spans="1:4" x14ac:dyDescent="0.4">
      <c r="A1002" s="30">
        <f t="shared" si="63"/>
        <v>1055</v>
      </c>
      <c r="B1002" s="30">
        <f t="shared" si="60"/>
        <v>0.18604651162790697</v>
      </c>
      <c r="C1002" s="30">
        <f t="shared" si="61"/>
        <v>1077</v>
      </c>
      <c r="D1002" s="30">
        <f t="shared" si="62"/>
        <v>1.4512500000000002</v>
      </c>
    </row>
    <row r="1003" spans="1:4" x14ac:dyDescent="0.4">
      <c r="A1003" s="30">
        <f t="shared" si="63"/>
        <v>1056</v>
      </c>
      <c r="B1003" s="30">
        <f t="shared" si="60"/>
        <v>0.18587360594795538</v>
      </c>
      <c r="C1003" s="30">
        <f t="shared" si="61"/>
        <v>1078</v>
      </c>
      <c r="D1003" s="30">
        <f t="shared" si="62"/>
        <v>1.4526000000000001</v>
      </c>
    </row>
    <row r="1004" spans="1:4" x14ac:dyDescent="0.4">
      <c r="A1004" s="30">
        <f t="shared" si="63"/>
        <v>1057</v>
      </c>
      <c r="B1004" s="30">
        <f t="shared" si="60"/>
        <v>0.18570102135561745</v>
      </c>
      <c r="C1004" s="30">
        <f t="shared" si="61"/>
        <v>1079</v>
      </c>
      <c r="D1004" s="30">
        <f t="shared" si="62"/>
        <v>1.4539500000000003</v>
      </c>
    </row>
    <row r="1005" spans="1:4" x14ac:dyDescent="0.4">
      <c r="A1005" s="30">
        <f t="shared" si="63"/>
        <v>1058</v>
      </c>
      <c r="B1005" s="30">
        <f t="shared" si="60"/>
        <v>0.18552875695732837</v>
      </c>
      <c r="C1005" s="30">
        <f t="shared" si="61"/>
        <v>1080</v>
      </c>
      <c r="D1005" s="30">
        <f t="shared" si="62"/>
        <v>1.4553000000000003</v>
      </c>
    </row>
    <row r="1006" spans="1:4" x14ac:dyDescent="0.4">
      <c r="A1006" s="30">
        <f t="shared" si="63"/>
        <v>1059</v>
      </c>
      <c r="B1006" s="30">
        <f t="shared" si="60"/>
        <v>0.18535681186283595</v>
      </c>
      <c r="C1006" s="30">
        <f t="shared" si="61"/>
        <v>1081</v>
      </c>
      <c r="D1006" s="30">
        <f t="shared" si="62"/>
        <v>1.4566500000000002</v>
      </c>
    </row>
    <row r="1007" spans="1:4" x14ac:dyDescent="0.4">
      <c r="A1007" s="30">
        <f t="shared" si="63"/>
        <v>1060</v>
      </c>
      <c r="B1007" s="30">
        <f t="shared" si="60"/>
        <v>0.18518518518518517</v>
      </c>
      <c r="C1007" s="30">
        <f t="shared" si="61"/>
        <v>1082</v>
      </c>
      <c r="D1007" s="30">
        <f t="shared" si="62"/>
        <v>1.4580000000000002</v>
      </c>
    </row>
    <row r="1008" spans="1:4" x14ac:dyDescent="0.4">
      <c r="A1008" s="30">
        <f t="shared" si="63"/>
        <v>1061</v>
      </c>
      <c r="B1008" s="30">
        <f t="shared" si="60"/>
        <v>0.18501387604070305</v>
      </c>
      <c r="C1008" s="30">
        <f t="shared" si="61"/>
        <v>1083</v>
      </c>
      <c r="D1008" s="30">
        <f t="shared" si="62"/>
        <v>1.4593500000000001</v>
      </c>
    </row>
    <row r="1009" spans="1:4" x14ac:dyDescent="0.4">
      <c r="A1009" s="30">
        <f t="shared" si="63"/>
        <v>1062</v>
      </c>
      <c r="B1009" s="30">
        <f t="shared" si="60"/>
        <v>0.18484288354898337</v>
      </c>
      <c r="C1009" s="30">
        <f t="shared" si="61"/>
        <v>1084</v>
      </c>
      <c r="D1009" s="30">
        <f t="shared" si="62"/>
        <v>1.4607000000000001</v>
      </c>
    </row>
    <row r="1010" spans="1:4" x14ac:dyDescent="0.4">
      <c r="A1010" s="30">
        <f t="shared" si="63"/>
        <v>1063</v>
      </c>
      <c r="B1010" s="30">
        <f t="shared" si="60"/>
        <v>0.18467220683287167</v>
      </c>
      <c r="C1010" s="30">
        <f t="shared" si="61"/>
        <v>1085</v>
      </c>
      <c r="D1010" s="30">
        <f t="shared" si="62"/>
        <v>1.4620500000000001</v>
      </c>
    </row>
    <row r="1011" spans="1:4" x14ac:dyDescent="0.4">
      <c r="A1011" s="30">
        <f t="shared" si="63"/>
        <v>1064</v>
      </c>
      <c r="B1011" s="30">
        <f t="shared" si="60"/>
        <v>0.18450184501845018</v>
      </c>
      <c r="C1011" s="30">
        <f t="shared" si="61"/>
        <v>1086</v>
      </c>
      <c r="D1011" s="30">
        <f t="shared" si="62"/>
        <v>1.4634</v>
      </c>
    </row>
    <row r="1012" spans="1:4" x14ac:dyDescent="0.4">
      <c r="A1012" s="30">
        <f t="shared" si="63"/>
        <v>1065</v>
      </c>
      <c r="B1012" s="30">
        <f t="shared" si="60"/>
        <v>0.18433179723502305</v>
      </c>
      <c r="C1012" s="30">
        <f t="shared" si="61"/>
        <v>1087</v>
      </c>
      <c r="D1012" s="30">
        <f t="shared" si="62"/>
        <v>1.46475</v>
      </c>
    </row>
    <row r="1013" spans="1:4" x14ac:dyDescent="0.4">
      <c r="A1013" s="30">
        <f t="shared" si="63"/>
        <v>1066</v>
      </c>
      <c r="B1013" s="30">
        <f t="shared" si="60"/>
        <v>0.18416206261510129</v>
      </c>
      <c r="C1013" s="30">
        <f t="shared" si="61"/>
        <v>1088</v>
      </c>
      <c r="D1013" s="30">
        <f t="shared" si="62"/>
        <v>1.4661000000000002</v>
      </c>
    </row>
    <row r="1014" spans="1:4" x14ac:dyDescent="0.4">
      <c r="A1014" s="30">
        <f t="shared" si="63"/>
        <v>1067</v>
      </c>
      <c r="B1014" s="30">
        <f t="shared" si="60"/>
        <v>0.18399264029438822</v>
      </c>
      <c r="C1014" s="30">
        <f t="shared" si="61"/>
        <v>1089</v>
      </c>
      <c r="D1014" s="30">
        <f t="shared" si="62"/>
        <v>1.4674500000000001</v>
      </c>
    </row>
    <row r="1015" spans="1:4" x14ac:dyDescent="0.4">
      <c r="A1015" s="30">
        <f t="shared" si="63"/>
        <v>1068</v>
      </c>
      <c r="B1015" s="30">
        <f t="shared" si="60"/>
        <v>0.18382352941176472</v>
      </c>
      <c r="C1015" s="30">
        <f t="shared" si="61"/>
        <v>1090</v>
      </c>
      <c r="D1015" s="30">
        <f t="shared" si="62"/>
        <v>1.4688000000000001</v>
      </c>
    </row>
    <row r="1016" spans="1:4" x14ac:dyDescent="0.4">
      <c r="A1016" s="30">
        <f t="shared" si="63"/>
        <v>1069</v>
      </c>
      <c r="B1016" s="30">
        <f t="shared" si="60"/>
        <v>0.18365472910927455</v>
      </c>
      <c r="C1016" s="30">
        <f t="shared" si="61"/>
        <v>1091</v>
      </c>
      <c r="D1016" s="30">
        <f t="shared" si="62"/>
        <v>1.4701500000000003</v>
      </c>
    </row>
    <row r="1017" spans="1:4" x14ac:dyDescent="0.4">
      <c r="A1017" s="30">
        <f t="shared" si="63"/>
        <v>1070</v>
      </c>
      <c r="B1017" s="30">
        <f t="shared" si="60"/>
        <v>0.1834862385321101</v>
      </c>
      <c r="C1017" s="30">
        <f t="shared" si="61"/>
        <v>1092</v>
      </c>
      <c r="D1017" s="30">
        <f t="shared" si="62"/>
        <v>1.4715</v>
      </c>
    </row>
    <row r="1018" spans="1:4" x14ac:dyDescent="0.4">
      <c r="A1018" s="30">
        <f t="shared" si="63"/>
        <v>1071</v>
      </c>
      <c r="B1018" s="30">
        <f t="shared" si="60"/>
        <v>0.18331805682859761</v>
      </c>
      <c r="C1018" s="30">
        <f t="shared" si="61"/>
        <v>1093</v>
      </c>
      <c r="D1018" s="30">
        <f t="shared" si="62"/>
        <v>1.47285</v>
      </c>
    </row>
    <row r="1019" spans="1:4" x14ac:dyDescent="0.4">
      <c r="A1019" s="30">
        <f t="shared" si="63"/>
        <v>1072</v>
      </c>
      <c r="B1019" s="30">
        <f t="shared" si="60"/>
        <v>0.18315018315018314</v>
      </c>
      <c r="C1019" s="30">
        <f t="shared" si="61"/>
        <v>1094</v>
      </c>
      <c r="D1019" s="30">
        <f t="shared" si="62"/>
        <v>1.4742000000000002</v>
      </c>
    </row>
    <row r="1020" spans="1:4" x14ac:dyDescent="0.4">
      <c r="A1020" s="30">
        <f t="shared" si="63"/>
        <v>1073</v>
      </c>
      <c r="B1020" s="30">
        <f t="shared" si="60"/>
        <v>0.18298261665141813</v>
      </c>
      <c r="C1020" s="30">
        <f t="shared" si="61"/>
        <v>1095</v>
      </c>
      <c r="D1020" s="30">
        <f t="shared" si="62"/>
        <v>1.4755499999999999</v>
      </c>
    </row>
    <row r="1021" spans="1:4" x14ac:dyDescent="0.4">
      <c r="A1021" s="30">
        <f t="shared" si="63"/>
        <v>1074</v>
      </c>
      <c r="B1021" s="30">
        <f t="shared" si="60"/>
        <v>0.18281535648994515</v>
      </c>
      <c r="C1021" s="30">
        <f t="shared" si="61"/>
        <v>1096</v>
      </c>
      <c r="D1021" s="30">
        <f t="shared" si="62"/>
        <v>1.4769000000000001</v>
      </c>
    </row>
    <row r="1022" spans="1:4" x14ac:dyDescent="0.4">
      <c r="A1022" s="30">
        <f t="shared" si="63"/>
        <v>1075</v>
      </c>
      <c r="B1022" s="30">
        <f t="shared" si="60"/>
        <v>0.18264840182648401</v>
      </c>
      <c r="C1022" s="30">
        <f t="shared" si="61"/>
        <v>1097</v>
      </c>
      <c r="D1022" s="30">
        <f t="shared" si="62"/>
        <v>1.4782500000000003</v>
      </c>
    </row>
    <row r="1023" spans="1:4" x14ac:dyDescent="0.4">
      <c r="A1023" s="30">
        <f t="shared" si="63"/>
        <v>1076</v>
      </c>
      <c r="B1023" s="30">
        <f t="shared" si="60"/>
        <v>0.18248175182481752</v>
      </c>
      <c r="C1023" s="30">
        <f t="shared" si="61"/>
        <v>1098</v>
      </c>
      <c r="D1023" s="30">
        <f t="shared" si="62"/>
        <v>1.4796</v>
      </c>
    </row>
    <row r="1024" spans="1:4" x14ac:dyDescent="0.4">
      <c r="A1024" s="30">
        <f t="shared" si="63"/>
        <v>1077</v>
      </c>
      <c r="B1024" s="30">
        <f t="shared" si="60"/>
        <v>0.18231540565177756</v>
      </c>
      <c r="C1024" s="30">
        <f t="shared" si="61"/>
        <v>1099</v>
      </c>
      <c r="D1024" s="30">
        <f t="shared" si="62"/>
        <v>1.4809500000000002</v>
      </c>
    </row>
    <row r="1025" spans="1:4" x14ac:dyDescent="0.4">
      <c r="A1025" s="30">
        <f t="shared" si="63"/>
        <v>1078</v>
      </c>
      <c r="B1025" s="30">
        <f t="shared" si="60"/>
        <v>0.18214936247723132</v>
      </c>
      <c r="C1025" s="30">
        <f t="shared" si="61"/>
        <v>1100</v>
      </c>
      <c r="D1025" s="30">
        <f t="shared" si="62"/>
        <v>1.4823000000000002</v>
      </c>
    </row>
    <row r="1026" spans="1:4" x14ac:dyDescent="0.4">
      <c r="A1026" s="30">
        <f t="shared" si="63"/>
        <v>1079</v>
      </c>
      <c r="B1026" s="30">
        <f t="shared" si="60"/>
        <v>0.18198362147406733</v>
      </c>
      <c r="C1026" s="30">
        <f t="shared" si="61"/>
        <v>1101</v>
      </c>
      <c r="D1026" s="30">
        <f t="shared" si="62"/>
        <v>1.4836500000000001</v>
      </c>
    </row>
    <row r="1027" spans="1:4" x14ac:dyDescent="0.4">
      <c r="A1027" s="30">
        <f t="shared" si="63"/>
        <v>1080</v>
      </c>
      <c r="B1027" s="30">
        <f t="shared" si="60"/>
        <v>0.18181818181818182</v>
      </c>
      <c r="C1027" s="30">
        <f t="shared" si="61"/>
        <v>1102</v>
      </c>
      <c r="D1027" s="30">
        <f t="shared" si="62"/>
        <v>1.4850000000000001</v>
      </c>
    </row>
    <row r="1028" spans="1:4" x14ac:dyDescent="0.4">
      <c r="A1028" s="30">
        <f t="shared" si="63"/>
        <v>1081</v>
      </c>
      <c r="B1028" s="30">
        <f t="shared" si="60"/>
        <v>0.18165304268846502</v>
      </c>
      <c r="C1028" s="30">
        <f t="shared" si="61"/>
        <v>1103</v>
      </c>
      <c r="D1028" s="30">
        <f t="shared" si="62"/>
        <v>1.4863500000000003</v>
      </c>
    </row>
    <row r="1029" spans="1:4" x14ac:dyDescent="0.4">
      <c r="A1029" s="30">
        <f t="shared" si="63"/>
        <v>1082</v>
      </c>
      <c r="B1029" s="30">
        <f t="shared" si="60"/>
        <v>0.18148820326678766</v>
      </c>
      <c r="C1029" s="30">
        <f t="shared" si="61"/>
        <v>1104</v>
      </c>
      <c r="D1029" s="30">
        <f t="shared" si="62"/>
        <v>1.4877</v>
      </c>
    </row>
    <row r="1030" spans="1:4" x14ac:dyDescent="0.4">
      <c r="A1030" s="30">
        <f t="shared" si="63"/>
        <v>1083</v>
      </c>
      <c r="B1030" s="30">
        <f t="shared" si="60"/>
        <v>0.18132366273798731</v>
      </c>
      <c r="C1030" s="30">
        <f t="shared" si="61"/>
        <v>1105</v>
      </c>
      <c r="D1030" s="30">
        <f t="shared" si="62"/>
        <v>1.4890500000000002</v>
      </c>
    </row>
    <row r="1031" spans="1:4" x14ac:dyDescent="0.4">
      <c r="A1031" s="30">
        <f t="shared" si="63"/>
        <v>1084</v>
      </c>
      <c r="B1031" s="30">
        <f t="shared" si="60"/>
        <v>0.18115942028985507</v>
      </c>
      <c r="C1031" s="30">
        <f t="shared" si="61"/>
        <v>1106</v>
      </c>
      <c r="D1031" s="30">
        <f t="shared" si="62"/>
        <v>1.4904000000000002</v>
      </c>
    </row>
    <row r="1032" spans="1:4" x14ac:dyDescent="0.4">
      <c r="A1032" s="30">
        <f t="shared" si="63"/>
        <v>1085</v>
      </c>
      <c r="B1032" s="30">
        <f t="shared" si="60"/>
        <v>0.18099547511312217</v>
      </c>
      <c r="C1032" s="30">
        <f t="shared" si="61"/>
        <v>1107</v>
      </c>
      <c r="D1032" s="30">
        <f t="shared" si="62"/>
        <v>1.4917500000000001</v>
      </c>
    </row>
    <row r="1033" spans="1:4" x14ac:dyDescent="0.4">
      <c r="A1033" s="30">
        <f t="shared" si="63"/>
        <v>1086</v>
      </c>
      <c r="B1033" s="30">
        <f t="shared" si="60"/>
        <v>0.18083182640144665</v>
      </c>
      <c r="C1033" s="30">
        <f t="shared" si="61"/>
        <v>1108</v>
      </c>
      <c r="D1033" s="30">
        <f t="shared" si="62"/>
        <v>1.4931000000000001</v>
      </c>
    </row>
    <row r="1034" spans="1:4" x14ac:dyDescent="0.4">
      <c r="A1034" s="30">
        <f t="shared" si="63"/>
        <v>1087</v>
      </c>
      <c r="B1034" s="30">
        <f t="shared" si="60"/>
        <v>0.18066847335140018</v>
      </c>
      <c r="C1034" s="30">
        <f t="shared" si="61"/>
        <v>1109</v>
      </c>
      <c r="D1034" s="30">
        <f t="shared" si="62"/>
        <v>1.4944500000000001</v>
      </c>
    </row>
    <row r="1035" spans="1:4" x14ac:dyDescent="0.4">
      <c r="A1035" s="30">
        <f t="shared" si="63"/>
        <v>1088</v>
      </c>
      <c r="B1035" s="30">
        <f t="shared" ref="B1035:B1098" si="64">$B$4/8/(A1035+$B$2)</f>
        <v>0.18050541516245489</v>
      </c>
      <c r="C1035" s="30">
        <f t="shared" si="61"/>
        <v>1110</v>
      </c>
      <c r="D1035" s="30">
        <f t="shared" si="62"/>
        <v>1.4958</v>
      </c>
    </row>
    <row r="1036" spans="1:4" x14ac:dyDescent="0.4">
      <c r="A1036" s="30">
        <f t="shared" si="63"/>
        <v>1089</v>
      </c>
      <c r="B1036" s="30">
        <f t="shared" si="64"/>
        <v>0.18034265103697025</v>
      </c>
      <c r="C1036" s="30">
        <f t="shared" ref="C1036:C1099" si="65">A1036+$E$6</f>
        <v>1111</v>
      </c>
      <c r="D1036" s="30">
        <f t="shared" ref="D1036:D1099" si="66">$H$3/B1036/CEILING(C1036/$H$2,1)</f>
        <v>1.49715</v>
      </c>
    </row>
    <row r="1037" spans="1:4" x14ac:dyDescent="0.4">
      <c r="A1037" s="30">
        <f t="shared" ref="A1037:A1100" si="67">A1036+$B$3</f>
        <v>1090</v>
      </c>
      <c r="B1037" s="30">
        <f t="shared" si="64"/>
        <v>0.18018018018018017</v>
      </c>
      <c r="C1037" s="30">
        <f t="shared" si="65"/>
        <v>1112</v>
      </c>
      <c r="D1037" s="30">
        <f t="shared" si="66"/>
        <v>1.4985000000000002</v>
      </c>
    </row>
    <row r="1038" spans="1:4" x14ac:dyDescent="0.4">
      <c r="A1038" s="30">
        <f t="shared" si="67"/>
        <v>1091</v>
      </c>
      <c r="B1038" s="30">
        <f t="shared" si="64"/>
        <v>0.18001800180018002</v>
      </c>
      <c r="C1038" s="30">
        <f t="shared" si="65"/>
        <v>1113</v>
      </c>
      <c r="D1038" s="30">
        <f t="shared" si="66"/>
        <v>1.4998500000000001</v>
      </c>
    </row>
    <row r="1039" spans="1:4" x14ac:dyDescent="0.4">
      <c r="A1039" s="30">
        <f t="shared" si="67"/>
        <v>1092</v>
      </c>
      <c r="B1039" s="30">
        <f t="shared" si="64"/>
        <v>0.17985611510791366</v>
      </c>
      <c r="C1039" s="30">
        <f t="shared" si="65"/>
        <v>1114</v>
      </c>
      <c r="D1039" s="30">
        <f t="shared" si="66"/>
        <v>1.5012000000000003</v>
      </c>
    </row>
    <row r="1040" spans="1:4" x14ac:dyDescent="0.4">
      <c r="A1040" s="30">
        <f t="shared" si="67"/>
        <v>1093</v>
      </c>
      <c r="B1040" s="30">
        <f t="shared" si="64"/>
        <v>0.17969451931716082</v>
      </c>
      <c r="C1040" s="30">
        <f t="shared" si="65"/>
        <v>1115</v>
      </c>
      <c r="D1040" s="30">
        <f t="shared" si="66"/>
        <v>1.5025500000000001</v>
      </c>
    </row>
    <row r="1041" spans="1:4" x14ac:dyDescent="0.4">
      <c r="A1041" s="30">
        <f t="shared" si="67"/>
        <v>1094</v>
      </c>
      <c r="B1041" s="30">
        <f t="shared" si="64"/>
        <v>0.17953321364452424</v>
      </c>
      <c r="C1041" s="30">
        <f t="shared" si="65"/>
        <v>1116</v>
      </c>
      <c r="D1041" s="30">
        <f t="shared" si="66"/>
        <v>1.5039000000000002</v>
      </c>
    </row>
    <row r="1042" spans="1:4" x14ac:dyDescent="0.4">
      <c r="A1042" s="30">
        <f t="shared" si="67"/>
        <v>1095</v>
      </c>
      <c r="B1042" s="30">
        <f t="shared" si="64"/>
        <v>0.17937219730941703</v>
      </c>
      <c r="C1042" s="30">
        <f t="shared" si="65"/>
        <v>1117</v>
      </c>
      <c r="D1042" s="30">
        <f t="shared" si="66"/>
        <v>1.5052500000000002</v>
      </c>
    </row>
    <row r="1043" spans="1:4" x14ac:dyDescent="0.4">
      <c r="A1043" s="30">
        <f t="shared" si="67"/>
        <v>1096</v>
      </c>
      <c r="B1043" s="30">
        <f t="shared" si="64"/>
        <v>0.17921146953405018</v>
      </c>
      <c r="C1043" s="30">
        <f t="shared" si="65"/>
        <v>1118</v>
      </c>
      <c r="D1043" s="30">
        <f t="shared" si="66"/>
        <v>1.5066000000000002</v>
      </c>
    </row>
    <row r="1044" spans="1:4" x14ac:dyDescent="0.4">
      <c r="A1044" s="30">
        <f t="shared" si="67"/>
        <v>1097</v>
      </c>
      <c r="B1044" s="30">
        <f t="shared" si="64"/>
        <v>0.17905102954341987</v>
      </c>
      <c r="C1044" s="30">
        <f t="shared" si="65"/>
        <v>1119</v>
      </c>
      <c r="D1044" s="30">
        <f t="shared" si="66"/>
        <v>1.5079500000000001</v>
      </c>
    </row>
    <row r="1045" spans="1:4" x14ac:dyDescent="0.4">
      <c r="A1045" s="30">
        <f t="shared" si="67"/>
        <v>1098</v>
      </c>
      <c r="B1045" s="30">
        <f t="shared" si="64"/>
        <v>0.17889087656529518</v>
      </c>
      <c r="C1045" s="30">
        <f t="shared" si="65"/>
        <v>1120</v>
      </c>
      <c r="D1045" s="30">
        <f t="shared" si="66"/>
        <v>1.5093000000000001</v>
      </c>
    </row>
    <row r="1046" spans="1:4" x14ac:dyDescent="0.4">
      <c r="A1046" s="30">
        <f t="shared" si="67"/>
        <v>1099</v>
      </c>
      <c r="B1046" s="30">
        <f t="shared" si="64"/>
        <v>0.17873100983020554</v>
      </c>
      <c r="C1046" s="30">
        <f t="shared" si="65"/>
        <v>1121</v>
      </c>
      <c r="D1046" s="30">
        <f t="shared" si="66"/>
        <v>1.51065</v>
      </c>
    </row>
    <row r="1047" spans="1:4" x14ac:dyDescent="0.4">
      <c r="A1047" s="30">
        <f t="shared" si="67"/>
        <v>1100</v>
      </c>
      <c r="B1047" s="30">
        <f t="shared" si="64"/>
        <v>0.17857142857142858</v>
      </c>
      <c r="C1047" s="30">
        <f t="shared" si="65"/>
        <v>1122</v>
      </c>
      <c r="D1047" s="30">
        <f t="shared" si="66"/>
        <v>1.512</v>
      </c>
    </row>
    <row r="1048" spans="1:4" x14ac:dyDescent="0.4">
      <c r="A1048" s="30">
        <f t="shared" si="67"/>
        <v>1101</v>
      </c>
      <c r="B1048" s="30">
        <f t="shared" si="64"/>
        <v>0.17841213202497769</v>
      </c>
      <c r="C1048" s="30">
        <f t="shared" si="65"/>
        <v>1123</v>
      </c>
      <c r="D1048" s="30">
        <f t="shared" si="66"/>
        <v>1.5133500000000002</v>
      </c>
    </row>
    <row r="1049" spans="1:4" x14ac:dyDescent="0.4">
      <c r="A1049" s="30">
        <f t="shared" si="67"/>
        <v>1102</v>
      </c>
      <c r="B1049" s="30">
        <f t="shared" si="64"/>
        <v>0.17825311942959002</v>
      </c>
      <c r="C1049" s="30">
        <f t="shared" si="65"/>
        <v>1124</v>
      </c>
      <c r="D1049" s="30">
        <f t="shared" si="66"/>
        <v>1.5146999999999999</v>
      </c>
    </row>
    <row r="1050" spans="1:4" x14ac:dyDescent="0.4">
      <c r="A1050" s="30">
        <f t="shared" si="67"/>
        <v>1103</v>
      </c>
      <c r="B1050" s="30">
        <f t="shared" si="64"/>
        <v>0.17809439002671415</v>
      </c>
      <c r="C1050" s="30">
        <f t="shared" si="65"/>
        <v>1125</v>
      </c>
      <c r="D1050" s="30">
        <f t="shared" si="66"/>
        <v>1.5160500000000003</v>
      </c>
    </row>
    <row r="1051" spans="1:4" x14ac:dyDescent="0.4">
      <c r="A1051" s="30">
        <f t="shared" si="67"/>
        <v>1104</v>
      </c>
      <c r="B1051" s="30">
        <f t="shared" si="64"/>
        <v>0.17793594306049823</v>
      </c>
      <c r="C1051" s="30">
        <f t="shared" si="65"/>
        <v>1126</v>
      </c>
      <c r="D1051" s="30">
        <f t="shared" si="66"/>
        <v>1.5173999999999999</v>
      </c>
    </row>
    <row r="1052" spans="1:4" x14ac:dyDescent="0.4">
      <c r="A1052" s="30">
        <f t="shared" si="67"/>
        <v>1105</v>
      </c>
      <c r="B1052" s="30">
        <f t="shared" si="64"/>
        <v>0.17777777777777778</v>
      </c>
      <c r="C1052" s="30">
        <f t="shared" si="65"/>
        <v>1127</v>
      </c>
      <c r="D1052" s="30">
        <f t="shared" si="66"/>
        <v>1.51875</v>
      </c>
    </row>
    <row r="1053" spans="1:4" x14ac:dyDescent="0.4">
      <c r="A1053" s="30">
        <f t="shared" si="67"/>
        <v>1106</v>
      </c>
      <c r="B1053" s="30">
        <f t="shared" si="64"/>
        <v>0.17761989342806395</v>
      </c>
      <c r="C1053" s="30">
        <f t="shared" si="65"/>
        <v>1128</v>
      </c>
      <c r="D1053" s="30">
        <f t="shared" si="66"/>
        <v>1.5201</v>
      </c>
    </row>
    <row r="1054" spans="1:4" x14ac:dyDescent="0.4">
      <c r="A1054" s="30">
        <f t="shared" si="67"/>
        <v>1107</v>
      </c>
      <c r="B1054" s="30">
        <f t="shared" si="64"/>
        <v>0.1774622892635315</v>
      </c>
      <c r="C1054" s="30">
        <f t="shared" si="65"/>
        <v>1129</v>
      </c>
      <c r="D1054" s="30">
        <f t="shared" si="66"/>
        <v>1.5214500000000002</v>
      </c>
    </row>
    <row r="1055" spans="1:4" x14ac:dyDescent="0.4">
      <c r="A1055" s="30">
        <f t="shared" si="67"/>
        <v>1108</v>
      </c>
      <c r="B1055" s="30">
        <f t="shared" si="64"/>
        <v>0.1773049645390071</v>
      </c>
      <c r="C1055" s="30">
        <f t="shared" si="65"/>
        <v>1130</v>
      </c>
      <c r="D1055" s="30">
        <f t="shared" si="66"/>
        <v>1.5227999999999999</v>
      </c>
    </row>
    <row r="1056" spans="1:4" x14ac:dyDescent="0.4">
      <c r="A1056" s="30">
        <f t="shared" si="67"/>
        <v>1109</v>
      </c>
      <c r="B1056" s="30">
        <f t="shared" si="64"/>
        <v>0.17714791851195749</v>
      </c>
      <c r="C1056" s="30">
        <f t="shared" si="65"/>
        <v>1131</v>
      </c>
      <c r="D1056" s="30">
        <f t="shared" si="66"/>
        <v>1.5241500000000001</v>
      </c>
    </row>
    <row r="1057" spans="1:4" x14ac:dyDescent="0.4">
      <c r="A1057" s="30">
        <f t="shared" si="67"/>
        <v>1110</v>
      </c>
      <c r="B1057" s="30">
        <f t="shared" si="64"/>
        <v>0.17699115044247787</v>
      </c>
      <c r="C1057" s="30">
        <f t="shared" si="65"/>
        <v>1132</v>
      </c>
      <c r="D1057" s="30">
        <f t="shared" si="66"/>
        <v>1.5255000000000001</v>
      </c>
    </row>
    <row r="1058" spans="1:4" x14ac:dyDescent="0.4">
      <c r="A1058" s="30">
        <f t="shared" si="67"/>
        <v>1111</v>
      </c>
      <c r="B1058" s="30">
        <f t="shared" si="64"/>
        <v>0.17683465959328029</v>
      </c>
      <c r="C1058" s="30">
        <f t="shared" si="65"/>
        <v>1133</v>
      </c>
      <c r="D1058" s="30">
        <f t="shared" si="66"/>
        <v>1.52685</v>
      </c>
    </row>
    <row r="1059" spans="1:4" x14ac:dyDescent="0.4">
      <c r="A1059" s="30">
        <f t="shared" si="67"/>
        <v>1112</v>
      </c>
      <c r="B1059" s="30">
        <f t="shared" si="64"/>
        <v>0.17667844522968199</v>
      </c>
      <c r="C1059" s="30">
        <f t="shared" si="65"/>
        <v>1134</v>
      </c>
      <c r="D1059" s="30">
        <f t="shared" si="66"/>
        <v>1.5282</v>
      </c>
    </row>
    <row r="1060" spans="1:4" x14ac:dyDescent="0.4">
      <c r="A1060" s="30">
        <f t="shared" si="67"/>
        <v>1113</v>
      </c>
      <c r="B1060" s="30">
        <f t="shared" si="64"/>
        <v>0.17652250661959401</v>
      </c>
      <c r="C1060" s="30">
        <f t="shared" si="65"/>
        <v>1135</v>
      </c>
      <c r="D1060" s="30">
        <f t="shared" si="66"/>
        <v>1.52955</v>
      </c>
    </row>
    <row r="1061" spans="1:4" x14ac:dyDescent="0.4">
      <c r="A1061" s="30">
        <f t="shared" si="67"/>
        <v>1114</v>
      </c>
      <c r="B1061" s="30">
        <f t="shared" si="64"/>
        <v>0.17636684303350969</v>
      </c>
      <c r="C1061" s="30">
        <f t="shared" si="65"/>
        <v>1136</v>
      </c>
      <c r="D1061" s="30">
        <f t="shared" si="66"/>
        <v>1.5309000000000001</v>
      </c>
    </row>
    <row r="1062" spans="1:4" x14ac:dyDescent="0.4">
      <c r="A1062" s="30">
        <f t="shared" si="67"/>
        <v>1115</v>
      </c>
      <c r="B1062" s="30">
        <f t="shared" si="64"/>
        <v>0.1762114537444934</v>
      </c>
      <c r="C1062" s="30">
        <f t="shared" si="65"/>
        <v>1137</v>
      </c>
      <c r="D1062" s="30">
        <f t="shared" si="66"/>
        <v>1.5322499999999999</v>
      </c>
    </row>
    <row r="1063" spans="1:4" x14ac:dyDescent="0.4">
      <c r="A1063" s="30">
        <f t="shared" si="67"/>
        <v>1116</v>
      </c>
      <c r="B1063" s="30">
        <f t="shared" si="64"/>
        <v>0.176056338028169</v>
      </c>
      <c r="C1063" s="30">
        <f t="shared" si="65"/>
        <v>1138</v>
      </c>
      <c r="D1063" s="30">
        <f t="shared" si="66"/>
        <v>1.5336000000000003</v>
      </c>
    </row>
    <row r="1064" spans="1:4" x14ac:dyDescent="0.4">
      <c r="A1064" s="30">
        <f t="shared" si="67"/>
        <v>1117</v>
      </c>
      <c r="B1064" s="30">
        <f t="shared" si="64"/>
        <v>0.17590149516270889</v>
      </c>
      <c r="C1064" s="30">
        <f t="shared" si="65"/>
        <v>1139</v>
      </c>
      <c r="D1064" s="30">
        <f t="shared" si="66"/>
        <v>1.53495</v>
      </c>
    </row>
    <row r="1065" spans="1:4" x14ac:dyDescent="0.4">
      <c r="A1065" s="30">
        <f t="shared" si="67"/>
        <v>1118</v>
      </c>
      <c r="B1065" s="30">
        <f t="shared" si="64"/>
        <v>0.1757469244288225</v>
      </c>
      <c r="C1065" s="30">
        <f t="shared" si="65"/>
        <v>1140</v>
      </c>
      <c r="D1065" s="30">
        <f t="shared" si="66"/>
        <v>1.5363</v>
      </c>
    </row>
    <row r="1066" spans="1:4" x14ac:dyDescent="0.4">
      <c r="A1066" s="30">
        <f t="shared" si="67"/>
        <v>1119</v>
      </c>
      <c r="B1066" s="30">
        <f t="shared" si="64"/>
        <v>0.17559262510974538</v>
      </c>
      <c r="C1066" s="30">
        <f t="shared" si="65"/>
        <v>1141</v>
      </c>
      <c r="D1066" s="30">
        <f t="shared" si="66"/>
        <v>1.5376500000000002</v>
      </c>
    </row>
    <row r="1067" spans="1:4" x14ac:dyDescent="0.4">
      <c r="A1067" s="30">
        <f t="shared" si="67"/>
        <v>1120</v>
      </c>
      <c r="B1067" s="30">
        <f t="shared" si="64"/>
        <v>0.17543859649122806</v>
      </c>
      <c r="C1067" s="30">
        <f t="shared" si="65"/>
        <v>1142</v>
      </c>
      <c r="D1067" s="30">
        <f t="shared" si="66"/>
        <v>1.5390000000000001</v>
      </c>
    </row>
    <row r="1068" spans="1:4" x14ac:dyDescent="0.4">
      <c r="A1068" s="30">
        <f t="shared" si="67"/>
        <v>1121</v>
      </c>
      <c r="B1068" s="30">
        <f t="shared" si="64"/>
        <v>0.17528483786152499</v>
      </c>
      <c r="C1068" s="30">
        <f t="shared" si="65"/>
        <v>1143</v>
      </c>
      <c r="D1068" s="30">
        <f t="shared" si="66"/>
        <v>1.5403499999999999</v>
      </c>
    </row>
    <row r="1069" spans="1:4" x14ac:dyDescent="0.4">
      <c r="A1069" s="30">
        <f t="shared" si="67"/>
        <v>1122</v>
      </c>
      <c r="B1069" s="30">
        <f t="shared" si="64"/>
        <v>0.17513134851138354</v>
      </c>
      <c r="C1069" s="30">
        <f t="shared" si="65"/>
        <v>1144</v>
      </c>
      <c r="D1069" s="30">
        <f t="shared" si="66"/>
        <v>1.5417000000000001</v>
      </c>
    </row>
    <row r="1070" spans="1:4" x14ac:dyDescent="0.4">
      <c r="A1070" s="30">
        <f t="shared" si="67"/>
        <v>1123</v>
      </c>
      <c r="B1070" s="30">
        <f t="shared" si="64"/>
        <v>0.17497812773403323</v>
      </c>
      <c r="C1070" s="30">
        <f t="shared" si="65"/>
        <v>1145</v>
      </c>
      <c r="D1070" s="30">
        <f t="shared" si="66"/>
        <v>1.5430500000000003</v>
      </c>
    </row>
    <row r="1071" spans="1:4" x14ac:dyDescent="0.4">
      <c r="A1071" s="30">
        <f t="shared" si="67"/>
        <v>1124</v>
      </c>
      <c r="B1071" s="30">
        <f t="shared" si="64"/>
        <v>0.17482517482517482</v>
      </c>
      <c r="C1071" s="30">
        <f t="shared" si="65"/>
        <v>1146</v>
      </c>
      <c r="D1071" s="30">
        <f t="shared" si="66"/>
        <v>1.5444</v>
      </c>
    </row>
    <row r="1072" spans="1:4" x14ac:dyDescent="0.4">
      <c r="A1072" s="30">
        <f t="shared" si="67"/>
        <v>1125</v>
      </c>
      <c r="B1072" s="30">
        <f t="shared" si="64"/>
        <v>0.17467248908296942</v>
      </c>
      <c r="C1072" s="30">
        <f t="shared" si="65"/>
        <v>1147</v>
      </c>
      <c r="D1072" s="30">
        <f t="shared" si="66"/>
        <v>1.5457500000000002</v>
      </c>
    </row>
    <row r="1073" spans="1:4" x14ac:dyDescent="0.4">
      <c r="A1073" s="30">
        <f t="shared" si="67"/>
        <v>1126</v>
      </c>
      <c r="B1073" s="30">
        <f t="shared" si="64"/>
        <v>0.17452006980802792</v>
      </c>
      <c r="C1073" s="30">
        <f t="shared" si="65"/>
        <v>1148</v>
      </c>
      <c r="D1073" s="30">
        <f t="shared" si="66"/>
        <v>1.5471000000000001</v>
      </c>
    </row>
    <row r="1074" spans="1:4" x14ac:dyDescent="0.4">
      <c r="A1074" s="30">
        <f t="shared" si="67"/>
        <v>1127</v>
      </c>
      <c r="B1074" s="30">
        <f t="shared" si="64"/>
        <v>0.17436791630340018</v>
      </c>
      <c r="C1074" s="30">
        <f t="shared" si="65"/>
        <v>1149</v>
      </c>
      <c r="D1074" s="30">
        <f t="shared" si="66"/>
        <v>1.5484500000000001</v>
      </c>
    </row>
    <row r="1075" spans="1:4" x14ac:dyDescent="0.4">
      <c r="A1075" s="30">
        <f t="shared" si="67"/>
        <v>1128</v>
      </c>
      <c r="B1075" s="30">
        <f t="shared" si="64"/>
        <v>0.17421602787456447</v>
      </c>
      <c r="C1075" s="30">
        <f t="shared" si="65"/>
        <v>1150</v>
      </c>
      <c r="D1075" s="30">
        <f t="shared" si="66"/>
        <v>1.5497999999999998</v>
      </c>
    </row>
    <row r="1076" spans="1:4" x14ac:dyDescent="0.4">
      <c r="A1076" s="30">
        <f t="shared" si="67"/>
        <v>1129</v>
      </c>
      <c r="B1076" s="30">
        <f t="shared" si="64"/>
        <v>0.17406440382941687</v>
      </c>
      <c r="C1076" s="30">
        <f t="shared" si="65"/>
        <v>1151</v>
      </c>
      <c r="D1076" s="30">
        <f t="shared" si="66"/>
        <v>1.5511500000000003</v>
      </c>
    </row>
    <row r="1077" spans="1:4" x14ac:dyDescent="0.4">
      <c r="A1077" s="30">
        <f t="shared" si="67"/>
        <v>1130</v>
      </c>
      <c r="B1077" s="30">
        <f t="shared" si="64"/>
        <v>0.17391304347826086</v>
      </c>
      <c r="C1077" s="30">
        <f t="shared" si="65"/>
        <v>1152</v>
      </c>
      <c r="D1077" s="30">
        <f t="shared" si="66"/>
        <v>1.5525000000000002</v>
      </c>
    </row>
    <row r="1078" spans="1:4" x14ac:dyDescent="0.4">
      <c r="A1078" s="30">
        <f t="shared" si="67"/>
        <v>1131</v>
      </c>
      <c r="B1078" s="30">
        <f t="shared" si="64"/>
        <v>0.1737619461337967</v>
      </c>
      <c r="C1078" s="30">
        <f t="shared" si="65"/>
        <v>1153</v>
      </c>
      <c r="D1078" s="30">
        <f t="shared" si="66"/>
        <v>1.5538500000000002</v>
      </c>
    </row>
    <row r="1079" spans="1:4" x14ac:dyDescent="0.4">
      <c r="A1079" s="30">
        <f t="shared" si="67"/>
        <v>1132</v>
      </c>
      <c r="B1079" s="30">
        <f t="shared" si="64"/>
        <v>0.1736111111111111</v>
      </c>
      <c r="C1079" s="30">
        <f t="shared" si="65"/>
        <v>1154</v>
      </c>
      <c r="D1079" s="30">
        <f t="shared" si="66"/>
        <v>1.5552000000000001</v>
      </c>
    </row>
    <row r="1080" spans="1:4" x14ac:dyDescent="0.4">
      <c r="A1080" s="30">
        <f t="shared" si="67"/>
        <v>1133</v>
      </c>
      <c r="B1080" s="30">
        <f t="shared" si="64"/>
        <v>0.17346053772766695</v>
      </c>
      <c r="C1080" s="30">
        <f t="shared" si="65"/>
        <v>1155</v>
      </c>
      <c r="D1080" s="30">
        <f t="shared" si="66"/>
        <v>1.5565500000000001</v>
      </c>
    </row>
    <row r="1081" spans="1:4" x14ac:dyDescent="0.4">
      <c r="A1081" s="30">
        <f t="shared" si="67"/>
        <v>1134</v>
      </c>
      <c r="B1081" s="30">
        <f t="shared" si="64"/>
        <v>0.1733102253032929</v>
      </c>
      <c r="C1081" s="30">
        <f t="shared" si="65"/>
        <v>1156</v>
      </c>
      <c r="D1081" s="30">
        <f t="shared" si="66"/>
        <v>1.5579000000000001</v>
      </c>
    </row>
    <row r="1082" spans="1:4" x14ac:dyDescent="0.4">
      <c r="A1082" s="30">
        <f t="shared" si="67"/>
        <v>1135</v>
      </c>
      <c r="B1082" s="30">
        <f t="shared" si="64"/>
        <v>0.17316017316017315</v>
      </c>
      <c r="C1082" s="30">
        <f t="shared" si="65"/>
        <v>1157</v>
      </c>
      <c r="D1082" s="30">
        <f t="shared" si="66"/>
        <v>1.55925</v>
      </c>
    </row>
    <row r="1083" spans="1:4" x14ac:dyDescent="0.4">
      <c r="A1083" s="30">
        <f t="shared" si="67"/>
        <v>1136</v>
      </c>
      <c r="B1083" s="30">
        <f t="shared" si="64"/>
        <v>0.17301038062283736</v>
      </c>
      <c r="C1083" s="30">
        <f t="shared" si="65"/>
        <v>1158</v>
      </c>
      <c r="D1083" s="30">
        <f t="shared" si="66"/>
        <v>1.5606000000000002</v>
      </c>
    </row>
    <row r="1084" spans="1:4" x14ac:dyDescent="0.4">
      <c r="A1084" s="30">
        <f t="shared" si="67"/>
        <v>1137</v>
      </c>
      <c r="B1084" s="30">
        <f t="shared" si="64"/>
        <v>0.17286084701815038</v>
      </c>
      <c r="C1084" s="30">
        <f t="shared" si="65"/>
        <v>1159</v>
      </c>
      <c r="D1084" s="30">
        <f t="shared" si="66"/>
        <v>1.5619500000000002</v>
      </c>
    </row>
    <row r="1085" spans="1:4" x14ac:dyDescent="0.4">
      <c r="A1085" s="30">
        <f t="shared" si="67"/>
        <v>1138</v>
      </c>
      <c r="B1085" s="30">
        <f t="shared" si="64"/>
        <v>0.17271157167530224</v>
      </c>
      <c r="C1085" s="30">
        <f t="shared" si="65"/>
        <v>1160</v>
      </c>
      <c r="D1085" s="30">
        <f t="shared" si="66"/>
        <v>1.5633000000000001</v>
      </c>
    </row>
    <row r="1086" spans="1:4" x14ac:dyDescent="0.4">
      <c r="A1086" s="30">
        <f t="shared" si="67"/>
        <v>1139</v>
      </c>
      <c r="B1086" s="30">
        <f t="shared" si="64"/>
        <v>0.17256255392579811</v>
      </c>
      <c r="C1086" s="30">
        <f t="shared" si="65"/>
        <v>1161</v>
      </c>
      <c r="D1086" s="30">
        <f t="shared" si="66"/>
        <v>1.5646499999999999</v>
      </c>
    </row>
    <row r="1087" spans="1:4" x14ac:dyDescent="0.4">
      <c r="A1087" s="30">
        <f t="shared" si="67"/>
        <v>1140</v>
      </c>
      <c r="B1087" s="30">
        <f t="shared" si="64"/>
        <v>0.17241379310344829</v>
      </c>
      <c r="C1087" s="30">
        <f t="shared" si="65"/>
        <v>1162</v>
      </c>
      <c r="D1087" s="30">
        <f t="shared" si="66"/>
        <v>1.5660000000000001</v>
      </c>
    </row>
    <row r="1088" spans="1:4" x14ac:dyDescent="0.4">
      <c r="A1088" s="30">
        <f t="shared" si="67"/>
        <v>1141</v>
      </c>
      <c r="B1088" s="30">
        <f t="shared" si="64"/>
        <v>0.17226528854435832</v>
      </c>
      <c r="C1088" s="30">
        <f t="shared" si="65"/>
        <v>1163</v>
      </c>
      <c r="D1088" s="30">
        <f t="shared" si="66"/>
        <v>1.56735</v>
      </c>
    </row>
    <row r="1089" spans="1:4" x14ac:dyDescent="0.4">
      <c r="A1089" s="30">
        <f t="shared" si="67"/>
        <v>1142</v>
      </c>
      <c r="B1089" s="30">
        <f t="shared" si="64"/>
        <v>0.1721170395869191</v>
      </c>
      <c r="C1089" s="30">
        <f t="shared" si="65"/>
        <v>1164</v>
      </c>
      <c r="D1089" s="30">
        <f t="shared" si="66"/>
        <v>1.5687000000000002</v>
      </c>
    </row>
    <row r="1090" spans="1:4" x14ac:dyDescent="0.4">
      <c r="A1090" s="30">
        <f t="shared" si="67"/>
        <v>1143</v>
      </c>
      <c r="B1090" s="30">
        <f t="shared" si="64"/>
        <v>0.17196904557179707</v>
      </c>
      <c r="C1090" s="30">
        <f t="shared" si="65"/>
        <v>1165</v>
      </c>
      <c r="D1090" s="30">
        <f t="shared" si="66"/>
        <v>1.5700500000000002</v>
      </c>
    </row>
    <row r="1091" spans="1:4" x14ac:dyDescent="0.4">
      <c r="A1091" s="30">
        <f t="shared" si="67"/>
        <v>1144</v>
      </c>
      <c r="B1091" s="30">
        <f t="shared" si="64"/>
        <v>0.1718213058419244</v>
      </c>
      <c r="C1091" s="30">
        <f t="shared" si="65"/>
        <v>1166</v>
      </c>
      <c r="D1091" s="30">
        <f t="shared" si="66"/>
        <v>1.5714000000000001</v>
      </c>
    </row>
    <row r="1092" spans="1:4" x14ac:dyDescent="0.4">
      <c r="A1092" s="30">
        <f t="shared" si="67"/>
        <v>1145</v>
      </c>
      <c r="B1092" s="30">
        <f t="shared" si="64"/>
        <v>0.17167381974248927</v>
      </c>
      <c r="C1092" s="30">
        <f t="shared" si="65"/>
        <v>1167</v>
      </c>
      <c r="D1092" s="30">
        <f t="shared" si="66"/>
        <v>1.5727500000000001</v>
      </c>
    </row>
    <row r="1093" spans="1:4" x14ac:dyDescent="0.4">
      <c r="A1093" s="30">
        <f t="shared" si="67"/>
        <v>1146</v>
      </c>
      <c r="B1093" s="30">
        <f t="shared" si="64"/>
        <v>0.17152658662092624</v>
      </c>
      <c r="C1093" s="30">
        <f t="shared" si="65"/>
        <v>1168</v>
      </c>
      <c r="D1093" s="30">
        <f t="shared" si="66"/>
        <v>1.5741000000000001</v>
      </c>
    </row>
    <row r="1094" spans="1:4" x14ac:dyDescent="0.4">
      <c r="A1094" s="30">
        <f t="shared" si="67"/>
        <v>1147</v>
      </c>
      <c r="B1094" s="30">
        <f t="shared" si="64"/>
        <v>0.17137960582690659</v>
      </c>
      <c r="C1094" s="30">
        <f t="shared" si="65"/>
        <v>1169</v>
      </c>
      <c r="D1094" s="30">
        <f t="shared" si="66"/>
        <v>1.5754500000000002</v>
      </c>
    </row>
    <row r="1095" spans="1:4" x14ac:dyDescent="0.4">
      <c r="A1095" s="30">
        <f t="shared" si="67"/>
        <v>1148</v>
      </c>
      <c r="B1095" s="30">
        <f t="shared" si="64"/>
        <v>0.17123287671232876</v>
      </c>
      <c r="C1095" s="30">
        <f t="shared" si="65"/>
        <v>1170</v>
      </c>
      <c r="D1095" s="30">
        <f t="shared" si="66"/>
        <v>1.5768000000000002</v>
      </c>
    </row>
    <row r="1096" spans="1:4" x14ac:dyDescent="0.4">
      <c r="A1096" s="30">
        <f t="shared" si="67"/>
        <v>1149</v>
      </c>
      <c r="B1096" s="30">
        <f t="shared" si="64"/>
        <v>0.17108639863130881</v>
      </c>
      <c r="C1096" s="30">
        <f t="shared" si="65"/>
        <v>1171</v>
      </c>
      <c r="D1096" s="30">
        <f t="shared" si="66"/>
        <v>1.5781500000000002</v>
      </c>
    </row>
    <row r="1097" spans="1:4" x14ac:dyDescent="0.4">
      <c r="A1097" s="30">
        <f t="shared" si="67"/>
        <v>1150</v>
      </c>
      <c r="B1097" s="30">
        <f t="shared" si="64"/>
        <v>0.17094017094017094</v>
      </c>
      <c r="C1097" s="30">
        <f t="shared" si="65"/>
        <v>1172</v>
      </c>
      <c r="D1097" s="30">
        <f t="shared" si="66"/>
        <v>1.5794999999999999</v>
      </c>
    </row>
    <row r="1098" spans="1:4" x14ac:dyDescent="0.4">
      <c r="A1098" s="30">
        <f t="shared" si="67"/>
        <v>1151</v>
      </c>
      <c r="B1098" s="30">
        <f t="shared" si="64"/>
        <v>0.17079419299743809</v>
      </c>
      <c r="C1098" s="30">
        <f t="shared" si="65"/>
        <v>1173</v>
      </c>
      <c r="D1098" s="30">
        <f t="shared" si="66"/>
        <v>1.5808500000000001</v>
      </c>
    </row>
    <row r="1099" spans="1:4" x14ac:dyDescent="0.4">
      <c r="A1099" s="30">
        <f t="shared" si="67"/>
        <v>1152</v>
      </c>
      <c r="B1099" s="30">
        <f t="shared" ref="B1099:B1162" si="68">$B$4/8/(A1099+$B$2)</f>
        <v>0.17064846416382254</v>
      </c>
      <c r="C1099" s="30">
        <f t="shared" si="65"/>
        <v>1174</v>
      </c>
      <c r="D1099" s="30">
        <f t="shared" si="66"/>
        <v>1.5821999999999998</v>
      </c>
    </row>
    <row r="1100" spans="1:4" x14ac:dyDescent="0.4">
      <c r="A1100" s="30">
        <f t="shared" si="67"/>
        <v>1153</v>
      </c>
      <c r="B1100" s="30">
        <f t="shared" si="68"/>
        <v>0.17050298380221654</v>
      </c>
      <c r="C1100" s="30">
        <f t="shared" ref="C1100:C1163" si="69">A1100+$E$6</f>
        <v>1175</v>
      </c>
      <c r="D1100" s="30">
        <f t="shared" ref="D1100:D1163" si="70">$H$3/B1100/CEILING(C1100/$H$2,1)</f>
        <v>1.5835500000000002</v>
      </c>
    </row>
    <row r="1101" spans="1:4" x14ac:dyDescent="0.4">
      <c r="A1101" s="30">
        <f t="shared" ref="A1101:A1164" si="71">A1100+$B$3</f>
        <v>1154</v>
      </c>
      <c r="B1101" s="30">
        <f t="shared" si="68"/>
        <v>0.17035775127768313</v>
      </c>
      <c r="C1101" s="30">
        <f t="shared" si="69"/>
        <v>1176</v>
      </c>
      <c r="D1101" s="30">
        <f t="shared" si="70"/>
        <v>1.5849000000000002</v>
      </c>
    </row>
    <row r="1102" spans="1:4" x14ac:dyDescent="0.4">
      <c r="A1102" s="30">
        <f t="shared" si="71"/>
        <v>1155</v>
      </c>
      <c r="B1102" s="30">
        <f t="shared" si="68"/>
        <v>0.1702127659574468</v>
      </c>
      <c r="C1102" s="30">
        <f t="shared" si="69"/>
        <v>1177</v>
      </c>
      <c r="D1102" s="30">
        <f t="shared" si="70"/>
        <v>1.5862500000000002</v>
      </c>
    </row>
    <row r="1103" spans="1:4" x14ac:dyDescent="0.4">
      <c r="A1103" s="30">
        <f t="shared" si="71"/>
        <v>1156</v>
      </c>
      <c r="B1103" s="30">
        <f t="shared" si="68"/>
        <v>0.17006802721088435</v>
      </c>
      <c r="C1103" s="30">
        <f t="shared" si="69"/>
        <v>1178</v>
      </c>
      <c r="D1103" s="30">
        <f t="shared" si="70"/>
        <v>1.5876000000000001</v>
      </c>
    </row>
    <row r="1104" spans="1:4" x14ac:dyDescent="0.4">
      <c r="A1104" s="30">
        <f t="shared" si="71"/>
        <v>1157</v>
      </c>
      <c r="B1104" s="30">
        <f t="shared" si="68"/>
        <v>0.16992353440951571</v>
      </c>
      <c r="C1104" s="30">
        <f t="shared" si="69"/>
        <v>1179</v>
      </c>
      <c r="D1104" s="30">
        <f t="shared" si="70"/>
        <v>1.5889500000000001</v>
      </c>
    </row>
    <row r="1105" spans="1:4" x14ac:dyDescent="0.4">
      <c r="A1105" s="30">
        <f t="shared" si="71"/>
        <v>1158</v>
      </c>
      <c r="B1105" s="30">
        <f t="shared" si="68"/>
        <v>0.1697792869269949</v>
      </c>
      <c r="C1105" s="30">
        <f t="shared" si="69"/>
        <v>1180</v>
      </c>
      <c r="D1105" s="30">
        <f t="shared" si="70"/>
        <v>1.5903000000000003</v>
      </c>
    </row>
    <row r="1106" spans="1:4" x14ac:dyDescent="0.4">
      <c r="A1106" s="30">
        <f t="shared" si="71"/>
        <v>1159</v>
      </c>
      <c r="B1106" s="30">
        <f t="shared" si="68"/>
        <v>0.16963528413910092</v>
      </c>
      <c r="C1106" s="30">
        <f t="shared" si="69"/>
        <v>1181</v>
      </c>
      <c r="D1106" s="30">
        <f t="shared" si="70"/>
        <v>1.5916500000000002</v>
      </c>
    </row>
    <row r="1107" spans="1:4" x14ac:dyDescent="0.4">
      <c r="A1107" s="30">
        <f t="shared" si="71"/>
        <v>1160</v>
      </c>
      <c r="B1107" s="30">
        <f t="shared" si="68"/>
        <v>0.16949152542372881</v>
      </c>
      <c r="C1107" s="30">
        <f t="shared" si="69"/>
        <v>1182</v>
      </c>
      <c r="D1107" s="30">
        <f t="shared" si="70"/>
        <v>1.5930000000000002</v>
      </c>
    </row>
    <row r="1108" spans="1:4" x14ac:dyDescent="0.4">
      <c r="A1108" s="30">
        <f t="shared" si="71"/>
        <v>1161</v>
      </c>
      <c r="B1108" s="30">
        <f t="shared" si="68"/>
        <v>0.16934801016088061</v>
      </c>
      <c r="C1108" s="30">
        <f t="shared" si="69"/>
        <v>1183</v>
      </c>
      <c r="D1108" s="30">
        <f t="shared" si="70"/>
        <v>1.5943500000000002</v>
      </c>
    </row>
    <row r="1109" spans="1:4" x14ac:dyDescent="0.4">
      <c r="A1109" s="30">
        <f t="shared" si="71"/>
        <v>1162</v>
      </c>
      <c r="B1109" s="30">
        <f t="shared" si="68"/>
        <v>0.16920473773265651</v>
      </c>
      <c r="C1109" s="30">
        <f t="shared" si="69"/>
        <v>1184</v>
      </c>
      <c r="D1109" s="30">
        <f t="shared" si="70"/>
        <v>1.5957000000000001</v>
      </c>
    </row>
    <row r="1110" spans="1:4" x14ac:dyDescent="0.4">
      <c r="A1110" s="30">
        <f t="shared" si="71"/>
        <v>1163</v>
      </c>
      <c r="B1110" s="30">
        <f t="shared" si="68"/>
        <v>0.16906170752324598</v>
      </c>
      <c r="C1110" s="30">
        <f t="shared" si="69"/>
        <v>1185</v>
      </c>
      <c r="D1110" s="30">
        <f t="shared" si="70"/>
        <v>1.5970500000000001</v>
      </c>
    </row>
    <row r="1111" spans="1:4" x14ac:dyDescent="0.4">
      <c r="A1111" s="30">
        <f t="shared" si="71"/>
        <v>1164</v>
      </c>
      <c r="B1111" s="30">
        <f t="shared" si="68"/>
        <v>0.16891891891891891</v>
      </c>
      <c r="C1111" s="30">
        <f t="shared" si="69"/>
        <v>1186</v>
      </c>
      <c r="D1111" s="30">
        <f t="shared" si="70"/>
        <v>1.5984000000000003</v>
      </c>
    </row>
    <row r="1112" spans="1:4" x14ac:dyDescent="0.4">
      <c r="A1112" s="30">
        <f t="shared" si="71"/>
        <v>1165</v>
      </c>
      <c r="B1112" s="30">
        <f t="shared" si="68"/>
        <v>0.16877637130801687</v>
      </c>
      <c r="C1112" s="30">
        <f t="shared" si="69"/>
        <v>1187</v>
      </c>
      <c r="D1112" s="30">
        <f t="shared" si="70"/>
        <v>1.5997500000000002</v>
      </c>
    </row>
    <row r="1113" spans="1:4" x14ac:dyDescent="0.4">
      <c r="A1113" s="30">
        <f t="shared" si="71"/>
        <v>1166</v>
      </c>
      <c r="B1113" s="30">
        <f t="shared" si="68"/>
        <v>0.16863406408094436</v>
      </c>
      <c r="C1113" s="30">
        <f t="shared" si="69"/>
        <v>1188</v>
      </c>
      <c r="D1113" s="30">
        <f t="shared" si="70"/>
        <v>1.6011</v>
      </c>
    </row>
    <row r="1114" spans="1:4" x14ac:dyDescent="0.4">
      <c r="A1114" s="30">
        <f t="shared" si="71"/>
        <v>1167</v>
      </c>
      <c r="B1114" s="30">
        <f t="shared" si="68"/>
        <v>0.16849199663016007</v>
      </c>
      <c r="C1114" s="30">
        <f t="shared" si="69"/>
        <v>1189</v>
      </c>
      <c r="D1114" s="30">
        <f t="shared" si="70"/>
        <v>1.6024499999999999</v>
      </c>
    </row>
    <row r="1115" spans="1:4" x14ac:dyDescent="0.4">
      <c r="A1115" s="30">
        <f t="shared" si="71"/>
        <v>1168</v>
      </c>
      <c r="B1115" s="30">
        <f t="shared" si="68"/>
        <v>0.16835016835016836</v>
      </c>
      <c r="C1115" s="30">
        <f t="shared" si="69"/>
        <v>1190</v>
      </c>
      <c r="D1115" s="30">
        <f t="shared" si="70"/>
        <v>1.6038000000000001</v>
      </c>
    </row>
    <row r="1116" spans="1:4" x14ac:dyDescent="0.4">
      <c r="A1116" s="30">
        <f t="shared" si="71"/>
        <v>1169</v>
      </c>
      <c r="B1116" s="30">
        <f t="shared" si="68"/>
        <v>0.16820857863751051</v>
      </c>
      <c r="C1116" s="30">
        <f t="shared" si="69"/>
        <v>1191</v>
      </c>
      <c r="D1116" s="30">
        <f t="shared" si="70"/>
        <v>1.6051500000000001</v>
      </c>
    </row>
    <row r="1117" spans="1:4" x14ac:dyDescent="0.4">
      <c r="A1117" s="30">
        <f t="shared" si="71"/>
        <v>1170</v>
      </c>
      <c r="B1117" s="30">
        <f t="shared" si="68"/>
        <v>0.16806722689075632</v>
      </c>
      <c r="C1117" s="30">
        <f t="shared" si="69"/>
        <v>1192</v>
      </c>
      <c r="D1117" s="30">
        <f t="shared" si="70"/>
        <v>1.6065</v>
      </c>
    </row>
    <row r="1118" spans="1:4" x14ac:dyDescent="0.4">
      <c r="A1118" s="30">
        <f t="shared" si="71"/>
        <v>1171</v>
      </c>
      <c r="B1118" s="30">
        <f t="shared" si="68"/>
        <v>0.16792611251049538</v>
      </c>
      <c r="C1118" s="30">
        <f t="shared" si="69"/>
        <v>1193</v>
      </c>
      <c r="D1118" s="30">
        <f t="shared" si="70"/>
        <v>1.6078500000000002</v>
      </c>
    </row>
    <row r="1119" spans="1:4" x14ac:dyDescent="0.4">
      <c r="A1119" s="30">
        <f t="shared" si="71"/>
        <v>1172</v>
      </c>
      <c r="B1119" s="30">
        <f t="shared" si="68"/>
        <v>0.16778523489932887</v>
      </c>
      <c r="C1119" s="30">
        <f t="shared" si="69"/>
        <v>1194</v>
      </c>
      <c r="D1119" s="30">
        <f t="shared" si="70"/>
        <v>1.6092</v>
      </c>
    </row>
    <row r="1120" spans="1:4" x14ac:dyDescent="0.4">
      <c r="A1120" s="30">
        <f t="shared" si="71"/>
        <v>1173</v>
      </c>
      <c r="B1120" s="30">
        <f t="shared" si="68"/>
        <v>0.16764459346186086</v>
      </c>
      <c r="C1120" s="30">
        <f t="shared" si="69"/>
        <v>1195</v>
      </c>
      <c r="D1120" s="30">
        <f t="shared" si="70"/>
        <v>1.6105499999999999</v>
      </c>
    </row>
    <row r="1121" spans="1:4" x14ac:dyDescent="0.4">
      <c r="A1121" s="30">
        <f t="shared" si="71"/>
        <v>1174</v>
      </c>
      <c r="B1121" s="30">
        <f t="shared" si="68"/>
        <v>0.16750418760469013</v>
      </c>
      <c r="C1121" s="30">
        <f t="shared" si="69"/>
        <v>1196</v>
      </c>
      <c r="D1121" s="30">
        <f t="shared" si="70"/>
        <v>1.6118999999999999</v>
      </c>
    </row>
    <row r="1122" spans="1:4" x14ac:dyDescent="0.4">
      <c r="A1122" s="30">
        <f t="shared" si="71"/>
        <v>1175</v>
      </c>
      <c r="B1122" s="30">
        <f t="shared" si="68"/>
        <v>0.16736401673640167</v>
      </c>
      <c r="C1122" s="30">
        <f t="shared" si="69"/>
        <v>1197</v>
      </c>
      <c r="D1122" s="30">
        <f t="shared" si="70"/>
        <v>1.6132500000000001</v>
      </c>
    </row>
    <row r="1123" spans="1:4" x14ac:dyDescent="0.4">
      <c r="A1123" s="30">
        <f t="shared" si="71"/>
        <v>1176</v>
      </c>
      <c r="B1123" s="30">
        <f t="shared" si="68"/>
        <v>0.16722408026755853</v>
      </c>
      <c r="C1123" s="30">
        <f t="shared" si="69"/>
        <v>1198</v>
      </c>
      <c r="D1123" s="30">
        <f t="shared" si="70"/>
        <v>1.6146</v>
      </c>
    </row>
    <row r="1124" spans="1:4" x14ac:dyDescent="0.4">
      <c r="A1124" s="30">
        <f t="shared" si="71"/>
        <v>1177</v>
      </c>
      <c r="B1124" s="30">
        <f t="shared" si="68"/>
        <v>0.16708437761069339</v>
      </c>
      <c r="C1124" s="30">
        <f t="shared" si="69"/>
        <v>1199</v>
      </c>
      <c r="D1124" s="30">
        <f t="shared" si="70"/>
        <v>1.6159500000000002</v>
      </c>
    </row>
    <row r="1125" spans="1:4" x14ac:dyDescent="0.4">
      <c r="A1125" s="30">
        <f t="shared" si="71"/>
        <v>1178</v>
      </c>
      <c r="B1125" s="30">
        <f t="shared" si="68"/>
        <v>0.1669449081803005</v>
      </c>
      <c r="C1125" s="30">
        <f t="shared" si="69"/>
        <v>1200</v>
      </c>
      <c r="D1125" s="30">
        <f t="shared" si="70"/>
        <v>1.6173000000000002</v>
      </c>
    </row>
    <row r="1126" spans="1:4" x14ac:dyDescent="0.4">
      <c r="A1126" s="30">
        <f t="shared" si="71"/>
        <v>1179</v>
      </c>
      <c r="B1126" s="30">
        <f t="shared" si="68"/>
        <v>0.16680567139282734</v>
      </c>
      <c r="C1126" s="30">
        <f t="shared" si="69"/>
        <v>1201</v>
      </c>
      <c r="D1126" s="30">
        <f t="shared" si="70"/>
        <v>1.6186500000000001</v>
      </c>
    </row>
    <row r="1127" spans="1:4" x14ac:dyDescent="0.4">
      <c r="A1127" s="30">
        <f t="shared" si="71"/>
        <v>1180</v>
      </c>
      <c r="B1127" s="30">
        <f t="shared" si="68"/>
        <v>0.16666666666666666</v>
      </c>
      <c r="C1127" s="30">
        <f t="shared" si="69"/>
        <v>1202</v>
      </c>
      <c r="D1127" s="30">
        <f t="shared" si="70"/>
        <v>1.6200000000000003</v>
      </c>
    </row>
    <row r="1128" spans="1:4" x14ac:dyDescent="0.4">
      <c r="A1128" s="30">
        <f t="shared" si="71"/>
        <v>1181</v>
      </c>
      <c r="B1128" s="30">
        <f t="shared" si="68"/>
        <v>0.16652789342214822</v>
      </c>
      <c r="C1128" s="30">
        <f t="shared" si="69"/>
        <v>1203</v>
      </c>
      <c r="D1128" s="30">
        <f t="shared" si="70"/>
        <v>1.6213500000000001</v>
      </c>
    </row>
    <row r="1129" spans="1:4" x14ac:dyDescent="0.4">
      <c r="A1129" s="30">
        <f t="shared" si="71"/>
        <v>1182</v>
      </c>
      <c r="B1129" s="30">
        <f t="shared" si="68"/>
        <v>0.16638935108153077</v>
      </c>
      <c r="C1129" s="30">
        <f t="shared" si="69"/>
        <v>1204</v>
      </c>
      <c r="D1129" s="30">
        <f t="shared" si="70"/>
        <v>1.6227</v>
      </c>
    </row>
    <row r="1130" spans="1:4" x14ac:dyDescent="0.4">
      <c r="A1130" s="30">
        <f t="shared" si="71"/>
        <v>1183</v>
      </c>
      <c r="B1130" s="30">
        <f t="shared" si="68"/>
        <v>0.16625103906899419</v>
      </c>
      <c r="C1130" s="30">
        <f t="shared" si="69"/>
        <v>1205</v>
      </c>
      <c r="D1130" s="30">
        <f t="shared" si="70"/>
        <v>1.62405</v>
      </c>
    </row>
    <row r="1131" spans="1:4" x14ac:dyDescent="0.4">
      <c r="A1131" s="30">
        <f t="shared" si="71"/>
        <v>1184</v>
      </c>
      <c r="B1131" s="30">
        <f t="shared" si="68"/>
        <v>0.16611295681063123</v>
      </c>
      <c r="C1131" s="30">
        <f t="shared" si="69"/>
        <v>1206</v>
      </c>
      <c r="D1131" s="30">
        <f t="shared" si="70"/>
        <v>1.6254000000000002</v>
      </c>
    </row>
    <row r="1132" spans="1:4" x14ac:dyDescent="0.4">
      <c r="A1132" s="30">
        <f t="shared" si="71"/>
        <v>1185</v>
      </c>
      <c r="B1132" s="30">
        <f t="shared" si="68"/>
        <v>0.16597510373443983</v>
      </c>
      <c r="C1132" s="30">
        <f t="shared" si="69"/>
        <v>1207</v>
      </c>
      <c r="D1132" s="30">
        <f t="shared" si="70"/>
        <v>1.6267500000000001</v>
      </c>
    </row>
    <row r="1133" spans="1:4" x14ac:dyDescent="0.4">
      <c r="A1133" s="30">
        <f t="shared" si="71"/>
        <v>1186</v>
      </c>
      <c r="B1133" s="30">
        <f t="shared" si="68"/>
        <v>0.16583747927031509</v>
      </c>
      <c r="C1133" s="30">
        <f t="shared" si="69"/>
        <v>1208</v>
      </c>
      <c r="D1133" s="30">
        <f t="shared" si="70"/>
        <v>1.6281000000000003</v>
      </c>
    </row>
    <row r="1134" spans="1:4" x14ac:dyDescent="0.4">
      <c r="A1134" s="30">
        <f t="shared" si="71"/>
        <v>1187</v>
      </c>
      <c r="B1134" s="30">
        <f t="shared" si="68"/>
        <v>0.16570008285004142</v>
      </c>
      <c r="C1134" s="30">
        <f t="shared" si="69"/>
        <v>1209</v>
      </c>
      <c r="D1134" s="30">
        <f t="shared" si="70"/>
        <v>1.6294500000000003</v>
      </c>
    </row>
    <row r="1135" spans="1:4" x14ac:dyDescent="0.4">
      <c r="A1135" s="30">
        <f t="shared" si="71"/>
        <v>1188</v>
      </c>
      <c r="B1135" s="30">
        <f t="shared" si="68"/>
        <v>0.16556291390728478</v>
      </c>
      <c r="C1135" s="30">
        <f t="shared" si="69"/>
        <v>1210</v>
      </c>
      <c r="D1135" s="30">
        <f t="shared" si="70"/>
        <v>1.6308</v>
      </c>
    </row>
    <row r="1136" spans="1:4" x14ac:dyDescent="0.4">
      <c r="A1136" s="30">
        <f t="shared" si="71"/>
        <v>1189</v>
      </c>
      <c r="B1136" s="30">
        <f t="shared" si="68"/>
        <v>0.16542597187758479</v>
      </c>
      <c r="C1136" s="30">
        <f t="shared" si="69"/>
        <v>1211</v>
      </c>
      <c r="D1136" s="30">
        <f t="shared" si="70"/>
        <v>1.63215</v>
      </c>
    </row>
    <row r="1137" spans="1:4" x14ac:dyDescent="0.4">
      <c r="A1137" s="30">
        <f t="shared" si="71"/>
        <v>1190</v>
      </c>
      <c r="B1137" s="30">
        <f t="shared" si="68"/>
        <v>0.16528925619834711</v>
      </c>
      <c r="C1137" s="30">
        <f t="shared" si="69"/>
        <v>1212</v>
      </c>
      <c r="D1137" s="30">
        <f t="shared" si="70"/>
        <v>1.6335000000000002</v>
      </c>
    </row>
    <row r="1138" spans="1:4" x14ac:dyDescent="0.4">
      <c r="A1138" s="30">
        <f t="shared" si="71"/>
        <v>1191</v>
      </c>
      <c r="B1138" s="30">
        <f t="shared" si="68"/>
        <v>0.16515276630883569</v>
      </c>
      <c r="C1138" s="30">
        <f t="shared" si="69"/>
        <v>1213</v>
      </c>
      <c r="D1138" s="30">
        <f t="shared" si="70"/>
        <v>1.6348500000000001</v>
      </c>
    </row>
    <row r="1139" spans="1:4" x14ac:dyDescent="0.4">
      <c r="A1139" s="30">
        <f t="shared" si="71"/>
        <v>1192</v>
      </c>
      <c r="B1139" s="30">
        <f t="shared" si="68"/>
        <v>0.16501650165016502</v>
      </c>
      <c r="C1139" s="30">
        <f t="shared" si="69"/>
        <v>1214</v>
      </c>
      <c r="D1139" s="30">
        <f t="shared" si="70"/>
        <v>1.6362000000000001</v>
      </c>
    </row>
    <row r="1140" spans="1:4" x14ac:dyDescent="0.4">
      <c r="A1140" s="30">
        <f t="shared" si="71"/>
        <v>1193</v>
      </c>
      <c r="B1140" s="30">
        <f t="shared" si="68"/>
        <v>0.16488046166529266</v>
      </c>
      <c r="C1140" s="30">
        <f t="shared" si="69"/>
        <v>1215</v>
      </c>
      <c r="D1140" s="30">
        <f t="shared" si="70"/>
        <v>1.6375500000000003</v>
      </c>
    </row>
    <row r="1141" spans="1:4" x14ac:dyDescent="0.4">
      <c r="A1141" s="30">
        <f t="shared" si="71"/>
        <v>1194</v>
      </c>
      <c r="B1141" s="30">
        <f t="shared" si="68"/>
        <v>0.16474464579901152</v>
      </c>
      <c r="C1141" s="30">
        <f t="shared" si="69"/>
        <v>1216</v>
      </c>
      <c r="D1141" s="30">
        <f t="shared" si="70"/>
        <v>1.6389000000000002</v>
      </c>
    </row>
    <row r="1142" spans="1:4" x14ac:dyDescent="0.4">
      <c r="A1142" s="30">
        <f t="shared" si="71"/>
        <v>1195</v>
      </c>
      <c r="B1142" s="30">
        <f t="shared" si="68"/>
        <v>0.16460905349794239</v>
      </c>
      <c r="C1142" s="30">
        <f t="shared" si="69"/>
        <v>1217</v>
      </c>
      <c r="D1142" s="30">
        <f t="shared" si="70"/>
        <v>1.64025</v>
      </c>
    </row>
    <row r="1143" spans="1:4" x14ac:dyDescent="0.4">
      <c r="A1143" s="30">
        <f t="shared" si="71"/>
        <v>1196</v>
      </c>
      <c r="B1143" s="30">
        <f t="shared" si="68"/>
        <v>0.16447368421052633</v>
      </c>
      <c r="C1143" s="30">
        <f t="shared" si="69"/>
        <v>1218</v>
      </c>
      <c r="D1143" s="30">
        <f t="shared" si="70"/>
        <v>1.6415999999999999</v>
      </c>
    </row>
    <row r="1144" spans="1:4" x14ac:dyDescent="0.4">
      <c r="A1144" s="30">
        <f t="shared" si="71"/>
        <v>1197</v>
      </c>
      <c r="B1144" s="30">
        <f t="shared" si="68"/>
        <v>0.16433853738701726</v>
      </c>
      <c r="C1144" s="30">
        <f t="shared" si="69"/>
        <v>1219</v>
      </c>
      <c r="D1144" s="30">
        <f t="shared" si="70"/>
        <v>1.6429500000000001</v>
      </c>
    </row>
    <row r="1145" spans="1:4" x14ac:dyDescent="0.4">
      <c r="A1145" s="30">
        <f t="shared" si="71"/>
        <v>1198</v>
      </c>
      <c r="B1145" s="30">
        <f t="shared" si="68"/>
        <v>0.16420361247947454</v>
      </c>
      <c r="C1145" s="30">
        <f t="shared" si="69"/>
        <v>1220</v>
      </c>
      <c r="D1145" s="30">
        <f t="shared" si="70"/>
        <v>1.6443000000000001</v>
      </c>
    </row>
    <row r="1146" spans="1:4" x14ac:dyDescent="0.4">
      <c r="A1146" s="30">
        <f t="shared" si="71"/>
        <v>1199</v>
      </c>
      <c r="B1146" s="30">
        <f t="shared" si="68"/>
        <v>0.16406890894175555</v>
      </c>
      <c r="C1146" s="30">
        <f t="shared" si="69"/>
        <v>1221</v>
      </c>
      <c r="D1146" s="30">
        <f t="shared" si="70"/>
        <v>1.6456499999999998</v>
      </c>
    </row>
    <row r="1147" spans="1:4" x14ac:dyDescent="0.4">
      <c r="A1147" s="30">
        <f t="shared" si="71"/>
        <v>1200</v>
      </c>
      <c r="B1147" s="30">
        <f t="shared" si="68"/>
        <v>0.16393442622950818</v>
      </c>
      <c r="C1147" s="30">
        <f t="shared" si="69"/>
        <v>1222</v>
      </c>
      <c r="D1147" s="30">
        <f t="shared" si="70"/>
        <v>1.6470000000000002</v>
      </c>
    </row>
    <row r="1148" spans="1:4" x14ac:dyDescent="0.4">
      <c r="A1148" s="30">
        <f t="shared" si="71"/>
        <v>1201</v>
      </c>
      <c r="B1148" s="30">
        <f t="shared" si="68"/>
        <v>0.16380016380016379</v>
      </c>
      <c r="C1148" s="30">
        <f t="shared" si="69"/>
        <v>1223</v>
      </c>
      <c r="D1148" s="30">
        <f t="shared" si="70"/>
        <v>1.6483500000000002</v>
      </c>
    </row>
    <row r="1149" spans="1:4" x14ac:dyDescent="0.4">
      <c r="A1149" s="30">
        <f t="shared" si="71"/>
        <v>1202</v>
      </c>
      <c r="B1149" s="30">
        <f t="shared" si="68"/>
        <v>0.16366612111292964</v>
      </c>
      <c r="C1149" s="30">
        <f t="shared" si="69"/>
        <v>1224</v>
      </c>
      <c r="D1149" s="30">
        <f t="shared" si="70"/>
        <v>1.6496999999999999</v>
      </c>
    </row>
    <row r="1150" spans="1:4" x14ac:dyDescent="0.4">
      <c r="A1150" s="30">
        <f t="shared" si="71"/>
        <v>1203</v>
      </c>
      <c r="B1150" s="30">
        <f t="shared" si="68"/>
        <v>0.16353229762878169</v>
      </c>
      <c r="C1150" s="30">
        <f t="shared" si="69"/>
        <v>1225</v>
      </c>
      <c r="D1150" s="30">
        <f t="shared" si="70"/>
        <v>1.6510500000000001</v>
      </c>
    </row>
    <row r="1151" spans="1:4" x14ac:dyDescent="0.4">
      <c r="A1151" s="30">
        <f t="shared" si="71"/>
        <v>1204</v>
      </c>
      <c r="B1151" s="30">
        <f t="shared" si="68"/>
        <v>0.16339869281045752</v>
      </c>
      <c r="C1151" s="30">
        <f t="shared" si="69"/>
        <v>1226</v>
      </c>
      <c r="D1151" s="30">
        <f t="shared" si="70"/>
        <v>1.6524000000000001</v>
      </c>
    </row>
    <row r="1152" spans="1:4" x14ac:dyDescent="0.4">
      <c r="A1152" s="30">
        <f t="shared" si="71"/>
        <v>1205</v>
      </c>
      <c r="B1152" s="30">
        <f t="shared" si="68"/>
        <v>0.16326530612244897</v>
      </c>
      <c r="C1152" s="30">
        <f t="shared" si="69"/>
        <v>1227</v>
      </c>
      <c r="D1152" s="30">
        <f t="shared" si="70"/>
        <v>1.6537500000000001</v>
      </c>
    </row>
    <row r="1153" spans="1:4" x14ac:dyDescent="0.4">
      <c r="A1153" s="30">
        <f t="shared" si="71"/>
        <v>1206</v>
      </c>
      <c r="B1153" s="30">
        <f t="shared" si="68"/>
        <v>0.16313213703099511</v>
      </c>
      <c r="C1153" s="30">
        <f t="shared" si="69"/>
        <v>1228</v>
      </c>
      <c r="D1153" s="30">
        <f t="shared" si="70"/>
        <v>1.6551000000000002</v>
      </c>
    </row>
    <row r="1154" spans="1:4" x14ac:dyDescent="0.4">
      <c r="A1154" s="30">
        <f t="shared" si="71"/>
        <v>1207</v>
      </c>
      <c r="B1154" s="30">
        <f t="shared" si="68"/>
        <v>0.16299918500407498</v>
      </c>
      <c r="C1154" s="30">
        <f t="shared" si="69"/>
        <v>1229</v>
      </c>
      <c r="D1154" s="30">
        <f t="shared" si="70"/>
        <v>1.6564500000000002</v>
      </c>
    </row>
    <row r="1155" spans="1:4" x14ac:dyDescent="0.4">
      <c r="A1155" s="30">
        <f t="shared" si="71"/>
        <v>1208</v>
      </c>
      <c r="B1155" s="30">
        <f t="shared" si="68"/>
        <v>0.16286644951140064</v>
      </c>
      <c r="C1155" s="30">
        <f t="shared" si="69"/>
        <v>1230</v>
      </c>
      <c r="D1155" s="30">
        <f t="shared" si="70"/>
        <v>1.6578000000000004</v>
      </c>
    </row>
    <row r="1156" spans="1:4" x14ac:dyDescent="0.4">
      <c r="A1156" s="30">
        <f t="shared" si="71"/>
        <v>1209</v>
      </c>
      <c r="B1156" s="30">
        <f t="shared" si="68"/>
        <v>0.16273393002441008</v>
      </c>
      <c r="C1156" s="30">
        <f t="shared" si="69"/>
        <v>1231</v>
      </c>
      <c r="D1156" s="30">
        <f t="shared" si="70"/>
        <v>1.6591499999999999</v>
      </c>
    </row>
    <row r="1157" spans="1:4" x14ac:dyDescent="0.4">
      <c r="A1157" s="30">
        <f t="shared" si="71"/>
        <v>1210</v>
      </c>
      <c r="B1157" s="30">
        <f t="shared" si="68"/>
        <v>0.16260162601626016</v>
      </c>
      <c r="C1157" s="30">
        <f t="shared" si="69"/>
        <v>1232</v>
      </c>
      <c r="D1157" s="30">
        <f t="shared" si="70"/>
        <v>1.6605000000000001</v>
      </c>
    </row>
    <row r="1158" spans="1:4" x14ac:dyDescent="0.4">
      <c r="A1158" s="30">
        <f t="shared" si="71"/>
        <v>1211</v>
      </c>
      <c r="B1158" s="30">
        <f t="shared" si="68"/>
        <v>0.16246953696181965</v>
      </c>
      <c r="C1158" s="30">
        <f t="shared" si="69"/>
        <v>1233</v>
      </c>
      <c r="D1158" s="30">
        <f t="shared" si="70"/>
        <v>1.66185</v>
      </c>
    </row>
    <row r="1159" spans="1:4" x14ac:dyDescent="0.4">
      <c r="A1159" s="30">
        <f t="shared" si="71"/>
        <v>1212</v>
      </c>
      <c r="B1159" s="30">
        <f t="shared" si="68"/>
        <v>0.16233766233766234</v>
      </c>
      <c r="C1159" s="30">
        <f t="shared" si="69"/>
        <v>1234</v>
      </c>
      <c r="D1159" s="30">
        <f t="shared" si="70"/>
        <v>1.6632000000000002</v>
      </c>
    </row>
    <row r="1160" spans="1:4" x14ac:dyDescent="0.4">
      <c r="A1160" s="30">
        <f t="shared" si="71"/>
        <v>1213</v>
      </c>
      <c r="B1160" s="30">
        <f t="shared" si="68"/>
        <v>0.16220600162206</v>
      </c>
      <c r="C1160" s="30">
        <f t="shared" si="69"/>
        <v>1235</v>
      </c>
      <c r="D1160" s="30">
        <f t="shared" si="70"/>
        <v>1.6645500000000002</v>
      </c>
    </row>
    <row r="1161" spans="1:4" x14ac:dyDescent="0.4">
      <c r="A1161" s="30">
        <f t="shared" si="71"/>
        <v>1214</v>
      </c>
      <c r="B1161" s="30">
        <f t="shared" si="68"/>
        <v>0.16207455429497569</v>
      </c>
      <c r="C1161" s="30">
        <f t="shared" si="69"/>
        <v>1236</v>
      </c>
      <c r="D1161" s="30">
        <f t="shared" si="70"/>
        <v>1.6659000000000002</v>
      </c>
    </row>
    <row r="1162" spans="1:4" x14ac:dyDescent="0.4">
      <c r="A1162" s="30">
        <f t="shared" si="71"/>
        <v>1215</v>
      </c>
      <c r="B1162" s="30">
        <f t="shared" si="68"/>
        <v>0.16194331983805668</v>
      </c>
      <c r="C1162" s="30">
        <f t="shared" si="69"/>
        <v>1237</v>
      </c>
      <c r="D1162" s="30">
        <f t="shared" si="70"/>
        <v>1.6672499999999999</v>
      </c>
    </row>
    <row r="1163" spans="1:4" x14ac:dyDescent="0.4">
      <c r="A1163" s="30">
        <f t="shared" si="71"/>
        <v>1216</v>
      </c>
      <c r="B1163" s="30">
        <f t="shared" ref="B1163:B1226" si="72">$B$4/8/(A1163+$B$2)</f>
        <v>0.16181229773462782</v>
      </c>
      <c r="C1163" s="30">
        <f t="shared" si="69"/>
        <v>1238</v>
      </c>
      <c r="D1163" s="30">
        <f t="shared" si="70"/>
        <v>1.6686000000000003</v>
      </c>
    </row>
    <row r="1164" spans="1:4" x14ac:dyDescent="0.4">
      <c r="A1164" s="30">
        <f t="shared" si="71"/>
        <v>1217</v>
      </c>
      <c r="B1164" s="30">
        <f t="shared" si="72"/>
        <v>0.16168148746968472</v>
      </c>
      <c r="C1164" s="30">
        <f t="shared" ref="C1164:C1227" si="73">A1164+$E$6</f>
        <v>1239</v>
      </c>
      <c r="D1164" s="30">
        <f t="shared" ref="D1164:D1227" si="74">$H$3/B1164/CEILING(C1164/$H$2,1)</f>
        <v>1.66995</v>
      </c>
    </row>
    <row r="1165" spans="1:4" x14ac:dyDescent="0.4">
      <c r="A1165" s="30">
        <f t="shared" ref="A1165:A1228" si="75">A1164+$B$3</f>
        <v>1218</v>
      </c>
      <c r="B1165" s="30">
        <f t="shared" si="72"/>
        <v>0.16155088852988692</v>
      </c>
      <c r="C1165" s="30">
        <f t="shared" si="73"/>
        <v>1240</v>
      </c>
      <c r="D1165" s="30">
        <f t="shared" si="74"/>
        <v>1.6713</v>
      </c>
    </row>
    <row r="1166" spans="1:4" x14ac:dyDescent="0.4">
      <c r="A1166" s="30">
        <f t="shared" si="75"/>
        <v>1219</v>
      </c>
      <c r="B1166" s="30">
        <f t="shared" si="72"/>
        <v>0.16142050040355124</v>
      </c>
      <c r="C1166" s="30">
        <f t="shared" si="73"/>
        <v>1241</v>
      </c>
      <c r="D1166" s="30">
        <f t="shared" si="74"/>
        <v>1.6726500000000002</v>
      </c>
    </row>
    <row r="1167" spans="1:4" x14ac:dyDescent="0.4">
      <c r="A1167" s="30">
        <f t="shared" si="75"/>
        <v>1220</v>
      </c>
      <c r="B1167" s="30">
        <f t="shared" si="72"/>
        <v>0.16129032258064516</v>
      </c>
      <c r="C1167" s="30">
        <f t="shared" si="73"/>
        <v>1242</v>
      </c>
      <c r="D1167" s="30">
        <f t="shared" si="74"/>
        <v>1.6740000000000002</v>
      </c>
    </row>
    <row r="1168" spans="1:4" x14ac:dyDescent="0.4">
      <c r="A1168" s="30">
        <f t="shared" si="75"/>
        <v>1221</v>
      </c>
      <c r="B1168" s="30">
        <f t="shared" si="72"/>
        <v>0.16116035455278002</v>
      </c>
      <c r="C1168" s="30">
        <f t="shared" si="73"/>
        <v>1243</v>
      </c>
      <c r="D1168" s="30">
        <f t="shared" si="74"/>
        <v>1.6753499999999999</v>
      </c>
    </row>
    <row r="1169" spans="1:4" x14ac:dyDescent="0.4">
      <c r="A1169" s="30">
        <f t="shared" si="75"/>
        <v>1222</v>
      </c>
      <c r="B1169" s="30">
        <f t="shared" si="72"/>
        <v>0.1610305958132045</v>
      </c>
      <c r="C1169" s="30">
        <f t="shared" si="73"/>
        <v>1244</v>
      </c>
      <c r="D1169" s="30">
        <f t="shared" si="74"/>
        <v>1.6767000000000003</v>
      </c>
    </row>
    <row r="1170" spans="1:4" x14ac:dyDescent="0.4">
      <c r="A1170" s="30">
        <f t="shared" si="75"/>
        <v>1223</v>
      </c>
      <c r="B1170" s="30">
        <f t="shared" si="72"/>
        <v>0.16090104585679807</v>
      </c>
      <c r="C1170" s="30">
        <f t="shared" si="73"/>
        <v>1245</v>
      </c>
      <c r="D1170" s="30">
        <f t="shared" si="74"/>
        <v>1.67805</v>
      </c>
    </row>
    <row r="1171" spans="1:4" x14ac:dyDescent="0.4">
      <c r="A1171" s="30">
        <f t="shared" si="75"/>
        <v>1224</v>
      </c>
      <c r="B1171" s="30">
        <f t="shared" si="72"/>
        <v>0.16077170418006431</v>
      </c>
      <c r="C1171" s="30">
        <f t="shared" si="73"/>
        <v>1246</v>
      </c>
      <c r="D1171" s="30">
        <f t="shared" si="74"/>
        <v>1.6794</v>
      </c>
    </row>
    <row r="1172" spans="1:4" x14ac:dyDescent="0.4">
      <c r="A1172" s="30">
        <f t="shared" si="75"/>
        <v>1225</v>
      </c>
      <c r="B1172" s="30">
        <f t="shared" si="72"/>
        <v>0.1606425702811245</v>
      </c>
      <c r="C1172" s="30">
        <f t="shared" si="73"/>
        <v>1247</v>
      </c>
      <c r="D1172" s="30">
        <f t="shared" si="74"/>
        <v>1.6807500000000002</v>
      </c>
    </row>
    <row r="1173" spans="1:4" x14ac:dyDescent="0.4">
      <c r="A1173" s="30">
        <f t="shared" si="75"/>
        <v>1226</v>
      </c>
      <c r="B1173" s="30">
        <f t="shared" si="72"/>
        <v>0.16051364365971107</v>
      </c>
      <c r="C1173" s="30">
        <f t="shared" si="73"/>
        <v>1248</v>
      </c>
      <c r="D1173" s="30">
        <f t="shared" si="74"/>
        <v>1.6821000000000002</v>
      </c>
    </row>
    <row r="1174" spans="1:4" x14ac:dyDescent="0.4">
      <c r="A1174" s="30">
        <f t="shared" si="75"/>
        <v>1227</v>
      </c>
      <c r="B1174" s="30">
        <f t="shared" si="72"/>
        <v>0.16038492381716118</v>
      </c>
      <c r="C1174" s="30">
        <f t="shared" si="73"/>
        <v>1249</v>
      </c>
      <c r="D1174" s="30">
        <f t="shared" si="74"/>
        <v>1.6834500000000001</v>
      </c>
    </row>
    <row r="1175" spans="1:4" x14ac:dyDescent="0.4">
      <c r="A1175" s="30">
        <f t="shared" si="75"/>
        <v>1228</v>
      </c>
      <c r="B1175" s="30">
        <f t="shared" si="72"/>
        <v>0.16025641025641027</v>
      </c>
      <c r="C1175" s="30">
        <f t="shared" si="73"/>
        <v>1250</v>
      </c>
      <c r="D1175" s="30">
        <f t="shared" si="74"/>
        <v>1.6847999999999999</v>
      </c>
    </row>
    <row r="1176" spans="1:4" x14ac:dyDescent="0.4">
      <c r="A1176" s="30">
        <f t="shared" si="75"/>
        <v>1229</v>
      </c>
      <c r="B1176" s="30">
        <f t="shared" si="72"/>
        <v>0.16012810248198558</v>
      </c>
      <c r="C1176" s="30">
        <f t="shared" si="73"/>
        <v>1251</v>
      </c>
      <c r="D1176" s="30">
        <f t="shared" si="74"/>
        <v>1.6861500000000003</v>
      </c>
    </row>
    <row r="1177" spans="1:4" x14ac:dyDescent="0.4">
      <c r="A1177" s="30">
        <f t="shared" si="75"/>
        <v>1230</v>
      </c>
      <c r="B1177" s="30">
        <f t="shared" si="72"/>
        <v>0.16</v>
      </c>
      <c r="C1177" s="30">
        <f t="shared" si="73"/>
        <v>1252</v>
      </c>
      <c r="D1177" s="30">
        <f t="shared" si="74"/>
        <v>1.6875</v>
      </c>
    </row>
    <row r="1178" spans="1:4" x14ac:dyDescent="0.4">
      <c r="A1178" s="30">
        <f t="shared" si="75"/>
        <v>1231</v>
      </c>
      <c r="B1178" s="30">
        <f t="shared" si="72"/>
        <v>0.15987210231814547</v>
      </c>
      <c r="C1178" s="30">
        <f t="shared" si="73"/>
        <v>1253</v>
      </c>
      <c r="D1178" s="30">
        <f t="shared" si="74"/>
        <v>1.6888500000000004</v>
      </c>
    </row>
    <row r="1179" spans="1:4" x14ac:dyDescent="0.4">
      <c r="A1179" s="30">
        <f t="shared" si="75"/>
        <v>1232</v>
      </c>
      <c r="B1179" s="30">
        <f t="shared" si="72"/>
        <v>0.15974440894568689</v>
      </c>
      <c r="C1179" s="30">
        <f t="shared" si="73"/>
        <v>1254</v>
      </c>
      <c r="D1179" s="30">
        <f t="shared" si="74"/>
        <v>1.6902000000000001</v>
      </c>
    </row>
    <row r="1180" spans="1:4" x14ac:dyDescent="0.4">
      <c r="A1180" s="30">
        <f t="shared" si="75"/>
        <v>1233</v>
      </c>
      <c r="B1180" s="30">
        <f t="shared" si="72"/>
        <v>0.15961691939345571</v>
      </c>
      <c r="C1180" s="30">
        <f t="shared" si="73"/>
        <v>1255</v>
      </c>
      <c r="D1180" s="30">
        <f t="shared" si="74"/>
        <v>1.6915500000000001</v>
      </c>
    </row>
    <row r="1181" spans="1:4" x14ac:dyDescent="0.4">
      <c r="A1181" s="30">
        <f t="shared" si="75"/>
        <v>1234</v>
      </c>
      <c r="B1181" s="30">
        <f t="shared" si="72"/>
        <v>0.15948963317384371</v>
      </c>
      <c r="C1181" s="30">
        <f t="shared" si="73"/>
        <v>1256</v>
      </c>
      <c r="D1181" s="30">
        <f t="shared" si="74"/>
        <v>1.6928999999999998</v>
      </c>
    </row>
    <row r="1182" spans="1:4" x14ac:dyDescent="0.4">
      <c r="A1182" s="30">
        <f t="shared" si="75"/>
        <v>1235</v>
      </c>
      <c r="B1182" s="30">
        <f t="shared" si="72"/>
        <v>0.15936254980079681</v>
      </c>
      <c r="C1182" s="30">
        <f t="shared" si="73"/>
        <v>1257</v>
      </c>
      <c r="D1182" s="30">
        <f t="shared" si="74"/>
        <v>1.6942500000000003</v>
      </c>
    </row>
    <row r="1183" spans="1:4" x14ac:dyDescent="0.4">
      <c r="A1183" s="30">
        <f t="shared" si="75"/>
        <v>1236</v>
      </c>
      <c r="B1183" s="30">
        <f t="shared" si="72"/>
        <v>0.15923566878980891</v>
      </c>
      <c r="C1183" s="30">
        <f t="shared" si="73"/>
        <v>1258</v>
      </c>
      <c r="D1183" s="30">
        <f t="shared" si="74"/>
        <v>1.6956000000000002</v>
      </c>
    </row>
    <row r="1184" spans="1:4" x14ac:dyDescent="0.4">
      <c r="A1184" s="30">
        <f t="shared" si="75"/>
        <v>1237</v>
      </c>
      <c r="B1184" s="30">
        <f t="shared" si="72"/>
        <v>0.15910898965791567</v>
      </c>
      <c r="C1184" s="30">
        <f t="shared" si="73"/>
        <v>1259</v>
      </c>
      <c r="D1184" s="30">
        <f t="shared" si="74"/>
        <v>1.69695</v>
      </c>
    </row>
    <row r="1185" spans="1:4" x14ac:dyDescent="0.4">
      <c r="A1185" s="30">
        <f t="shared" si="75"/>
        <v>1238</v>
      </c>
      <c r="B1185" s="30">
        <f t="shared" si="72"/>
        <v>0.1589825119236884</v>
      </c>
      <c r="C1185" s="30">
        <f t="shared" si="73"/>
        <v>1260</v>
      </c>
      <c r="D1185" s="30">
        <f t="shared" si="74"/>
        <v>1.6983000000000001</v>
      </c>
    </row>
    <row r="1186" spans="1:4" x14ac:dyDescent="0.4">
      <c r="A1186" s="30">
        <f t="shared" si="75"/>
        <v>1239</v>
      </c>
      <c r="B1186" s="30">
        <f t="shared" si="72"/>
        <v>0.15885623510722796</v>
      </c>
      <c r="C1186" s="30">
        <f t="shared" si="73"/>
        <v>1261</v>
      </c>
      <c r="D1186" s="30">
        <f t="shared" si="74"/>
        <v>1.6996500000000001</v>
      </c>
    </row>
    <row r="1187" spans="1:4" x14ac:dyDescent="0.4">
      <c r="A1187" s="30">
        <f t="shared" si="75"/>
        <v>1240</v>
      </c>
      <c r="B1187" s="30">
        <f t="shared" si="72"/>
        <v>0.15873015873015872</v>
      </c>
      <c r="C1187" s="30">
        <f t="shared" si="73"/>
        <v>1262</v>
      </c>
      <c r="D1187" s="30">
        <f t="shared" si="74"/>
        <v>1.7010000000000001</v>
      </c>
    </row>
    <row r="1188" spans="1:4" x14ac:dyDescent="0.4">
      <c r="A1188" s="30">
        <f t="shared" si="75"/>
        <v>1241</v>
      </c>
      <c r="B1188" s="30">
        <f t="shared" si="72"/>
        <v>0.15860428231562251</v>
      </c>
      <c r="C1188" s="30">
        <f t="shared" si="73"/>
        <v>1263</v>
      </c>
      <c r="D1188" s="30">
        <f t="shared" si="74"/>
        <v>1.7023500000000003</v>
      </c>
    </row>
    <row r="1189" spans="1:4" x14ac:dyDescent="0.4">
      <c r="A1189" s="30">
        <f t="shared" si="75"/>
        <v>1242</v>
      </c>
      <c r="B1189" s="30">
        <f t="shared" si="72"/>
        <v>0.15847860538827258</v>
      </c>
      <c r="C1189" s="30">
        <f t="shared" si="73"/>
        <v>1264</v>
      </c>
      <c r="D1189" s="30">
        <f t="shared" si="74"/>
        <v>1.7037000000000002</v>
      </c>
    </row>
    <row r="1190" spans="1:4" x14ac:dyDescent="0.4">
      <c r="A1190" s="30">
        <f t="shared" si="75"/>
        <v>1243</v>
      </c>
      <c r="B1190" s="30">
        <f t="shared" si="72"/>
        <v>0.15835312747426761</v>
      </c>
      <c r="C1190" s="30">
        <f t="shared" si="73"/>
        <v>1265</v>
      </c>
      <c r="D1190" s="30">
        <f t="shared" si="74"/>
        <v>1.7050500000000004</v>
      </c>
    </row>
    <row r="1191" spans="1:4" x14ac:dyDescent="0.4">
      <c r="A1191" s="30">
        <f t="shared" si="75"/>
        <v>1244</v>
      </c>
      <c r="B1191" s="30">
        <f t="shared" si="72"/>
        <v>0.15822784810126583</v>
      </c>
      <c r="C1191" s="30">
        <f t="shared" si="73"/>
        <v>1266</v>
      </c>
      <c r="D1191" s="30">
        <f t="shared" si="74"/>
        <v>1.7063999999999999</v>
      </c>
    </row>
    <row r="1192" spans="1:4" x14ac:dyDescent="0.4">
      <c r="A1192" s="30">
        <f t="shared" si="75"/>
        <v>1245</v>
      </c>
      <c r="B1192" s="30">
        <f t="shared" si="72"/>
        <v>0.15810276679841898</v>
      </c>
      <c r="C1192" s="30">
        <f t="shared" si="73"/>
        <v>1267</v>
      </c>
      <c r="D1192" s="30">
        <f t="shared" si="74"/>
        <v>1.7077500000000001</v>
      </c>
    </row>
    <row r="1193" spans="1:4" x14ac:dyDescent="0.4">
      <c r="A1193" s="30">
        <f t="shared" si="75"/>
        <v>1246</v>
      </c>
      <c r="B1193" s="30">
        <f t="shared" si="72"/>
        <v>0.15797788309636651</v>
      </c>
      <c r="C1193" s="30">
        <f t="shared" si="73"/>
        <v>1268</v>
      </c>
      <c r="D1193" s="30">
        <f t="shared" si="74"/>
        <v>1.7091000000000001</v>
      </c>
    </row>
    <row r="1194" spans="1:4" x14ac:dyDescent="0.4">
      <c r="A1194" s="30">
        <f t="shared" si="75"/>
        <v>1247</v>
      </c>
      <c r="B1194" s="30">
        <f t="shared" si="72"/>
        <v>0.15785319652722968</v>
      </c>
      <c r="C1194" s="30">
        <f t="shared" si="73"/>
        <v>1269</v>
      </c>
      <c r="D1194" s="30">
        <f t="shared" si="74"/>
        <v>1.7104500000000002</v>
      </c>
    </row>
    <row r="1195" spans="1:4" x14ac:dyDescent="0.4">
      <c r="A1195" s="30">
        <f t="shared" si="75"/>
        <v>1248</v>
      </c>
      <c r="B1195" s="30">
        <f t="shared" si="72"/>
        <v>0.15772870662460567</v>
      </c>
      <c r="C1195" s="30">
        <f t="shared" si="73"/>
        <v>1270</v>
      </c>
      <c r="D1195" s="30">
        <f t="shared" si="74"/>
        <v>1.7118000000000002</v>
      </c>
    </row>
    <row r="1196" spans="1:4" x14ac:dyDescent="0.4">
      <c r="A1196" s="30">
        <f t="shared" si="75"/>
        <v>1249</v>
      </c>
      <c r="B1196" s="30">
        <f t="shared" si="72"/>
        <v>0.15760441292356187</v>
      </c>
      <c r="C1196" s="30">
        <f t="shared" si="73"/>
        <v>1271</v>
      </c>
      <c r="D1196" s="30">
        <f t="shared" si="74"/>
        <v>1.71315</v>
      </c>
    </row>
    <row r="1197" spans="1:4" x14ac:dyDescent="0.4">
      <c r="A1197" s="30">
        <f t="shared" si="75"/>
        <v>1250</v>
      </c>
      <c r="B1197" s="30">
        <f t="shared" si="72"/>
        <v>0.15748031496062992</v>
      </c>
      <c r="C1197" s="30">
        <f t="shared" si="73"/>
        <v>1272</v>
      </c>
      <c r="D1197" s="30">
        <f t="shared" si="74"/>
        <v>1.7145000000000004</v>
      </c>
    </row>
    <row r="1198" spans="1:4" x14ac:dyDescent="0.4">
      <c r="A1198" s="30">
        <f t="shared" si="75"/>
        <v>1251</v>
      </c>
      <c r="B1198" s="30">
        <f t="shared" si="72"/>
        <v>0.15735641227380015</v>
      </c>
      <c r="C1198" s="30">
        <f t="shared" si="73"/>
        <v>1273</v>
      </c>
      <c r="D1198" s="30">
        <f t="shared" si="74"/>
        <v>1.7158500000000003</v>
      </c>
    </row>
    <row r="1199" spans="1:4" x14ac:dyDescent="0.4">
      <c r="A1199" s="30">
        <f t="shared" si="75"/>
        <v>1252</v>
      </c>
      <c r="B1199" s="30">
        <f t="shared" si="72"/>
        <v>0.15723270440251572</v>
      </c>
      <c r="C1199" s="30">
        <f t="shared" si="73"/>
        <v>1274</v>
      </c>
      <c r="D1199" s="30">
        <f t="shared" si="74"/>
        <v>1.7172000000000001</v>
      </c>
    </row>
    <row r="1200" spans="1:4" x14ac:dyDescent="0.4">
      <c r="A1200" s="30">
        <f t="shared" si="75"/>
        <v>1253</v>
      </c>
      <c r="B1200" s="30">
        <f t="shared" si="72"/>
        <v>0.15710919088766692</v>
      </c>
      <c r="C1200" s="30">
        <f t="shared" si="73"/>
        <v>1275</v>
      </c>
      <c r="D1200" s="30">
        <f t="shared" si="74"/>
        <v>1.71855</v>
      </c>
    </row>
    <row r="1201" spans="1:4" x14ac:dyDescent="0.4">
      <c r="A1201" s="30">
        <f t="shared" si="75"/>
        <v>1254</v>
      </c>
      <c r="B1201" s="30">
        <f t="shared" si="72"/>
        <v>0.15698587127158556</v>
      </c>
      <c r="C1201" s="30">
        <f t="shared" si="73"/>
        <v>1276</v>
      </c>
      <c r="D1201" s="30">
        <f t="shared" si="74"/>
        <v>1.7199000000000002</v>
      </c>
    </row>
    <row r="1202" spans="1:4" x14ac:dyDescent="0.4">
      <c r="A1202" s="30">
        <f t="shared" si="75"/>
        <v>1255</v>
      </c>
      <c r="B1202" s="30">
        <f t="shared" si="72"/>
        <v>0.15686274509803921</v>
      </c>
      <c r="C1202" s="30">
        <f t="shared" si="73"/>
        <v>1277</v>
      </c>
      <c r="D1202" s="30">
        <f t="shared" si="74"/>
        <v>1.7212500000000002</v>
      </c>
    </row>
    <row r="1203" spans="1:4" x14ac:dyDescent="0.4">
      <c r="A1203" s="30">
        <f t="shared" si="75"/>
        <v>1256</v>
      </c>
      <c r="B1203" s="30">
        <f t="shared" si="72"/>
        <v>0.15673981191222572</v>
      </c>
      <c r="C1203" s="30">
        <f t="shared" si="73"/>
        <v>1278</v>
      </c>
      <c r="D1203" s="30">
        <f t="shared" si="74"/>
        <v>1.7225999999999999</v>
      </c>
    </row>
    <row r="1204" spans="1:4" x14ac:dyDescent="0.4">
      <c r="A1204" s="30">
        <f t="shared" si="75"/>
        <v>1257</v>
      </c>
      <c r="B1204" s="30">
        <f t="shared" si="72"/>
        <v>0.15661707126076743</v>
      </c>
      <c r="C1204" s="30">
        <f t="shared" si="73"/>
        <v>1279</v>
      </c>
      <c r="D1204" s="30">
        <f t="shared" si="74"/>
        <v>1.7239499999999999</v>
      </c>
    </row>
    <row r="1205" spans="1:4" x14ac:dyDescent="0.4">
      <c r="A1205" s="30">
        <f t="shared" si="75"/>
        <v>1258</v>
      </c>
      <c r="B1205" s="30">
        <f t="shared" si="72"/>
        <v>0.1564945226917058</v>
      </c>
      <c r="C1205" s="30">
        <f t="shared" si="73"/>
        <v>1280</v>
      </c>
      <c r="D1205" s="30">
        <f t="shared" si="74"/>
        <v>1.7253000000000001</v>
      </c>
    </row>
    <row r="1206" spans="1:4" x14ac:dyDescent="0.4">
      <c r="A1206" s="30">
        <f t="shared" si="75"/>
        <v>1259</v>
      </c>
      <c r="B1206" s="30">
        <f t="shared" si="72"/>
        <v>0.1563721657544957</v>
      </c>
      <c r="C1206" s="30">
        <f t="shared" si="73"/>
        <v>1281</v>
      </c>
      <c r="D1206" s="30">
        <f t="shared" si="74"/>
        <v>1.4388750000000001</v>
      </c>
    </row>
    <row r="1207" spans="1:4" x14ac:dyDescent="0.4">
      <c r="A1207" s="30">
        <f t="shared" si="75"/>
        <v>1260</v>
      </c>
      <c r="B1207" s="30">
        <f t="shared" si="72"/>
        <v>0.15625</v>
      </c>
      <c r="C1207" s="30">
        <f t="shared" si="73"/>
        <v>1282</v>
      </c>
      <c r="D1207" s="30">
        <f t="shared" si="74"/>
        <v>1.4400000000000002</v>
      </c>
    </row>
    <row r="1208" spans="1:4" x14ac:dyDescent="0.4">
      <c r="A1208" s="30">
        <f t="shared" si="75"/>
        <v>1261</v>
      </c>
      <c r="B1208" s="30">
        <f t="shared" si="72"/>
        <v>0.156128024980484</v>
      </c>
      <c r="C1208" s="30">
        <f t="shared" si="73"/>
        <v>1283</v>
      </c>
      <c r="D1208" s="30">
        <f t="shared" si="74"/>
        <v>1.4411250000000002</v>
      </c>
    </row>
    <row r="1209" spans="1:4" x14ac:dyDescent="0.4">
      <c r="A1209" s="30">
        <f t="shared" si="75"/>
        <v>1262</v>
      </c>
      <c r="B1209" s="30">
        <f t="shared" si="72"/>
        <v>0.15600624024960999</v>
      </c>
      <c r="C1209" s="30">
        <f t="shared" si="73"/>
        <v>1284</v>
      </c>
      <c r="D1209" s="30">
        <f t="shared" si="74"/>
        <v>1.4422500000000003</v>
      </c>
    </row>
    <row r="1210" spans="1:4" x14ac:dyDescent="0.4">
      <c r="A1210" s="30">
        <f t="shared" si="75"/>
        <v>1263</v>
      </c>
      <c r="B1210" s="30">
        <f t="shared" si="72"/>
        <v>0.1558846453624318</v>
      </c>
      <c r="C1210" s="30">
        <f t="shared" si="73"/>
        <v>1285</v>
      </c>
      <c r="D1210" s="30">
        <f t="shared" si="74"/>
        <v>1.4433750000000003</v>
      </c>
    </row>
    <row r="1211" spans="1:4" x14ac:dyDescent="0.4">
      <c r="A1211" s="30">
        <f t="shared" si="75"/>
        <v>1264</v>
      </c>
      <c r="B1211" s="30">
        <f t="shared" si="72"/>
        <v>0.1557632398753894</v>
      </c>
      <c r="C1211" s="30">
        <f t="shared" si="73"/>
        <v>1286</v>
      </c>
      <c r="D1211" s="30">
        <f t="shared" si="74"/>
        <v>1.4445000000000003</v>
      </c>
    </row>
    <row r="1212" spans="1:4" x14ac:dyDescent="0.4">
      <c r="A1212" s="30">
        <f t="shared" si="75"/>
        <v>1265</v>
      </c>
      <c r="B1212" s="30">
        <f t="shared" si="72"/>
        <v>0.1556420233463035</v>
      </c>
      <c r="C1212" s="30">
        <f t="shared" si="73"/>
        <v>1287</v>
      </c>
      <c r="D1212" s="30">
        <f t="shared" si="74"/>
        <v>1.4456249999999999</v>
      </c>
    </row>
    <row r="1213" spans="1:4" x14ac:dyDescent="0.4">
      <c r="A1213" s="30">
        <f t="shared" si="75"/>
        <v>1266</v>
      </c>
      <c r="B1213" s="30">
        <f t="shared" si="72"/>
        <v>0.15552099533437014</v>
      </c>
      <c r="C1213" s="30">
        <f t="shared" si="73"/>
        <v>1288</v>
      </c>
      <c r="D1213" s="30">
        <f t="shared" si="74"/>
        <v>1.44675</v>
      </c>
    </row>
    <row r="1214" spans="1:4" x14ac:dyDescent="0.4">
      <c r="A1214" s="30">
        <f t="shared" si="75"/>
        <v>1267</v>
      </c>
      <c r="B1214" s="30">
        <f t="shared" si="72"/>
        <v>0.15540015540015539</v>
      </c>
      <c r="C1214" s="30">
        <f t="shared" si="73"/>
        <v>1289</v>
      </c>
      <c r="D1214" s="30">
        <f t="shared" si="74"/>
        <v>1.447875</v>
      </c>
    </row>
    <row r="1215" spans="1:4" x14ac:dyDescent="0.4">
      <c r="A1215" s="30">
        <f t="shared" si="75"/>
        <v>1268</v>
      </c>
      <c r="B1215" s="30">
        <f t="shared" si="72"/>
        <v>0.15527950310559005</v>
      </c>
      <c r="C1215" s="30">
        <f t="shared" si="73"/>
        <v>1290</v>
      </c>
      <c r="D1215" s="30">
        <f t="shared" si="74"/>
        <v>1.4490000000000001</v>
      </c>
    </row>
    <row r="1216" spans="1:4" x14ac:dyDescent="0.4">
      <c r="A1216" s="30">
        <f t="shared" si="75"/>
        <v>1269</v>
      </c>
      <c r="B1216" s="30">
        <f t="shared" si="72"/>
        <v>0.1551590380139643</v>
      </c>
      <c r="C1216" s="30">
        <f t="shared" si="73"/>
        <v>1291</v>
      </c>
      <c r="D1216" s="30">
        <f t="shared" si="74"/>
        <v>1.4501250000000001</v>
      </c>
    </row>
    <row r="1217" spans="1:4" x14ac:dyDescent="0.4">
      <c r="A1217" s="30">
        <f t="shared" si="75"/>
        <v>1270</v>
      </c>
      <c r="B1217" s="30">
        <f t="shared" si="72"/>
        <v>0.15503875968992248</v>
      </c>
      <c r="C1217" s="30">
        <f t="shared" si="73"/>
        <v>1292</v>
      </c>
      <c r="D1217" s="30">
        <f t="shared" si="74"/>
        <v>1.4512500000000002</v>
      </c>
    </row>
    <row r="1218" spans="1:4" x14ac:dyDescent="0.4">
      <c r="A1218" s="30">
        <f t="shared" si="75"/>
        <v>1271</v>
      </c>
      <c r="B1218" s="30">
        <f t="shared" si="72"/>
        <v>0.15491866769945778</v>
      </c>
      <c r="C1218" s="30">
        <f t="shared" si="73"/>
        <v>1293</v>
      </c>
      <c r="D1218" s="30">
        <f t="shared" si="74"/>
        <v>1.4523750000000002</v>
      </c>
    </row>
    <row r="1219" spans="1:4" x14ac:dyDescent="0.4">
      <c r="A1219" s="30">
        <f t="shared" si="75"/>
        <v>1272</v>
      </c>
      <c r="B1219" s="30">
        <f t="shared" si="72"/>
        <v>0.15479876160990713</v>
      </c>
      <c r="C1219" s="30">
        <f t="shared" si="73"/>
        <v>1294</v>
      </c>
      <c r="D1219" s="30">
        <f t="shared" si="74"/>
        <v>1.4535</v>
      </c>
    </row>
    <row r="1220" spans="1:4" x14ac:dyDescent="0.4">
      <c r="A1220" s="30">
        <f t="shared" si="75"/>
        <v>1273</v>
      </c>
      <c r="B1220" s="30">
        <f t="shared" si="72"/>
        <v>0.15467904098994587</v>
      </c>
      <c r="C1220" s="30">
        <f t="shared" si="73"/>
        <v>1295</v>
      </c>
      <c r="D1220" s="30">
        <f t="shared" si="74"/>
        <v>1.4546250000000001</v>
      </c>
    </row>
    <row r="1221" spans="1:4" x14ac:dyDescent="0.4">
      <c r="A1221" s="30">
        <f t="shared" si="75"/>
        <v>1274</v>
      </c>
      <c r="B1221" s="30">
        <f t="shared" si="72"/>
        <v>0.15455950540958269</v>
      </c>
      <c r="C1221" s="30">
        <f t="shared" si="73"/>
        <v>1296</v>
      </c>
      <c r="D1221" s="30">
        <f t="shared" si="74"/>
        <v>1.4557500000000001</v>
      </c>
    </row>
    <row r="1222" spans="1:4" x14ac:dyDescent="0.4">
      <c r="A1222" s="30">
        <f t="shared" si="75"/>
        <v>1275</v>
      </c>
      <c r="B1222" s="30">
        <f t="shared" si="72"/>
        <v>0.15444015444015444</v>
      </c>
      <c r="C1222" s="30">
        <f t="shared" si="73"/>
        <v>1297</v>
      </c>
      <c r="D1222" s="30">
        <f t="shared" si="74"/>
        <v>1.4568750000000001</v>
      </c>
    </row>
    <row r="1223" spans="1:4" x14ac:dyDescent="0.4">
      <c r="A1223" s="30">
        <f t="shared" si="75"/>
        <v>1276</v>
      </c>
      <c r="B1223" s="30">
        <f t="shared" si="72"/>
        <v>0.15432098765432098</v>
      </c>
      <c r="C1223" s="30">
        <f t="shared" si="73"/>
        <v>1298</v>
      </c>
      <c r="D1223" s="30">
        <f t="shared" si="74"/>
        <v>1.4580000000000002</v>
      </c>
    </row>
    <row r="1224" spans="1:4" x14ac:dyDescent="0.4">
      <c r="A1224" s="30">
        <f t="shared" si="75"/>
        <v>1277</v>
      </c>
      <c r="B1224" s="30">
        <f t="shared" si="72"/>
        <v>0.15420200462606015</v>
      </c>
      <c r="C1224" s="30">
        <f t="shared" si="73"/>
        <v>1299</v>
      </c>
      <c r="D1224" s="30">
        <f t="shared" si="74"/>
        <v>1.459125</v>
      </c>
    </row>
    <row r="1225" spans="1:4" x14ac:dyDescent="0.4">
      <c r="A1225" s="30">
        <f t="shared" si="75"/>
        <v>1278</v>
      </c>
      <c r="B1225" s="30">
        <f t="shared" si="72"/>
        <v>0.15408320493066255</v>
      </c>
      <c r="C1225" s="30">
        <f t="shared" si="73"/>
        <v>1300</v>
      </c>
      <c r="D1225" s="30">
        <f t="shared" si="74"/>
        <v>1.4602500000000003</v>
      </c>
    </row>
    <row r="1226" spans="1:4" x14ac:dyDescent="0.4">
      <c r="A1226" s="30">
        <f t="shared" si="75"/>
        <v>1279</v>
      </c>
      <c r="B1226" s="30">
        <f t="shared" si="72"/>
        <v>0.15396458814472672</v>
      </c>
      <c r="C1226" s="30">
        <f t="shared" si="73"/>
        <v>1301</v>
      </c>
      <c r="D1226" s="30">
        <f t="shared" si="74"/>
        <v>1.4613750000000001</v>
      </c>
    </row>
    <row r="1227" spans="1:4" x14ac:dyDescent="0.4">
      <c r="A1227" s="30">
        <f t="shared" si="75"/>
        <v>1280</v>
      </c>
      <c r="B1227" s="30">
        <f t="shared" ref="B1227:B1290" si="76">$B$4/8/(A1227+$B$2)</f>
        <v>0.15384615384615385</v>
      </c>
      <c r="C1227" s="30">
        <f t="shared" si="73"/>
        <v>1302</v>
      </c>
      <c r="D1227" s="30">
        <f t="shared" si="74"/>
        <v>1.4625000000000001</v>
      </c>
    </row>
    <row r="1228" spans="1:4" x14ac:dyDescent="0.4">
      <c r="A1228" s="30">
        <f t="shared" si="75"/>
        <v>1281</v>
      </c>
      <c r="B1228" s="30">
        <f t="shared" si="76"/>
        <v>0.15372790161414296</v>
      </c>
      <c r="C1228" s="30">
        <f t="shared" ref="C1228:C1291" si="77">A1228+$E$6</f>
        <v>1303</v>
      </c>
      <c r="D1228" s="30">
        <f t="shared" ref="D1228:D1291" si="78">$H$3/B1228/CEILING(C1228/$H$2,1)</f>
        <v>1.4636250000000002</v>
      </c>
    </row>
    <row r="1229" spans="1:4" x14ac:dyDescent="0.4">
      <c r="A1229" s="30">
        <f t="shared" ref="A1229:A1292" si="79">A1228+$B$3</f>
        <v>1282</v>
      </c>
      <c r="B1229" s="30">
        <f t="shared" si="76"/>
        <v>0.15360983102918588</v>
      </c>
      <c r="C1229" s="30">
        <f t="shared" si="77"/>
        <v>1304</v>
      </c>
      <c r="D1229" s="30">
        <f t="shared" si="78"/>
        <v>1.4647500000000002</v>
      </c>
    </row>
    <row r="1230" spans="1:4" x14ac:dyDescent="0.4">
      <c r="A1230" s="30">
        <f t="shared" si="79"/>
        <v>1283</v>
      </c>
      <c r="B1230" s="30">
        <f t="shared" si="76"/>
        <v>0.15349194167306215</v>
      </c>
      <c r="C1230" s="30">
        <f t="shared" si="77"/>
        <v>1305</v>
      </c>
      <c r="D1230" s="30">
        <f t="shared" si="78"/>
        <v>1.4658750000000003</v>
      </c>
    </row>
    <row r="1231" spans="1:4" x14ac:dyDescent="0.4">
      <c r="A1231" s="30">
        <f t="shared" si="79"/>
        <v>1284</v>
      </c>
      <c r="B1231" s="30">
        <f t="shared" si="76"/>
        <v>0.15337423312883436</v>
      </c>
      <c r="C1231" s="30">
        <f t="shared" si="77"/>
        <v>1306</v>
      </c>
      <c r="D1231" s="30">
        <f t="shared" si="78"/>
        <v>1.4669999999999999</v>
      </c>
    </row>
    <row r="1232" spans="1:4" x14ac:dyDescent="0.4">
      <c r="A1232" s="30">
        <f t="shared" si="79"/>
        <v>1285</v>
      </c>
      <c r="B1232" s="30">
        <f t="shared" si="76"/>
        <v>0.1532567049808429</v>
      </c>
      <c r="C1232" s="30">
        <f t="shared" si="77"/>
        <v>1307</v>
      </c>
      <c r="D1232" s="30">
        <f t="shared" si="78"/>
        <v>1.4681250000000003</v>
      </c>
    </row>
    <row r="1233" spans="1:4" x14ac:dyDescent="0.4">
      <c r="A1233" s="30">
        <f t="shared" si="79"/>
        <v>1286</v>
      </c>
      <c r="B1233" s="30">
        <f t="shared" si="76"/>
        <v>0.15313935681470137</v>
      </c>
      <c r="C1233" s="30">
        <f t="shared" si="77"/>
        <v>1308</v>
      </c>
      <c r="D1233" s="30">
        <f t="shared" si="78"/>
        <v>1.4692500000000004</v>
      </c>
    </row>
    <row r="1234" spans="1:4" x14ac:dyDescent="0.4">
      <c r="A1234" s="30">
        <f t="shared" si="79"/>
        <v>1287</v>
      </c>
      <c r="B1234" s="30">
        <f t="shared" si="76"/>
        <v>0.15302218821729149</v>
      </c>
      <c r="C1234" s="30">
        <f t="shared" si="77"/>
        <v>1309</v>
      </c>
      <c r="D1234" s="30">
        <f t="shared" si="78"/>
        <v>1.4703750000000004</v>
      </c>
    </row>
    <row r="1235" spans="1:4" x14ac:dyDescent="0.4">
      <c r="A1235" s="30">
        <f t="shared" si="79"/>
        <v>1288</v>
      </c>
      <c r="B1235" s="30">
        <f t="shared" si="76"/>
        <v>0.1529051987767584</v>
      </c>
      <c r="C1235" s="30">
        <f t="shared" si="77"/>
        <v>1310</v>
      </c>
      <c r="D1235" s="30">
        <f t="shared" si="78"/>
        <v>1.4715</v>
      </c>
    </row>
    <row r="1236" spans="1:4" x14ac:dyDescent="0.4">
      <c r="A1236" s="30">
        <f t="shared" si="79"/>
        <v>1289</v>
      </c>
      <c r="B1236" s="30">
        <f t="shared" si="76"/>
        <v>0.15278838808250572</v>
      </c>
      <c r="C1236" s="30">
        <f t="shared" si="77"/>
        <v>1311</v>
      </c>
      <c r="D1236" s="30">
        <f t="shared" si="78"/>
        <v>1.4726250000000001</v>
      </c>
    </row>
    <row r="1237" spans="1:4" x14ac:dyDescent="0.4">
      <c r="A1237" s="30">
        <f t="shared" si="79"/>
        <v>1290</v>
      </c>
      <c r="B1237" s="30">
        <f t="shared" si="76"/>
        <v>0.15267175572519084</v>
      </c>
      <c r="C1237" s="30">
        <f t="shared" si="77"/>
        <v>1312</v>
      </c>
      <c r="D1237" s="30">
        <f t="shared" si="78"/>
        <v>1.4737500000000001</v>
      </c>
    </row>
    <row r="1238" spans="1:4" x14ac:dyDescent="0.4">
      <c r="A1238" s="30">
        <f t="shared" si="79"/>
        <v>1291</v>
      </c>
      <c r="B1238" s="30">
        <f t="shared" si="76"/>
        <v>0.15255530129672007</v>
      </c>
      <c r="C1238" s="30">
        <f t="shared" si="77"/>
        <v>1313</v>
      </c>
      <c r="D1238" s="30">
        <f t="shared" si="78"/>
        <v>1.4748749999999999</v>
      </c>
    </row>
    <row r="1239" spans="1:4" x14ac:dyDescent="0.4">
      <c r="A1239" s="30">
        <f t="shared" si="79"/>
        <v>1292</v>
      </c>
      <c r="B1239" s="30">
        <f t="shared" si="76"/>
        <v>0.1524390243902439</v>
      </c>
      <c r="C1239" s="30">
        <f t="shared" si="77"/>
        <v>1314</v>
      </c>
      <c r="D1239" s="30">
        <f t="shared" si="78"/>
        <v>1.4760000000000002</v>
      </c>
    </row>
    <row r="1240" spans="1:4" x14ac:dyDescent="0.4">
      <c r="A1240" s="30">
        <f t="shared" si="79"/>
        <v>1293</v>
      </c>
      <c r="B1240" s="30">
        <f t="shared" si="76"/>
        <v>0.15232292460015232</v>
      </c>
      <c r="C1240" s="30">
        <f t="shared" si="77"/>
        <v>1315</v>
      </c>
      <c r="D1240" s="30">
        <f t="shared" si="78"/>
        <v>1.4771250000000002</v>
      </c>
    </row>
    <row r="1241" spans="1:4" x14ac:dyDescent="0.4">
      <c r="A1241" s="30">
        <f t="shared" si="79"/>
        <v>1294</v>
      </c>
      <c r="B1241" s="30">
        <f t="shared" si="76"/>
        <v>0.15220700152207001</v>
      </c>
      <c r="C1241" s="30">
        <f t="shared" si="77"/>
        <v>1316</v>
      </c>
      <c r="D1241" s="30">
        <f t="shared" si="78"/>
        <v>1.4782500000000001</v>
      </c>
    </row>
    <row r="1242" spans="1:4" x14ac:dyDescent="0.4">
      <c r="A1242" s="30">
        <f t="shared" si="79"/>
        <v>1295</v>
      </c>
      <c r="B1242" s="30">
        <f t="shared" si="76"/>
        <v>0.15209125475285171</v>
      </c>
      <c r="C1242" s="30">
        <f t="shared" si="77"/>
        <v>1317</v>
      </c>
      <c r="D1242" s="30">
        <f t="shared" si="78"/>
        <v>1.4793750000000001</v>
      </c>
    </row>
    <row r="1243" spans="1:4" x14ac:dyDescent="0.4">
      <c r="A1243" s="30">
        <f t="shared" si="79"/>
        <v>1296</v>
      </c>
      <c r="B1243" s="30">
        <f t="shared" si="76"/>
        <v>0.1519756838905775</v>
      </c>
      <c r="C1243" s="30">
        <f t="shared" si="77"/>
        <v>1318</v>
      </c>
      <c r="D1243" s="30">
        <f t="shared" si="78"/>
        <v>1.4805000000000001</v>
      </c>
    </row>
    <row r="1244" spans="1:4" x14ac:dyDescent="0.4">
      <c r="A1244" s="30">
        <f t="shared" si="79"/>
        <v>1297</v>
      </c>
      <c r="B1244" s="30">
        <f t="shared" si="76"/>
        <v>0.15186028853454822</v>
      </c>
      <c r="C1244" s="30">
        <f t="shared" si="77"/>
        <v>1319</v>
      </c>
      <c r="D1244" s="30">
        <f t="shared" si="78"/>
        <v>1.481625</v>
      </c>
    </row>
    <row r="1245" spans="1:4" x14ac:dyDescent="0.4">
      <c r="A1245" s="30">
        <f t="shared" si="79"/>
        <v>1298</v>
      </c>
      <c r="B1245" s="30">
        <f t="shared" si="76"/>
        <v>0.15174506828528073</v>
      </c>
      <c r="C1245" s="30">
        <f t="shared" si="77"/>
        <v>1320</v>
      </c>
      <c r="D1245" s="30">
        <f t="shared" si="78"/>
        <v>1.4827500000000002</v>
      </c>
    </row>
    <row r="1246" spans="1:4" x14ac:dyDescent="0.4">
      <c r="A1246" s="30">
        <f t="shared" si="79"/>
        <v>1299</v>
      </c>
      <c r="B1246" s="30">
        <f t="shared" si="76"/>
        <v>0.15163002274450341</v>
      </c>
      <c r="C1246" s="30">
        <f t="shared" si="77"/>
        <v>1321</v>
      </c>
      <c r="D1246" s="30">
        <f t="shared" si="78"/>
        <v>1.4838750000000003</v>
      </c>
    </row>
    <row r="1247" spans="1:4" x14ac:dyDescent="0.4">
      <c r="A1247" s="30">
        <f t="shared" si="79"/>
        <v>1300</v>
      </c>
      <c r="B1247" s="30">
        <f t="shared" si="76"/>
        <v>0.15151515151515152</v>
      </c>
      <c r="C1247" s="30">
        <f t="shared" si="77"/>
        <v>1322</v>
      </c>
      <c r="D1247" s="30">
        <f t="shared" si="78"/>
        <v>1.4850000000000001</v>
      </c>
    </row>
    <row r="1248" spans="1:4" x14ac:dyDescent="0.4">
      <c r="A1248" s="30">
        <f t="shared" si="79"/>
        <v>1301</v>
      </c>
      <c r="B1248" s="30">
        <f t="shared" si="76"/>
        <v>0.15140045420136261</v>
      </c>
      <c r="C1248" s="30">
        <f t="shared" si="77"/>
        <v>1323</v>
      </c>
      <c r="D1248" s="30">
        <f t="shared" si="78"/>
        <v>1.4861250000000001</v>
      </c>
    </row>
    <row r="1249" spans="1:4" x14ac:dyDescent="0.4">
      <c r="A1249" s="30">
        <f t="shared" si="79"/>
        <v>1302</v>
      </c>
      <c r="B1249" s="30">
        <f t="shared" si="76"/>
        <v>0.15128593040847202</v>
      </c>
      <c r="C1249" s="30">
        <f t="shared" si="77"/>
        <v>1324</v>
      </c>
      <c r="D1249" s="30">
        <f t="shared" si="78"/>
        <v>1.4872500000000002</v>
      </c>
    </row>
    <row r="1250" spans="1:4" x14ac:dyDescent="0.4">
      <c r="A1250" s="30">
        <f t="shared" si="79"/>
        <v>1303</v>
      </c>
      <c r="B1250" s="30">
        <f t="shared" si="76"/>
        <v>0.15117157974300832</v>
      </c>
      <c r="C1250" s="30">
        <f t="shared" si="77"/>
        <v>1325</v>
      </c>
      <c r="D1250" s="30">
        <f t="shared" si="78"/>
        <v>1.4883750000000002</v>
      </c>
    </row>
    <row r="1251" spans="1:4" x14ac:dyDescent="0.4">
      <c r="A1251" s="30">
        <f t="shared" si="79"/>
        <v>1304</v>
      </c>
      <c r="B1251" s="30">
        <f t="shared" si="76"/>
        <v>0.15105740181268881</v>
      </c>
      <c r="C1251" s="30">
        <f t="shared" si="77"/>
        <v>1326</v>
      </c>
      <c r="D1251" s="30">
        <f t="shared" si="78"/>
        <v>1.4895000000000003</v>
      </c>
    </row>
    <row r="1252" spans="1:4" x14ac:dyDescent="0.4">
      <c r="A1252" s="30">
        <f t="shared" si="79"/>
        <v>1305</v>
      </c>
      <c r="B1252" s="30">
        <f t="shared" si="76"/>
        <v>0.15094339622641509</v>
      </c>
      <c r="C1252" s="30">
        <f t="shared" si="77"/>
        <v>1327</v>
      </c>
      <c r="D1252" s="30">
        <f t="shared" si="78"/>
        <v>1.4906250000000003</v>
      </c>
    </row>
    <row r="1253" spans="1:4" x14ac:dyDescent="0.4">
      <c r="A1253" s="30">
        <f t="shared" si="79"/>
        <v>1306</v>
      </c>
      <c r="B1253" s="30">
        <f t="shared" si="76"/>
        <v>0.15082956259426847</v>
      </c>
      <c r="C1253" s="30">
        <f t="shared" si="77"/>
        <v>1328</v>
      </c>
      <c r="D1253" s="30">
        <f t="shared" si="78"/>
        <v>1.4917500000000004</v>
      </c>
    </row>
    <row r="1254" spans="1:4" x14ac:dyDescent="0.4">
      <c r="A1254" s="30">
        <f t="shared" si="79"/>
        <v>1307</v>
      </c>
      <c r="B1254" s="30">
        <f t="shared" si="76"/>
        <v>0.15071590052750566</v>
      </c>
      <c r="C1254" s="30">
        <f t="shared" si="77"/>
        <v>1329</v>
      </c>
      <c r="D1254" s="30">
        <f t="shared" si="78"/>
        <v>1.492875</v>
      </c>
    </row>
    <row r="1255" spans="1:4" x14ac:dyDescent="0.4">
      <c r="A1255" s="30">
        <f t="shared" si="79"/>
        <v>1308</v>
      </c>
      <c r="B1255" s="30">
        <f t="shared" si="76"/>
        <v>0.15060240963855423</v>
      </c>
      <c r="C1255" s="30">
        <f t="shared" si="77"/>
        <v>1330</v>
      </c>
      <c r="D1255" s="30">
        <f t="shared" si="78"/>
        <v>1.494</v>
      </c>
    </row>
    <row r="1256" spans="1:4" x14ac:dyDescent="0.4">
      <c r="A1256" s="30">
        <f t="shared" si="79"/>
        <v>1309</v>
      </c>
      <c r="B1256" s="30">
        <f t="shared" si="76"/>
        <v>0.15048908954100829</v>
      </c>
      <c r="C1256" s="30">
        <f t="shared" si="77"/>
        <v>1331</v>
      </c>
      <c r="D1256" s="30">
        <f t="shared" si="78"/>
        <v>1.495125</v>
      </c>
    </row>
    <row r="1257" spans="1:4" x14ac:dyDescent="0.4">
      <c r="A1257" s="30">
        <f t="shared" si="79"/>
        <v>1310</v>
      </c>
      <c r="B1257" s="30">
        <f t="shared" si="76"/>
        <v>0.15037593984962405</v>
      </c>
      <c r="C1257" s="30">
        <f t="shared" si="77"/>
        <v>1332</v>
      </c>
      <c r="D1257" s="30">
        <f t="shared" si="78"/>
        <v>1.4962500000000001</v>
      </c>
    </row>
    <row r="1258" spans="1:4" x14ac:dyDescent="0.4">
      <c r="A1258" s="30">
        <f t="shared" si="79"/>
        <v>1311</v>
      </c>
      <c r="B1258" s="30">
        <f t="shared" si="76"/>
        <v>0.15026296018031554</v>
      </c>
      <c r="C1258" s="30">
        <f t="shared" si="77"/>
        <v>1333</v>
      </c>
      <c r="D1258" s="30">
        <f t="shared" si="78"/>
        <v>1.4973750000000001</v>
      </c>
    </row>
    <row r="1259" spans="1:4" x14ac:dyDescent="0.4">
      <c r="A1259" s="30">
        <f t="shared" si="79"/>
        <v>1312</v>
      </c>
      <c r="B1259" s="30">
        <f t="shared" si="76"/>
        <v>0.15015015015015015</v>
      </c>
      <c r="C1259" s="30">
        <f t="shared" si="77"/>
        <v>1334</v>
      </c>
      <c r="D1259" s="30">
        <f t="shared" si="78"/>
        <v>1.4984999999999999</v>
      </c>
    </row>
    <row r="1260" spans="1:4" x14ac:dyDescent="0.4">
      <c r="A1260" s="30">
        <f t="shared" si="79"/>
        <v>1313</v>
      </c>
      <c r="B1260" s="30">
        <f t="shared" si="76"/>
        <v>0.15003750937734434</v>
      </c>
      <c r="C1260" s="30">
        <f t="shared" si="77"/>
        <v>1335</v>
      </c>
      <c r="D1260" s="30">
        <f t="shared" si="78"/>
        <v>1.499625</v>
      </c>
    </row>
    <row r="1261" spans="1:4" x14ac:dyDescent="0.4">
      <c r="A1261" s="30">
        <f t="shared" si="79"/>
        <v>1314</v>
      </c>
      <c r="B1261" s="30">
        <f t="shared" si="76"/>
        <v>0.14992503748125938</v>
      </c>
      <c r="C1261" s="30">
        <f t="shared" si="77"/>
        <v>1336</v>
      </c>
      <c r="D1261" s="30">
        <f t="shared" si="78"/>
        <v>1.50075</v>
      </c>
    </row>
    <row r="1262" spans="1:4" x14ac:dyDescent="0.4">
      <c r="A1262" s="30">
        <f t="shared" si="79"/>
        <v>1315</v>
      </c>
      <c r="B1262" s="30">
        <f t="shared" si="76"/>
        <v>0.14981273408239701</v>
      </c>
      <c r="C1262" s="30">
        <f t="shared" si="77"/>
        <v>1337</v>
      </c>
      <c r="D1262" s="30">
        <f t="shared" si="78"/>
        <v>1.5018750000000001</v>
      </c>
    </row>
    <row r="1263" spans="1:4" x14ac:dyDescent="0.4">
      <c r="A1263" s="30">
        <f t="shared" si="79"/>
        <v>1316</v>
      </c>
      <c r="B1263" s="30">
        <f t="shared" si="76"/>
        <v>0.1497005988023952</v>
      </c>
      <c r="C1263" s="30">
        <f t="shared" si="77"/>
        <v>1338</v>
      </c>
      <c r="D1263" s="30">
        <f t="shared" si="78"/>
        <v>1.5030000000000001</v>
      </c>
    </row>
    <row r="1264" spans="1:4" x14ac:dyDescent="0.4">
      <c r="A1264" s="30">
        <f t="shared" si="79"/>
        <v>1317</v>
      </c>
      <c r="B1264" s="30">
        <f t="shared" si="76"/>
        <v>0.14958863126402394</v>
      </c>
      <c r="C1264" s="30">
        <f t="shared" si="77"/>
        <v>1339</v>
      </c>
      <c r="D1264" s="30">
        <f t="shared" si="78"/>
        <v>1.5041250000000002</v>
      </c>
    </row>
    <row r="1265" spans="1:4" x14ac:dyDescent="0.4">
      <c r="A1265" s="30">
        <f t="shared" si="79"/>
        <v>1318</v>
      </c>
      <c r="B1265" s="30">
        <f t="shared" si="76"/>
        <v>0.14947683109118087</v>
      </c>
      <c r="C1265" s="30">
        <f t="shared" si="77"/>
        <v>1340</v>
      </c>
      <c r="D1265" s="30">
        <f t="shared" si="78"/>
        <v>1.50525</v>
      </c>
    </row>
    <row r="1266" spans="1:4" x14ac:dyDescent="0.4">
      <c r="A1266" s="30">
        <f t="shared" si="79"/>
        <v>1319</v>
      </c>
      <c r="B1266" s="30">
        <f t="shared" si="76"/>
        <v>0.14936519790888722</v>
      </c>
      <c r="C1266" s="30">
        <f t="shared" si="77"/>
        <v>1341</v>
      </c>
      <c r="D1266" s="30">
        <f t="shared" si="78"/>
        <v>1.5063750000000002</v>
      </c>
    </row>
    <row r="1267" spans="1:4" x14ac:dyDescent="0.4">
      <c r="A1267" s="30">
        <f t="shared" si="79"/>
        <v>1320</v>
      </c>
      <c r="B1267" s="30">
        <f t="shared" si="76"/>
        <v>0.14925373134328357</v>
      </c>
      <c r="C1267" s="30">
        <f t="shared" si="77"/>
        <v>1342</v>
      </c>
      <c r="D1267" s="30">
        <f t="shared" si="78"/>
        <v>1.5075000000000003</v>
      </c>
    </row>
    <row r="1268" spans="1:4" x14ac:dyDescent="0.4">
      <c r="A1268" s="30">
        <f t="shared" si="79"/>
        <v>1321</v>
      </c>
      <c r="B1268" s="30">
        <f t="shared" si="76"/>
        <v>0.14914243102162567</v>
      </c>
      <c r="C1268" s="30">
        <f t="shared" si="77"/>
        <v>1343</v>
      </c>
      <c r="D1268" s="30">
        <f t="shared" si="78"/>
        <v>1.5086250000000001</v>
      </c>
    </row>
    <row r="1269" spans="1:4" x14ac:dyDescent="0.4">
      <c r="A1269" s="30">
        <f t="shared" si="79"/>
        <v>1322</v>
      </c>
      <c r="B1269" s="30">
        <f t="shared" si="76"/>
        <v>0.14903129657228018</v>
      </c>
      <c r="C1269" s="30">
        <f t="shared" si="77"/>
        <v>1344</v>
      </c>
      <c r="D1269" s="30">
        <f t="shared" si="78"/>
        <v>1.5097500000000001</v>
      </c>
    </row>
    <row r="1270" spans="1:4" x14ac:dyDescent="0.4">
      <c r="A1270" s="30">
        <f t="shared" si="79"/>
        <v>1323</v>
      </c>
      <c r="B1270" s="30">
        <f t="shared" si="76"/>
        <v>0.14892032762472077</v>
      </c>
      <c r="C1270" s="30">
        <f t="shared" si="77"/>
        <v>1345</v>
      </c>
      <c r="D1270" s="30">
        <f t="shared" si="78"/>
        <v>1.5108750000000002</v>
      </c>
    </row>
    <row r="1271" spans="1:4" x14ac:dyDescent="0.4">
      <c r="A1271" s="30">
        <f t="shared" si="79"/>
        <v>1324</v>
      </c>
      <c r="B1271" s="30">
        <f t="shared" si="76"/>
        <v>0.14880952380952381</v>
      </c>
      <c r="C1271" s="30">
        <f t="shared" si="77"/>
        <v>1346</v>
      </c>
      <c r="D1271" s="30">
        <f t="shared" si="78"/>
        <v>1.5120000000000002</v>
      </c>
    </row>
    <row r="1272" spans="1:4" x14ac:dyDescent="0.4">
      <c r="A1272" s="30">
        <f t="shared" si="79"/>
        <v>1325</v>
      </c>
      <c r="B1272" s="30">
        <f t="shared" si="76"/>
        <v>0.14869888475836432</v>
      </c>
      <c r="C1272" s="30">
        <f t="shared" si="77"/>
        <v>1347</v>
      </c>
      <c r="D1272" s="30">
        <f t="shared" si="78"/>
        <v>1.5131249999999998</v>
      </c>
    </row>
    <row r="1273" spans="1:4" x14ac:dyDescent="0.4">
      <c r="A1273" s="30">
        <f t="shared" si="79"/>
        <v>1326</v>
      </c>
      <c r="B1273" s="30">
        <f t="shared" si="76"/>
        <v>0.14858841010401189</v>
      </c>
      <c r="C1273" s="30">
        <f t="shared" si="77"/>
        <v>1348</v>
      </c>
      <c r="D1273" s="30">
        <f t="shared" si="78"/>
        <v>1.5142500000000003</v>
      </c>
    </row>
    <row r="1274" spans="1:4" x14ac:dyDescent="0.4">
      <c r="A1274" s="30">
        <f t="shared" si="79"/>
        <v>1327</v>
      </c>
      <c r="B1274" s="30">
        <f t="shared" si="76"/>
        <v>0.14847809948032664</v>
      </c>
      <c r="C1274" s="30">
        <f t="shared" si="77"/>
        <v>1349</v>
      </c>
      <c r="D1274" s="30">
        <f t="shared" si="78"/>
        <v>1.5153750000000004</v>
      </c>
    </row>
    <row r="1275" spans="1:4" x14ac:dyDescent="0.4">
      <c r="A1275" s="30">
        <f t="shared" si="79"/>
        <v>1328</v>
      </c>
      <c r="B1275" s="30">
        <f t="shared" si="76"/>
        <v>0.14836795252225518</v>
      </c>
      <c r="C1275" s="30">
        <f t="shared" si="77"/>
        <v>1350</v>
      </c>
      <c r="D1275" s="30">
        <f t="shared" si="78"/>
        <v>1.5165000000000004</v>
      </c>
    </row>
    <row r="1276" spans="1:4" x14ac:dyDescent="0.4">
      <c r="A1276" s="30">
        <f t="shared" si="79"/>
        <v>1329</v>
      </c>
      <c r="B1276" s="30">
        <f t="shared" si="76"/>
        <v>0.14825796886582654</v>
      </c>
      <c r="C1276" s="30">
        <f t="shared" si="77"/>
        <v>1351</v>
      </c>
      <c r="D1276" s="30">
        <f t="shared" si="78"/>
        <v>1.517625</v>
      </c>
    </row>
    <row r="1277" spans="1:4" x14ac:dyDescent="0.4">
      <c r="A1277" s="30">
        <f t="shared" si="79"/>
        <v>1330</v>
      </c>
      <c r="B1277" s="30">
        <f t="shared" si="76"/>
        <v>0.14814814814814814</v>
      </c>
      <c r="C1277" s="30">
        <f t="shared" si="77"/>
        <v>1352</v>
      </c>
      <c r="D1277" s="30">
        <f t="shared" si="78"/>
        <v>1.51875</v>
      </c>
    </row>
    <row r="1278" spans="1:4" x14ac:dyDescent="0.4">
      <c r="A1278" s="30">
        <f t="shared" si="79"/>
        <v>1331</v>
      </c>
      <c r="B1278" s="30">
        <f t="shared" si="76"/>
        <v>0.14803849000740193</v>
      </c>
      <c r="C1278" s="30">
        <f t="shared" si="77"/>
        <v>1353</v>
      </c>
      <c r="D1278" s="30">
        <f t="shared" si="78"/>
        <v>1.5198749999999999</v>
      </c>
    </row>
    <row r="1279" spans="1:4" x14ac:dyDescent="0.4">
      <c r="A1279" s="30">
        <f t="shared" si="79"/>
        <v>1332</v>
      </c>
      <c r="B1279" s="30">
        <f t="shared" si="76"/>
        <v>0.14792899408284024</v>
      </c>
      <c r="C1279" s="30">
        <f t="shared" si="77"/>
        <v>1354</v>
      </c>
      <c r="D1279" s="30">
        <f t="shared" si="78"/>
        <v>1.5209999999999999</v>
      </c>
    </row>
    <row r="1280" spans="1:4" x14ac:dyDescent="0.4">
      <c r="A1280" s="30">
        <f t="shared" si="79"/>
        <v>1333</v>
      </c>
      <c r="B1280" s="30">
        <f t="shared" si="76"/>
        <v>0.14781966001478197</v>
      </c>
      <c r="C1280" s="30">
        <f t="shared" si="77"/>
        <v>1355</v>
      </c>
      <c r="D1280" s="30">
        <f t="shared" si="78"/>
        <v>1.522125</v>
      </c>
    </row>
    <row r="1281" spans="1:4" x14ac:dyDescent="0.4">
      <c r="A1281" s="30">
        <f t="shared" si="79"/>
        <v>1334</v>
      </c>
      <c r="B1281" s="30">
        <f t="shared" si="76"/>
        <v>0.14771048744460857</v>
      </c>
      <c r="C1281" s="30">
        <f t="shared" si="77"/>
        <v>1356</v>
      </c>
      <c r="D1281" s="30">
        <f t="shared" si="78"/>
        <v>1.52325</v>
      </c>
    </row>
    <row r="1282" spans="1:4" x14ac:dyDescent="0.4">
      <c r="A1282" s="30">
        <f t="shared" si="79"/>
        <v>1335</v>
      </c>
      <c r="B1282" s="30">
        <f t="shared" si="76"/>
        <v>0.14760147601476015</v>
      </c>
      <c r="C1282" s="30">
        <f t="shared" si="77"/>
        <v>1357</v>
      </c>
      <c r="D1282" s="30">
        <f t="shared" si="78"/>
        <v>1.524375</v>
      </c>
    </row>
    <row r="1283" spans="1:4" x14ac:dyDescent="0.4">
      <c r="A1283" s="30">
        <f t="shared" si="79"/>
        <v>1336</v>
      </c>
      <c r="B1283" s="30">
        <f t="shared" si="76"/>
        <v>0.14749262536873156</v>
      </c>
      <c r="C1283" s="30">
        <f t="shared" si="77"/>
        <v>1358</v>
      </c>
      <c r="D1283" s="30">
        <f t="shared" si="78"/>
        <v>1.5255000000000001</v>
      </c>
    </row>
    <row r="1284" spans="1:4" x14ac:dyDescent="0.4">
      <c r="A1284" s="30">
        <f t="shared" si="79"/>
        <v>1337</v>
      </c>
      <c r="B1284" s="30">
        <f t="shared" si="76"/>
        <v>0.14738393515106854</v>
      </c>
      <c r="C1284" s="30">
        <f t="shared" si="77"/>
        <v>1359</v>
      </c>
      <c r="D1284" s="30">
        <f t="shared" si="78"/>
        <v>1.5266250000000001</v>
      </c>
    </row>
    <row r="1285" spans="1:4" x14ac:dyDescent="0.4">
      <c r="A1285" s="30">
        <f t="shared" si="79"/>
        <v>1338</v>
      </c>
      <c r="B1285" s="30">
        <f t="shared" si="76"/>
        <v>0.14727540500736377</v>
      </c>
      <c r="C1285" s="30">
        <f t="shared" si="77"/>
        <v>1360</v>
      </c>
      <c r="D1285" s="30">
        <f t="shared" si="78"/>
        <v>1.5277500000000002</v>
      </c>
    </row>
    <row r="1286" spans="1:4" x14ac:dyDescent="0.4">
      <c r="A1286" s="30">
        <f t="shared" si="79"/>
        <v>1339</v>
      </c>
      <c r="B1286" s="30">
        <f t="shared" si="76"/>
        <v>0.14716703458425312</v>
      </c>
      <c r="C1286" s="30">
        <f t="shared" si="77"/>
        <v>1361</v>
      </c>
      <c r="D1286" s="30">
        <f t="shared" si="78"/>
        <v>1.5288750000000002</v>
      </c>
    </row>
    <row r="1287" spans="1:4" x14ac:dyDescent="0.4">
      <c r="A1287" s="30">
        <f t="shared" si="79"/>
        <v>1340</v>
      </c>
      <c r="B1287" s="30">
        <f t="shared" si="76"/>
        <v>0.14705882352941177</v>
      </c>
      <c r="C1287" s="30">
        <f t="shared" si="77"/>
        <v>1362</v>
      </c>
      <c r="D1287" s="30">
        <f t="shared" si="78"/>
        <v>1.53</v>
      </c>
    </row>
    <row r="1288" spans="1:4" x14ac:dyDescent="0.4">
      <c r="A1288" s="30">
        <f t="shared" si="79"/>
        <v>1341</v>
      </c>
      <c r="B1288" s="30">
        <f t="shared" si="76"/>
        <v>0.14695077149155034</v>
      </c>
      <c r="C1288" s="30">
        <f t="shared" si="77"/>
        <v>1363</v>
      </c>
      <c r="D1288" s="30">
        <f t="shared" si="78"/>
        <v>1.5311250000000001</v>
      </c>
    </row>
    <row r="1289" spans="1:4" x14ac:dyDescent="0.4">
      <c r="A1289" s="30">
        <f t="shared" si="79"/>
        <v>1342</v>
      </c>
      <c r="B1289" s="30">
        <f t="shared" si="76"/>
        <v>0.14684287812041116</v>
      </c>
      <c r="C1289" s="30">
        <f t="shared" si="77"/>
        <v>1364</v>
      </c>
      <c r="D1289" s="30">
        <f t="shared" si="78"/>
        <v>1.5322500000000001</v>
      </c>
    </row>
    <row r="1290" spans="1:4" x14ac:dyDescent="0.4">
      <c r="A1290" s="30">
        <f t="shared" si="79"/>
        <v>1343</v>
      </c>
      <c r="B1290" s="30">
        <f t="shared" si="76"/>
        <v>0.1467351430667645</v>
      </c>
      <c r="C1290" s="30">
        <f t="shared" si="77"/>
        <v>1365</v>
      </c>
      <c r="D1290" s="30">
        <f t="shared" si="78"/>
        <v>1.5333750000000002</v>
      </c>
    </row>
    <row r="1291" spans="1:4" x14ac:dyDescent="0.4">
      <c r="A1291" s="30">
        <f t="shared" si="79"/>
        <v>1344</v>
      </c>
      <c r="B1291" s="30">
        <f t="shared" ref="B1291:B1354" si="80">$B$4/8/(A1291+$B$2)</f>
        <v>0.1466275659824047</v>
      </c>
      <c r="C1291" s="30">
        <f t="shared" si="77"/>
        <v>1366</v>
      </c>
      <c r="D1291" s="30">
        <f t="shared" si="78"/>
        <v>1.5345000000000002</v>
      </c>
    </row>
    <row r="1292" spans="1:4" x14ac:dyDescent="0.4">
      <c r="A1292" s="30">
        <f t="shared" si="79"/>
        <v>1345</v>
      </c>
      <c r="B1292" s="30">
        <f t="shared" si="80"/>
        <v>0.14652014652014653</v>
      </c>
      <c r="C1292" s="30">
        <f t="shared" ref="C1292:C1355" si="81">A1292+$E$6</f>
        <v>1367</v>
      </c>
      <c r="D1292" s="30">
        <f t="shared" ref="D1292:D1355" si="82">$H$3/B1292/CEILING(C1292/$H$2,1)</f>
        <v>1.5356250000000002</v>
      </c>
    </row>
    <row r="1293" spans="1:4" x14ac:dyDescent="0.4">
      <c r="A1293" s="30">
        <f t="shared" ref="A1293:A1356" si="83">A1292+$B$3</f>
        <v>1346</v>
      </c>
      <c r="B1293" s="30">
        <f t="shared" si="80"/>
        <v>0.14641288433382138</v>
      </c>
      <c r="C1293" s="30">
        <f t="shared" si="81"/>
        <v>1368</v>
      </c>
      <c r="D1293" s="30">
        <f t="shared" si="82"/>
        <v>1.5367499999999998</v>
      </c>
    </row>
    <row r="1294" spans="1:4" x14ac:dyDescent="0.4">
      <c r="A1294" s="30">
        <f t="shared" si="83"/>
        <v>1347</v>
      </c>
      <c r="B1294" s="30">
        <f t="shared" si="80"/>
        <v>0.14630577907827358</v>
      </c>
      <c r="C1294" s="30">
        <f t="shared" si="81"/>
        <v>1369</v>
      </c>
      <c r="D1294" s="30">
        <f t="shared" si="82"/>
        <v>1.5378750000000003</v>
      </c>
    </row>
    <row r="1295" spans="1:4" x14ac:dyDescent="0.4">
      <c r="A1295" s="30">
        <f t="shared" si="83"/>
        <v>1348</v>
      </c>
      <c r="B1295" s="30">
        <f t="shared" si="80"/>
        <v>0.14619883040935672</v>
      </c>
      <c r="C1295" s="30">
        <f t="shared" si="81"/>
        <v>1370</v>
      </c>
      <c r="D1295" s="30">
        <f t="shared" si="82"/>
        <v>1.5390000000000004</v>
      </c>
    </row>
    <row r="1296" spans="1:4" x14ac:dyDescent="0.4">
      <c r="A1296" s="30">
        <f t="shared" si="83"/>
        <v>1349</v>
      </c>
      <c r="B1296" s="30">
        <f t="shared" si="80"/>
        <v>0.14609203798392986</v>
      </c>
      <c r="C1296" s="30">
        <f t="shared" si="81"/>
        <v>1371</v>
      </c>
      <c r="D1296" s="30">
        <f t="shared" si="82"/>
        <v>1.5401250000000004</v>
      </c>
    </row>
    <row r="1297" spans="1:4" x14ac:dyDescent="0.4">
      <c r="A1297" s="30">
        <f t="shared" si="83"/>
        <v>1350</v>
      </c>
      <c r="B1297" s="30">
        <f t="shared" si="80"/>
        <v>0.145985401459854</v>
      </c>
      <c r="C1297" s="30">
        <f t="shared" si="81"/>
        <v>1372</v>
      </c>
      <c r="D1297" s="30">
        <f t="shared" si="82"/>
        <v>1.54125</v>
      </c>
    </row>
    <row r="1298" spans="1:4" x14ac:dyDescent="0.4">
      <c r="A1298" s="30">
        <f t="shared" si="83"/>
        <v>1351</v>
      </c>
      <c r="B1298" s="30">
        <f t="shared" si="80"/>
        <v>0.14587892049598833</v>
      </c>
      <c r="C1298" s="30">
        <f t="shared" si="81"/>
        <v>1373</v>
      </c>
      <c r="D1298" s="30">
        <f t="shared" si="82"/>
        <v>1.5423750000000001</v>
      </c>
    </row>
    <row r="1299" spans="1:4" x14ac:dyDescent="0.4">
      <c r="A1299" s="30">
        <f t="shared" si="83"/>
        <v>1352</v>
      </c>
      <c r="B1299" s="30">
        <f t="shared" si="80"/>
        <v>0.1457725947521866</v>
      </c>
      <c r="C1299" s="30">
        <f t="shared" si="81"/>
        <v>1374</v>
      </c>
      <c r="D1299" s="30">
        <f t="shared" si="82"/>
        <v>1.5435000000000001</v>
      </c>
    </row>
    <row r="1300" spans="1:4" x14ac:dyDescent="0.4">
      <c r="A1300" s="30">
        <f t="shared" si="83"/>
        <v>1353</v>
      </c>
      <c r="B1300" s="30">
        <f t="shared" si="80"/>
        <v>0.14566642388929352</v>
      </c>
      <c r="C1300" s="30">
        <f t="shared" si="81"/>
        <v>1375</v>
      </c>
      <c r="D1300" s="30">
        <f t="shared" si="82"/>
        <v>1.5446250000000001</v>
      </c>
    </row>
    <row r="1301" spans="1:4" x14ac:dyDescent="0.4">
      <c r="A1301" s="30">
        <f t="shared" si="83"/>
        <v>1354</v>
      </c>
      <c r="B1301" s="30">
        <f t="shared" si="80"/>
        <v>0.14556040756914118</v>
      </c>
      <c r="C1301" s="30">
        <f t="shared" si="81"/>
        <v>1376</v>
      </c>
      <c r="D1301" s="30">
        <f t="shared" si="82"/>
        <v>1.5457500000000002</v>
      </c>
    </row>
    <row r="1302" spans="1:4" x14ac:dyDescent="0.4">
      <c r="A1302" s="30">
        <f t="shared" si="83"/>
        <v>1355</v>
      </c>
      <c r="B1302" s="30">
        <f t="shared" si="80"/>
        <v>0.14545454545454545</v>
      </c>
      <c r="C1302" s="30">
        <f t="shared" si="81"/>
        <v>1377</v>
      </c>
      <c r="D1302" s="30">
        <f t="shared" si="82"/>
        <v>1.5468750000000002</v>
      </c>
    </row>
    <row r="1303" spans="1:4" x14ac:dyDescent="0.4">
      <c r="A1303" s="30">
        <f t="shared" si="83"/>
        <v>1356</v>
      </c>
      <c r="B1303" s="30">
        <f t="shared" si="80"/>
        <v>0.14534883720930233</v>
      </c>
      <c r="C1303" s="30">
        <f t="shared" si="81"/>
        <v>1378</v>
      </c>
      <c r="D1303" s="30">
        <f t="shared" si="82"/>
        <v>1.548</v>
      </c>
    </row>
    <row r="1304" spans="1:4" x14ac:dyDescent="0.4">
      <c r="A1304" s="30">
        <f t="shared" si="83"/>
        <v>1357</v>
      </c>
      <c r="B1304" s="30">
        <f t="shared" si="80"/>
        <v>0.14524328249818447</v>
      </c>
      <c r="C1304" s="30">
        <f t="shared" si="81"/>
        <v>1379</v>
      </c>
      <c r="D1304" s="30">
        <f t="shared" si="82"/>
        <v>1.5491250000000001</v>
      </c>
    </row>
    <row r="1305" spans="1:4" x14ac:dyDescent="0.4">
      <c r="A1305" s="30">
        <f t="shared" si="83"/>
        <v>1358</v>
      </c>
      <c r="B1305" s="30">
        <f t="shared" si="80"/>
        <v>0.14513788098693758</v>
      </c>
      <c r="C1305" s="30">
        <f t="shared" si="81"/>
        <v>1380</v>
      </c>
      <c r="D1305" s="30">
        <f t="shared" si="82"/>
        <v>1.5502500000000001</v>
      </c>
    </row>
    <row r="1306" spans="1:4" x14ac:dyDescent="0.4">
      <c r="A1306" s="30">
        <f t="shared" si="83"/>
        <v>1359</v>
      </c>
      <c r="B1306" s="30">
        <f t="shared" si="80"/>
        <v>0.14503263234227701</v>
      </c>
      <c r="C1306" s="30">
        <f t="shared" si="81"/>
        <v>1381</v>
      </c>
      <c r="D1306" s="30">
        <f t="shared" si="82"/>
        <v>1.5513750000000002</v>
      </c>
    </row>
    <row r="1307" spans="1:4" x14ac:dyDescent="0.4">
      <c r="A1307" s="30">
        <f t="shared" si="83"/>
        <v>1360</v>
      </c>
      <c r="B1307" s="30">
        <f t="shared" si="80"/>
        <v>0.14492753623188406</v>
      </c>
      <c r="C1307" s="30">
        <f t="shared" si="81"/>
        <v>1382</v>
      </c>
      <c r="D1307" s="30">
        <f t="shared" si="82"/>
        <v>1.5525</v>
      </c>
    </row>
    <row r="1308" spans="1:4" x14ac:dyDescent="0.4">
      <c r="A1308" s="30">
        <f t="shared" si="83"/>
        <v>1361</v>
      </c>
      <c r="B1308" s="30">
        <f t="shared" si="80"/>
        <v>0.14482259232440262</v>
      </c>
      <c r="C1308" s="30">
        <f t="shared" si="81"/>
        <v>1383</v>
      </c>
      <c r="D1308" s="30">
        <f t="shared" si="82"/>
        <v>1.553625</v>
      </c>
    </row>
    <row r="1309" spans="1:4" x14ac:dyDescent="0.4">
      <c r="A1309" s="30">
        <f t="shared" si="83"/>
        <v>1362</v>
      </c>
      <c r="B1309" s="30">
        <f t="shared" si="80"/>
        <v>0.14471780028943559</v>
      </c>
      <c r="C1309" s="30">
        <f t="shared" si="81"/>
        <v>1384</v>
      </c>
      <c r="D1309" s="30">
        <f t="shared" si="82"/>
        <v>1.5547500000000003</v>
      </c>
    </row>
    <row r="1310" spans="1:4" x14ac:dyDescent="0.4">
      <c r="A1310" s="30">
        <f t="shared" si="83"/>
        <v>1363</v>
      </c>
      <c r="B1310" s="30">
        <f t="shared" si="80"/>
        <v>0.14461315979754158</v>
      </c>
      <c r="C1310" s="30">
        <f t="shared" si="81"/>
        <v>1385</v>
      </c>
      <c r="D1310" s="30">
        <f t="shared" si="82"/>
        <v>1.5558750000000001</v>
      </c>
    </row>
    <row r="1311" spans="1:4" x14ac:dyDescent="0.4">
      <c r="A1311" s="30">
        <f t="shared" si="83"/>
        <v>1364</v>
      </c>
      <c r="B1311" s="30">
        <f t="shared" si="80"/>
        <v>0.14450867052023122</v>
      </c>
      <c r="C1311" s="30">
        <f t="shared" si="81"/>
        <v>1386</v>
      </c>
      <c r="D1311" s="30">
        <f t="shared" si="82"/>
        <v>1.5570000000000002</v>
      </c>
    </row>
    <row r="1312" spans="1:4" x14ac:dyDescent="0.4">
      <c r="A1312" s="30">
        <f t="shared" si="83"/>
        <v>1365</v>
      </c>
      <c r="B1312" s="30">
        <f t="shared" si="80"/>
        <v>0.1444043321299639</v>
      </c>
      <c r="C1312" s="30">
        <f t="shared" si="81"/>
        <v>1387</v>
      </c>
      <c r="D1312" s="30">
        <f t="shared" si="82"/>
        <v>1.5581250000000002</v>
      </c>
    </row>
    <row r="1313" spans="1:4" x14ac:dyDescent="0.4">
      <c r="A1313" s="30">
        <f t="shared" si="83"/>
        <v>1366</v>
      </c>
      <c r="B1313" s="30">
        <f t="shared" si="80"/>
        <v>0.14430014430014429</v>
      </c>
      <c r="C1313" s="30">
        <f t="shared" si="81"/>
        <v>1388</v>
      </c>
      <c r="D1313" s="30">
        <f t="shared" si="82"/>
        <v>1.5592500000000002</v>
      </c>
    </row>
    <row r="1314" spans="1:4" x14ac:dyDescent="0.4">
      <c r="A1314" s="30">
        <f t="shared" si="83"/>
        <v>1367</v>
      </c>
      <c r="B1314" s="30">
        <f t="shared" si="80"/>
        <v>0.14419610670511895</v>
      </c>
      <c r="C1314" s="30">
        <f t="shared" si="81"/>
        <v>1389</v>
      </c>
      <c r="D1314" s="30">
        <f t="shared" si="82"/>
        <v>1.5603750000000003</v>
      </c>
    </row>
    <row r="1315" spans="1:4" x14ac:dyDescent="0.4">
      <c r="A1315" s="30">
        <f t="shared" si="83"/>
        <v>1368</v>
      </c>
      <c r="B1315" s="30">
        <f t="shared" si="80"/>
        <v>0.14409221902017291</v>
      </c>
      <c r="C1315" s="30">
        <f t="shared" si="81"/>
        <v>1390</v>
      </c>
      <c r="D1315" s="30">
        <f t="shared" si="82"/>
        <v>1.5614999999999999</v>
      </c>
    </row>
    <row r="1316" spans="1:4" x14ac:dyDescent="0.4">
      <c r="A1316" s="30">
        <f t="shared" si="83"/>
        <v>1369</v>
      </c>
      <c r="B1316" s="30">
        <f t="shared" si="80"/>
        <v>0.14398848092152627</v>
      </c>
      <c r="C1316" s="30">
        <f t="shared" si="81"/>
        <v>1391</v>
      </c>
      <c r="D1316" s="30">
        <f t="shared" si="82"/>
        <v>1.5626249999999999</v>
      </c>
    </row>
    <row r="1317" spans="1:4" x14ac:dyDescent="0.4">
      <c r="A1317" s="30">
        <f t="shared" si="83"/>
        <v>1370</v>
      </c>
      <c r="B1317" s="30">
        <f t="shared" si="80"/>
        <v>0.14388489208633093</v>
      </c>
      <c r="C1317" s="30">
        <f t="shared" si="81"/>
        <v>1392</v>
      </c>
      <c r="D1317" s="30">
        <f t="shared" si="82"/>
        <v>1.56375</v>
      </c>
    </row>
    <row r="1318" spans="1:4" x14ac:dyDescent="0.4">
      <c r="A1318" s="30">
        <f t="shared" si="83"/>
        <v>1371</v>
      </c>
      <c r="B1318" s="30">
        <f t="shared" si="80"/>
        <v>0.14378145219266714</v>
      </c>
      <c r="C1318" s="30">
        <f t="shared" si="81"/>
        <v>1393</v>
      </c>
      <c r="D1318" s="30">
        <f t="shared" si="82"/>
        <v>1.564875</v>
      </c>
    </row>
    <row r="1319" spans="1:4" x14ac:dyDescent="0.4">
      <c r="A1319" s="30">
        <f t="shared" si="83"/>
        <v>1372</v>
      </c>
      <c r="B1319" s="30">
        <f t="shared" si="80"/>
        <v>0.14367816091954022</v>
      </c>
      <c r="C1319" s="30">
        <f t="shared" si="81"/>
        <v>1394</v>
      </c>
      <c r="D1319" s="30">
        <f t="shared" si="82"/>
        <v>1.5660000000000001</v>
      </c>
    </row>
    <row r="1320" spans="1:4" x14ac:dyDescent="0.4">
      <c r="A1320" s="30">
        <f t="shared" si="83"/>
        <v>1373</v>
      </c>
      <c r="B1320" s="30">
        <f t="shared" si="80"/>
        <v>0.14357501794687724</v>
      </c>
      <c r="C1320" s="30">
        <f t="shared" si="81"/>
        <v>1395</v>
      </c>
      <c r="D1320" s="30">
        <f t="shared" si="82"/>
        <v>1.5671250000000001</v>
      </c>
    </row>
    <row r="1321" spans="1:4" x14ac:dyDescent="0.4">
      <c r="A1321" s="30">
        <f t="shared" si="83"/>
        <v>1374</v>
      </c>
      <c r="B1321" s="30">
        <f t="shared" si="80"/>
        <v>0.14347202295552366</v>
      </c>
      <c r="C1321" s="30">
        <f t="shared" si="81"/>
        <v>1396</v>
      </c>
      <c r="D1321" s="30">
        <f t="shared" si="82"/>
        <v>1.5682500000000001</v>
      </c>
    </row>
    <row r="1322" spans="1:4" x14ac:dyDescent="0.4">
      <c r="A1322" s="30">
        <f t="shared" si="83"/>
        <v>1375</v>
      </c>
      <c r="B1322" s="30">
        <f t="shared" si="80"/>
        <v>0.14336917562724014</v>
      </c>
      <c r="C1322" s="30">
        <f t="shared" si="81"/>
        <v>1397</v>
      </c>
      <c r="D1322" s="30">
        <f t="shared" si="82"/>
        <v>1.5693750000000002</v>
      </c>
    </row>
    <row r="1323" spans="1:4" x14ac:dyDescent="0.4">
      <c r="A1323" s="30">
        <f t="shared" si="83"/>
        <v>1376</v>
      </c>
      <c r="B1323" s="30">
        <f t="shared" si="80"/>
        <v>0.14326647564469913</v>
      </c>
      <c r="C1323" s="30">
        <f t="shared" si="81"/>
        <v>1398</v>
      </c>
      <c r="D1323" s="30">
        <f t="shared" si="82"/>
        <v>1.5705000000000002</v>
      </c>
    </row>
    <row r="1324" spans="1:4" x14ac:dyDescent="0.4">
      <c r="A1324" s="30">
        <f t="shared" si="83"/>
        <v>1377</v>
      </c>
      <c r="B1324" s="30">
        <f t="shared" si="80"/>
        <v>0.14316392269148176</v>
      </c>
      <c r="C1324" s="30">
        <f t="shared" si="81"/>
        <v>1399</v>
      </c>
      <c r="D1324" s="30">
        <f t="shared" si="82"/>
        <v>1.571625</v>
      </c>
    </row>
    <row r="1325" spans="1:4" x14ac:dyDescent="0.4">
      <c r="A1325" s="30">
        <f t="shared" si="83"/>
        <v>1378</v>
      </c>
      <c r="B1325" s="30">
        <f t="shared" si="80"/>
        <v>0.14306151645207441</v>
      </c>
      <c r="C1325" s="30">
        <f t="shared" si="81"/>
        <v>1400</v>
      </c>
      <c r="D1325" s="30">
        <f t="shared" si="82"/>
        <v>1.5727500000000001</v>
      </c>
    </row>
    <row r="1326" spans="1:4" x14ac:dyDescent="0.4">
      <c r="A1326" s="30">
        <f t="shared" si="83"/>
        <v>1379</v>
      </c>
      <c r="B1326" s="30">
        <f t="shared" si="80"/>
        <v>0.14295925661186562</v>
      </c>
      <c r="C1326" s="30">
        <f t="shared" si="81"/>
        <v>1401</v>
      </c>
      <c r="D1326" s="30">
        <f t="shared" si="82"/>
        <v>1.5738750000000001</v>
      </c>
    </row>
    <row r="1327" spans="1:4" x14ac:dyDescent="0.4">
      <c r="A1327" s="30">
        <f t="shared" si="83"/>
        <v>1380</v>
      </c>
      <c r="B1327" s="30">
        <f t="shared" si="80"/>
        <v>0.14285714285714285</v>
      </c>
      <c r="C1327" s="30">
        <f t="shared" si="81"/>
        <v>1402</v>
      </c>
      <c r="D1327" s="30">
        <f t="shared" si="82"/>
        <v>1.5750000000000002</v>
      </c>
    </row>
    <row r="1328" spans="1:4" x14ac:dyDescent="0.4">
      <c r="A1328" s="30">
        <f t="shared" si="83"/>
        <v>1381</v>
      </c>
      <c r="B1328" s="30">
        <f t="shared" si="80"/>
        <v>0.14275517487508924</v>
      </c>
      <c r="C1328" s="30">
        <f t="shared" si="81"/>
        <v>1403</v>
      </c>
      <c r="D1328" s="30">
        <f t="shared" si="82"/>
        <v>1.576125</v>
      </c>
    </row>
    <row r="1329" spans="1:4" x14ac:dyDescent="0.4">
      <c r="A1329" s="30">
        <f t="shared" si="83"/>
        <v>1382</v>
      </c>
      <c r="B1329" s="30">
        <f t="shared" si="80"/>
        <v>0.14265335235378032</v>
      </c>
      <c r="C1329" s="30">
        <f t="shared" si="81"/>
        <v>1404</v>
      </c>
      <c r="D1329" s="30">
        <f t="shared" si="82"/>
        <v>1.57725</v>
      </c>
    </row>
    <row r="1330" spans="1:4" x14ac:dyDescent="0.4">
      <c r="A1330" s="30">
        <f t="shared" si="83"/>
        <v>1383</v>
      </c>
      <c r="B1330" s="30">
        <f t="shared" si="80"/>
        <v>0.14255167498218105</v>
      </c>
      <c r="C1330" s="30">
        <f t="shared" si="81"/>
        <v>1405</v>
      </c>
      <c r="D1330" s="30">
        <f t="shared" si="82"/>
        <v>1.5783750000000001</v>
      </c>
    </row>
    <row r="1331" spans="1:4" x14ac:dyDescent="0.4">
      <c r="A1331" s="30">
        <f t="shared" si="83"/>
        <v>1384</v>
      </c>
      <c r="B1331" s="30">
        <f t="shared" si="80"/>
        <v>0.14245014245014245</v>
      </c>
      <c r="C1331" s="30">
        <f t="shared" si="81"/>
        <v>1406</v>
      </c>
      <c r="D1331" s="30">
        <f t="shared" si="82"/>
        <v>1.5795000000000001</v>
      </c>
    </row>
    <row r="1332" spans="1:4" x14ac:dyDescent="0.4">
      <c r="A1332" s="30">
        <f t="shared" si="83"/>
        <v>1385</v>
      </c>
      <c r="B1332" s="30">
        <f t="shared" si="80"/>
        <v>0.14234875444839859</v>
      </c>
      <c r="C1332" s="30">
        <f t="shared" si="81"/>
        <v>1407</v>
      </c>
      <c r="D1332" s="30">
        <f t="shared" si="82"/>
        <v>1.5806250000000002</v>
      </c>
    </row>
    <row r="1333" spans="1:4" x14ac:dyDescent="0.4">
      <c r="A1333" s="30">
        <f t="shared" si="83"/>
        <v>1386</v>
      </c>
      <c r="B1333" s="30">
        <f t="shared" si="80"/>
        <v>0.14224751066856331</v>
      </c>
      <c r="C1333" s="30">
        <f t="shared" si="81"/>
        <v>1408</v>
      </c>
      <c r="D1333" s="30">
        <f t="shared" si="82"/>
        <v>1.5817500000000002</v>
      </c>
    </row>
    <row r="1334" spans="1:4" x14ac:dyDescent="0.4">
      <c r="A1334" s="30">
        <f t="shared" si="83"/>
        <v>1387</v>
      </c>
      <c r="B1334" s="30">
        <f t="shared" si="80"/>
        <v>0.14214641080312723</v>
      </c>
      <c r="C1334" s="30">
        <f t="shared" si="81"/>
        <v>1409</v>
      </c>
      <c r="D1334" s="30">
        <f t="shared" si="82"/>
        <v>1.5828749999999998</v>
      </c>
    </row>
    <row r="1335" spans="1:4" x14ac:dyDescent="0.4">
      <c r="A1335" s="30">
        <f t="shared" si="83"/>
        <v>1388</v>
      </c>
      <c r="B1335" s="30">
        <f t="shared" si="80"/>
        <v>0.14204545454545456</v>
      </c>
      <c r="C1335" s="30">
        <f t="shared" si="81"/>
        <v>1410</v>
      </c>
      <c r="D1335" s="30">
        <f t="shared" si="82"/>
        <v>1.5839999999999999</v>
      </c>
    </row>
    <row r="1336" spans="1:4" x14ac:dyDescent="0.4">
      <c r="A1336" s="30">
        <f t="shared" si="83"/>
        <v>1389</v>
      </c>
      <c r="B1336" s="30">
        <f t="shared" si="80"/>
        <v>0.14194464158977999</v>
      </c>
      <c r="C1336" s="30">
        <f t="shared" si="81"/>
        <v>1411</v>
      </c>
      <c r="D1336" s="30">
        <f t="shared" si="82"/>
        <v>1.5851249999999999</v>
      </c>
    </row>
    <row r="1337" spans="1:4" x14ac:dyDescent="0.4">
      <c r="A1337" s="30">
        <f t="shared" si="83"/>
        <v>1390</v>
      </c>
      <c r="B1337" s="30">
        <f t="shared" si="80"/>
        <v>0.14184397163120568</v>
      </c>
      <c r="C1337" s="30">
        <f t="shared" si="81"/>
        <v>1412</v>
      </c>
      <c r="D1337" s="30">
        <f t="shared" si="82"/>
        <v>1.5862499999999999</v>
      </c>
    </row>
    <row r="1338" spans="1:4" x14ac:dyDescent="0.4">
      <c r="A1338" s="30">
        <f t="shared" si="83"/>
        <v>1391</v>
      </c>
      <c r="B1338" s="30">
        <f t="shared" si="80"/>
        <v>0.14174344436569808</v>
      </c>
      <c r="C1338" s="30">
        <f t="shared" si="81"/>
        <v>1413</v>
      </c>
      <c r="D1338" s="30">
        <f t="shared" si="82"/>
        <v>1.587375</v>
      </c>
    </row>
    <row r="1339" spans="1:4" x14ac:dyDescent="0.4">
      <c r="A1339" s="30">
        <f t="shared" si="83"/>
        <v>1392</v>
      </c>
      <c r="B1339" s="30">
        <f t="shared" si="80"/>
        <v>0.14164305949008499</v>
      </c>
      <c r="C1339" s="30">
        <f t="shared" si="81"/>
        <v>1414</v>
      </c>
      <c r="D1339" s="30">
        <f t="shared" si="82"/>
        <v>1.5885</v>
      </c>
    </row>
    <row r="1340" spans="1:4" x14ac:dyDescent="0.4">
      <c r="A1340" s="30">
        <f t="shared" si="83"/>
        <v>1393</v>
      </c>
      <c r="B1340" s="30">
        <f t="shared" si="80"/>
        <v>0.14154281670205238</v>
      </c>
      <c r="C1340" s="30">
        <f t="shared" si="81"/>
        <v>1415</v>
      </c>
      <c r="D1340" s="30">
        <f t="shared" si="82"/>
        <v>1.5896250000000001</v>
      </c>
    </row>
    <row r="1341" spans="1:4" x14ac:dyDescent="0.4">
      <c r="A1341" s="30">
        <f t="shared" si="83"/>
        <v>1394</v>
      </c>
      <c r="B1341" s="30">
        <f t="shared" si="80"/>
        <v>0.14144271570014144</v>
      </c>
      <c r="C1341" s="30">
        <f t="shared" si="81"/>
        <v>1416</v>
      </c>
      <c r="D1341" s="30">
        <f t="shared" si="82"/>
        <v>1.5907500000000001</v>
      </c>
    </row>
    <row r="1342" spans="1:4" x14ac:dyDescent="0.4">
      <c r="A1342" s="30">
        <f t="shared" si="83"/>
        <v>1395</v>
      </c>
      <c r="B1342" s="30">
        <f t="shared" si="80"/>
        <v>0.14134275618374559</v>
      </c>
      <c r="C1342" s="30">
        <f t="shared" si="81"/>
        <v>1417</v>
      </c>
      <c r="D1342" s="30">
        <f t="shared" si="82"/>
        <v>1.5918749999999999</v>
      </c>
    </row>
    <row r="1343" spans="1:4" x14ac:dyDescent="0.4">
      <c r="A1343" s="30">
        <f t="shared" si="83"/>
        <v>1396</v>
      </c>
      <c r="B1343" s="30">
        <f t="shared" si="80"/>
        <v>0.14124293785310735</v>
      </c>
      <c r="C1343" s="30">
        <f t="shared" si="81"/>
        <v>1418</v>
      </c>
      <c r="D1343" s="30">
        <f t="shared" si="82"/>
        <v>1.593</v>
      </c>
    </row>
    <row r="1344" spans="1:4" x14ac:dyDescent="0.4">
      <c r="A1344" s="30">
        <f t="shared" si="83"/>
        <v>1397</v>
      </c>
      <c r="B1344" s="30">
        <f t="shared" si="80"/>
        <v>0.14114326040931546</v>
      </c>
      <c r="C1344" s="30">
        <f t="shared" si="81"/>
        <v>1419</v>
      </c>
      <c r="D1344" s="30">
        <f t="shared" si="82"/>
        <v>1.594125</v>
      </c>
    </row>
    <row r="1345" spans="1:4" x14ac:dyDescent="0.4">
      <c r="A1345" s="30">
        <f t="shared" si="83"/>
        <v>1398</v>
      </c>
      <c r="B1345" s="30">
        <f t="shared" si="80"/>
        <v>0.14104372355430184</v>
      </c>
      <c r="C1345" s="30">
        <f t="shared" si="81"/>
        <v>1420</v>
      </c>
      <c r="D1345" s="30">
        <f t="shared" si="82"/>
        <v>1.5952500000000001</v>
      </c>
    </row>
    <row r="1346" spans="1:4" x14ac:dyDescent="0.4">
      <c r="A1346" s="30">
        <f t="shared" si="83"/>
        <v>1399</v>
      </c>
      <c r="B1346" s="30">
        <f t="shared" si="80"/>
        <v>0.14094432699083861</v>
      </c>
      <c r="C1346" s="30">
        <f t="shared" si="81"/>
        <v>1421</v>
      </c>
      <c r="D1346" s="30">
        <f t="shared" si="82"/>
        <v>1.5963750000000001</v>
      </c>
    </row>
    <row r="1347" spans="1:4" x14ac:dyDescent="0.4">
      <c r="A1347" s="30">
        <f t="shared" si="83"/>
        <v>1400</v>
      </c>
      <c r="B1347" s="30">
        <f t="shared" si="80"/>
        <v>0.14084507042253522</v>
      </c>
      <c r="C1347" s="30">
        <f t="shared" si="81"/>
        <v>1422</v>
      </c>
      <c r="D1347" s="30">
        <f t="shared" si="82"/>
        <v>1.5975000000000001</v>
      </c>
    </row>
    <row r="1348" spans="1:4" x14ac:dyDescent="0.4">
      <c r="A1348" s="30">
        <f t="shared" si="83"/>
        <v>1401</v>
      </c>
      <c r="B1348" s="30">
        <f t="shared" si="80"/>
        <v>0.14074595355383532</v>
      </c>
      <c r="C1348" s="30">
        <f t="shared" si="81"/>
        <v>1423</v>
      </c>
      <c r="D1348" s="30">
        <f t="shared" si="82"/>
        <v>1.5986250000000002</v>
      </c>
    </row>
    <row r="1349" spans="1:4" x14ac:dyDescent="0.4">
      <c r="A1349" s="30">
        <f t="shared" si="83"/>
        <v>1402</v>
      </c>
      <c r="B1349" s="30">
        <f t="shared" si="80"/>
        <v>0.14064697609001406</v>
      </c>
      <c r="C1349" s="30">
        <f t="shared" si="81"/>
        <v>1424</v>
      </c>
      <c r="D1349" s="30">
        <f t="shared" si="82"/>
        <v>1.5997500000000002</v>
      </c>
    </row>
    <row r="1350" spans="1:4" x14ac:dyDescent="0.4">
      <c r="A1350" s="30">
        <f t="shared" si="83"/>
        <v>1403</v>
      </c>
      <c r="B1350" s="30">
        <f t="shared" si="80"/>
        <v>0.14054813773717498</v>
      </c>
      <c r="C1350" s="30">
        <f t="shared" si="81"/>
        <v>1425</v>
      </c>
      <c r="D1350" s="30">
        <f t="shared" si="82"/>
        <v>1.6008750000000003</v>
      </c>
    </row>
    <row r="1351" spans="1:4" x14ac:dyDescent="0.4">
      <c r="A1351" s="30">
        <f t="shared" si="83"/>
        <v>1404</v>
      </c>
      <c r="B1351" s="30">
        <f t="shared" si="80"/>
        <v>0.1404494382022472</v>
      </c>
      <c r="C1351" s="30">
        <f t="shared" si="81"/>
        <v>1426</v>
      </c>
      <c r="D1351" s="30">
        <f t="shared" si="82"/>
        <v>1.6020000000000001</v>
      </c>
    </row>
    <row r="1352" spans="1:4" x14ac:dyDescent="0.4">
      <c r="A1352" s="30">
        <f t="shared" si="83"/>
        <v>1405</v>
      </c>
      <c r="B1352" s="30">
        <f t="shared" si="80"/>
        <v>0.14035087719298245</v>
      </c>
      <c r="C1352" s="30">
        <f t="shared" si="81"/>
        <v>1427</v>
      </c>
      <c r="D1352" s="30">
        <f t="shared" si="82"/>
        <v>1.6031250000000001</v>
      </c>
    </row>
    <row r="1353" spans="1:4" x14ac:dyDescent="0.4">
      <c r="A1353" s="30">
        <f t="shared" si="83"/>
        <v>1406</v>
      </c>
      <c r="B1353" s="30">
        <f t="shared" si="80"/>
        <v>0.14025245441795231</v>
      </c>
      <c r="C1353" s="30">
        <f t="shared" si="81"/>
        <v>1428</v>
      </c>
      <c r="D1353" s="30">
        <f t="shared" si="82"/>
        <v>1.6042500000000002</v>
      </c>
    </row>
    <row r="1354" spans="1:4" x14ac:dyDescent="0.4">
      <c r="A1354" s="30">
        <f t="shared" si="83"/>
        <v>1407</v>
      </c>
      <c r="B1354" s="30">
        <f t="shared" si="80"/>
        <v>0.1401541695865452</v>
      </c>
      <c r="C1354" s="30">
        <f t="shared" si="81"/>
        <v>1429</v>
      </c>
      <c r="D1354" s="30">
        <f t="shared" si="82"/>
        <v>1.6053750000000002</v>
      </c>
    </row>
    <row r="1355" spans="1:4" x14ac:dyDescent="0.4">
      <c r="A1355" s="30">
        <f t="shared" si="83"/>
        <v>1408</v>
      </c>
      <c r="B1355" s="30">
        <f t="shared" ref="B1355:B1418" si="84">$B$4/8/(A1355+$B$2)</f>
        <v>0.14005602240896359</v>
      </c>
      <c r="C1355" s="30">
        <f t="shared" si="81"/>
        <v>1430</v>
      </c>
      <c r="D1355" s="30">
        <f t="shared" si="82"/>
        <v>1.6065000000000003</v>
      </c>
    </row>
    <row r="1356" spans="1:4" x14ac:dyDescent="0.4">
      <c r="A1356" s="30">
        <f t="shared" si="83"/>
        <v>1409</v>
      </c>
      <c r="B1356" s="30">
        <f t="shared" si="84"/>
        <v>0.13995801259622112</v>
      </c>
      <c r="C1356" s="30">
        <f t="shared" ref="C1356:C1419" si="85">A1356+$E$6</f>
        <v>1431</v>
      </c>
      <c r="D1356" s="30">
        <f t="shared" ref="D1356:D1419" si="86">$H$3/B1356/CEILING(C1356/$H$2,1)</f>
        <v>1.6076250000000003</v>
      </c>
    </row>
    <row r="1357" spans="1:4" x14ac:dyDescent="0.4">
      <c r="A1357" s="30">
        <f t="shared" ref="A1357:A1420" si="87">A1356+$B$3</f>
        <v>1410</v>
      </c>
      <c r="B1357" s="30">
        <f t="shared" si="84"/>
        <v>0.13986013986013987</v>
      </c>
      <c r="C1357" s="30">
        <f t="shared" si="85"/>
        <v>1432</v>
      </c>
      <c r="D1357" s="30">
        <f t="shared" si="86"/>
        <v>1.6087499999999999</v>
      </c>
    </row>
    <row r="1358" spans="1:4" x14ac:dyDescent="0.4">
      <c r="A1358" s="30">
        <f t="shared" si="87"/>
        <v>1411</v>
      </c>
      <c r="B1358" s="30">
        <f t="shared" si="84"/>
        <v>0.13976240391334732</v>
      </c>
      <c r="C1358" s="30">
        <f t="shared" si="85"/>
        <v>1433</v>
      </c>
      <c r="D1358" s="30">
        <f t="shared" si="86"/>
        <v>1.6098749999999999</v>
      </c>
    </row>
    <row r="1359" spans="1:4" x14ac:dyDescent="0.4">
      <c r="A1359" s="30">
        <f t="shared" si="87"/>
        <v>1412</v>
      </c>
      <c r="B1359" s="30">
        <f t="shared" si="84"/>
        <v>0.13966480446927373</v>
      </c>
      <c r="C1359" s="30">
        <f t="shared" si="85"/>
        <v>1434</v>
      </c>
      <c r="D1359" s="30">
        <f t="shared" si="86"/>
        <v>1.611</v>
      </c>
    </row>
    <row r="1360" spans="1:4" x14ac:dyDescent="0.4">
      <c r="A1360" s="30">
        <f t="shared" si="87"/>
        <v>1413</v>
      </c>
      <c r="B1360" s="30">
        <f t="shared" si="84"/>
        <v>0.13956734124214934</v>
      </c>
      <c r="C1360" s="30">
        <f t="shared" si="85"/>
        <v>1435</v>
      </c>
      <c r="D1360" s="30">
        <f t="shared" si="86"/>
        <v>1.612125</v>
      </c>
    </row>
    <row r="1361" spans="1:4" x14ac:dyDescent="0.4">
      <c r="A1361" s="30">
        <f t="shared" si="87"/>
        <v>1414</v>
      </c>
      <c r="B1361" s="30">
        <f t="shared" si="84"/>
        <v>0.1394700139470014</v>
      </c>
      <c r="C1361" s="30">
        <f t="shared" si="85"/>
        <v>1436</v>
      </c>
      <c r="D1361" s="30">
        <f t="shared" si="86"/>
        <v>1.6132500000000001</v>
      </c>
    </row>
    <row r="1362" spans="1:4" x14ac:dyDescent="0.4">
      <c r="A1362" s="30">
        <f t="shared" si="87"/>
        <v>1415</v>
      </c>
      <c r="B1362" s="30">
        <f t="shared" si="84"/>
        <v>0.13937282229965156</v>
      </c>
      <c r="C1362" s="30">
        <f t="shared" si="85"/>
        <v>1437</v>
      </c>
      <c r="D1362" s="30">
        <f t="shared" si="86"/>
        <v>1.6143750000000001</v>
      </c>
    </row>
    <row r="1363" spans="1:4" x14ac:dyDescent="0.4">
      <c r="A1363" s="30">
        <f t="shared" si="87"/>
        <v>1416</v>
      </c>
      <c r="B1363" s="30">
        <f t="shared" si="84"/>
        <v>0.1392757660167131</v>
      </c>
      <c r="C1363" s="30">
        <f t="shared" si="85"/>
        <v>1438</v>
      </c>
      <c r="D1363" s="30">
        <f t="shared" si="86"/>
        <v>1.6154999999999999</v>
      </c>
    </row>
    <row r="1364" spans="1:4" x14ac:dyDescent="0.4">
      <c r="A1364" s="30">
        <f t="shared" si="87"/>
        <v>1417</v>
      </c>
      <c r="B1364" s="30">
        <f t="shared" si="84"/>
        <v>0.13917884481558804</v>
      </c>
      <c r="C1364" s="30">
        <f t="shared" si="85"/>
        <v>1439</v>
      </c>
      <c r="D1364" s="30">
        <f t="shared" si="86"/>
        <v>1.616625</v>
      </c>
    </row>
    <row r="1365" spans="1:4" x14ac:dyDescent="0.4">
      <c r="A1365" s="30">
        <f t="shared" si="87"/>
        <v>1418</v>
      </c>
      <c r="B1365" s="30">
        <f t="shared" si="84"/>
        <v>0.13908205841446453</v>
      </c>
      <c r="C1365" s="30">
        <f t="shared" si="85"/>
        <v>1440</v>
      </c>
      <c r="D1365" s="30">
        <f t="shared" si="86"/>
        <v>1.6177500000000002</v>
      </c>
    </row>
    <row r="1366" spans="1:4" x14ac:dyDescent="0.4">
      <c r="A1366" s="30">
        <f t="shared" si="87"/>
        <v>1419</v>
      </c>
      <c r="B1366" s="30">
        <f t="shared" si="84"/>
        <v>0.13898540653231412</v>
      </c>
      <c r="C1366" s="30">
        <f t="shared" si="85"/>
        <v>1441</v>
      </c>
      <c r="D1366" s="30">
        <f t="shared" si="86"/>
        <v>1.6188750000000001</v>
      </c>
    </row>
    <row r="1367" spans="1:4" x14ac:dyDescent="0.4">
      <c r="A1367" s="30">
        <f t="shared" si="87"/>
        <v>1420</v>
      </c>
      <c r="B1367" s="30">
        <f t="shared" si="84"/>
        <v>0.1388888888888889</v>
      </c>
      <c r="C1367" s="30">
        <f t="shared" si="85"/>
        <v>1442</v>
      </c>
      <c r="D1367" s="30">
        <f t="shared" si="86"/>
        <v>1.62</v>
      </c>
    </row>
    <row r="1368" spans="1:4" x14ac:dyDescent="0.4">
      <c r="A1368" s="30">
        <f t="shared" si="87"/>
        <v>1421</v>
      </c>
      <c r="B1368" s="30">
        <f t="shared" si="84"/>
        <v>0.13879250520471895</v>
      </c>
      <c r="C1368" s="30">
        <f t="shared" si="85"/>
        <v>1443</v>
      </c>
      <c r="D1368" s="30">
        <f t="shared" si="86"/>
        <v>1.6211250000000001</v>
      </c>
    </row>
    <row r="1369" spans="1:4" x14ac:dyDescent="0.4">
      <c r="A1369" s="30">
        <f t="shared" si="87"/>
        <v>1422</v>
      </c>
      <c r="B1369" s="30">
        <f t="shared" si="84"/>
        <v>0.13869625520110956</v>
      </c>
      <c r="C1369" s="30">
        <f t="shared" si="85"/>
        <v>1444</v>
      </c>
      <c r="D1369" s="30">
        <f t="shared" si="86"/>
        <v>1.6222500000000002</v>
      </c>
    </row>
    <row r="1370" spans="1:4" x14ac:dyDescent="0.4">
      <c r="A1370" s="30">
        <f t="shared" si="87"/>
        <v>1423</v>
      </c>
      <c r="B1370" s="30">
        <f t="shared" si="84"/>
        <v>0.13860013860013859</v>
      </c>
      <c r="C1370" s="30">
        <f t="shared" si="85"/>
        <v>1445</v>
      </c>
      <c r="D1370" s="30">
        <f t="shared" si="86"/>
        <v>1.6233750000000002</v>
      </c>
    </row>
    <row r="1371" spans="1:4" x14ac:dyDescent="0.4">
      <c r="A1371" s="30">
        <f t="shared" si="87"/>
        <v>1424</v>
      </c>
      <c r="B1371" s="30">
        <f t="shared" si="84"/>
        <v>0.13850415512465375</v>
      </c>
      <c r="C1371" s="30">
        <f t="shared" si="85"/>
        <v>1446</v>
      </c>
      <c r="D1371" s="30">
        <f t="shared" si="86"/>
        <v>1.6245000000000001</v>
      </c>
    </row>
    <row r="1372" spans="1:4" x14ac:dyDescent="0.4">
      <c r="A1372" s="30">
        <f t="shared" si="87"/>
        <v>1425</v>
      </c>
      <c r="B1372" s="30">
        <f t="shared" si="84"/>
        <v>0.13840830449826991</v>
      </c>
      <c r="C1372" s="30">
        <f t="shared" si="85"/>
        <v>1447</v>
      </c>
      <c r="D1372" s="30">
        <f t="shared" si="86"/>
        <v>1.6256250000000001</v>
      </c>
    </row>
    <row r="1373" spans="1:4" x14ac:dyDescent="0.4">
      <c r="A1373" s="30">
        <f t="shared" si="87"/>
        <v>1426</v>
      </c>
      <c r="B1373" s="30">
        <f t="shared" si="84"/>
        <v>0.13831258644536654</v>
      </c>
      <c r="C1373" s="30">
        <f t="shared" si="85"/>
        <v>1448</v>
      </c>
      <c r="D1373" s="30">
        <f t="shared" si="86"/>
        <v>1.6267500000000001</v>
      </c>
    </row>
    <row r="1374" spans="1:4" x14ac:dyDescent="0.4">
      <c r="A1374" s="30">
        <f t="shared" si="87"/>
        <v>1427</v>
      </c>
      <c r="B1374" s="30">
        <f t="shared" si="84"/>
        <v>0.138217000691085</v>
      </c>
      <c r="C1374" s="30">
        <f t="shared" si="85"/>
        <v>1449</v>
      </c>
      <c r="D1374" s="30">
        <f t="shared" si="86"/>
        <v>1.6278750000000002</v>
      </c>
    </row>
    <row r="1375" spans="1:4" x14ac:dyDescent="0.4">
      <c r="A1375" s="30">
        <f t="shared" si="87"/>
        <v>1428</v>
      </c>
      <c r="B1375" s="30">
        <f t="shared" si="84"/>
        <v>0.13812154696132597</v>
      </c>
      <c r="C1375" s="30">
        <f t="shared" si="85"/>
        <v>1450</v>
      </c>
      <c r="D1375" s="30">
        <f t="shared" si="86"/>
        <v>1.6290000000000002</v>
      </c>
    </row>
    <row r="1376" spans="1:4" x14ac:dyDescent="0.4">
      <c r="A1376" s="30">
        <f t="shared" si="87"/>
        <v>1429</v>
      </c>
      <c r="B1376" s="30">
        <f t="shared" si="84"/>
        <v>0.13802622498274672</v>
      </c>
      <c r="C1376" s="30">
        <f t="shared" si="85"/>
        <v>1451</v>
      </c>
      <c r="D1376" s="30">
        <f t="shared" si="86"/>
        <v>1.6301250000000003</v>
      </c>
    </row>
    <row r="1377" spans="1:4" x14ac:dyDescent="0.4">
      <c r="A1377" s="30">
        <f t="shared" si="87"/>
        <v>1430</v>
      </c>
      <c r="B1377" s="30">
        <f t="shared" si="84"/>
        <v>0.13793103448275862</v>
      </c>
      <c r="C1377" s="30">
        <f t="shared" si="85"/>
        <v>1452</v>
      </c>
      <c r="D1377" s="30">
        <f t="shared" si="86"/>
        <v>1.6312500000000003</v>
      </c>
    </row>
    <row r="1378" spans="1:4" x14ac:dyDescent="0.4">
      <c r="A1378" s="30">
        <f t="shared" si="87"/>
        <v>1431</v>
      </c>
      <c r="B1378" s="30">
        <f t="shared" si="84"/>
        <v>0.13783597518952448</v>
      </c>
      <c r="C1378" s="30">
        <f t="shared" si="85"/>
        <v>1453</v>
      </c>
      <c r="D1378" s="30">
        <f t="shared" si="86"/>
        <v>1.6323749999999999</v>
      </c>
    </row>
    <row r="1379" spans="1:4" x14ac:dyDescent="0.4">
      <c r="A1379" s="30">
        <f t="shared" si="87"/>
        <v>1432</v>
      </c>
      <c r="B1379" s="30">
        <f t="shared" si="84"/>
        <v>0.13774104683195593</v>
      </c>
      <c r="C1379" s="30">
        <f t="shared" si="85"/>
        <v>1454</v>
      </c>
      <c r="D1379" s="30">
        <f t="shared" si="86"/>
        <v>1.6335</v>
      </c>
    </row>
    <row r="1380" spans="1:4" x14ac:dyDescent="0.4">
      <c r="A1380" s="30">
        <f t="shared" si="87"/>
        <v>1433</v>
      </c>
      <c r="B1380" s="30">
        <f t="shared" si="84"/>
        <v>0.13764624913971094</v>
      </c>
      <c r="C1380" s="30">
        <f t="shared" si="85"/>
        <v>1455</v>
      </c>
      <c r="D1380" s="30">
        <f t="shared" si="86"/>
        <v>1.634625</v>
      </c>
    </row>
    <row r="1381" spans="1:4" x14ac:dyDescent="0.4">
      <c r="A1381" s="30">
        <f t="shared" si="87"/>
        <v>1434</v>
      </c>
      <c r="B1381" s="30">
        <f t="shared" si="84"/>
        <v>0.13755158184319119</v>
      </c>
      <c r="C1381" s="30">
        <f t="shared" si="85"/>
        <v>1456</v>
      </c>
      <c r="D1381" s="30">
        <f t="shared" si="86"/>
        <v>1.63575</v>
      </c>
    </row>
    <row r="1382" spans="1:4" x14ac:dyDescent="0.4">
      <c r="A1382" s="30">
        <f t="shared" si="87"/>
        <v>1435</v>
      </c>
      <c r="B1382" s="30">
        <f t="shared" si="84"/>
        <v>0.13745704467353953</v>
      </c>
      <c r="C1382" s="30">
        <f t="shared" si="85"/>
        <v>1457</v>
      </c>
      <c r="D1382" s="30">
        <f t="shared" si="86"/>
        <v>1.6368749999999999</v>
      </c>
    </row>
    <row r="1383" spans="1:4" x14ac:dyDescent="0.4">
      <c r="A1383" s="30">
        <f t="shared" si="87"/>
        <v>1436</v>
      </c>
      <c r="B1383" s="30">
        <f t="shared" si="84"/>
        <v>0.13736263736263737</v>
      </c>
      <c r="C1383" s="30">
        <f t="shared" si="85"/>
        <v>1458</v>
      </c>
      <c r="D1383" s="30">
        <f t="shared" si="86"/>
        <v>1.6379999999999999</v>
      </c>
    </row>
    <row r="1384" spans="1:4" x14ac:dyDescent="0.4">
      <c r="A1384" s="30">
        <f t="shared" si="87"/>
        <v>1437</v>
      </c>
      <c r="B1384" s="30">
        <f t="shared" si="84"/>
        <v>0.13726835964310227</v>
      </c>
      <c r="C1384" s="30">
        <f t="shared" si="85"/>
        <v>1459</v>
      </c>
      <c r="D1384" s="30">
        <f t="shared" si="86"/>
        <v>1.6391249999999999</v>
      </c>
    </row>
    <row r="1385" spans="1:4" x14ac:dyDescent="0.4">
      <c r="A1385" s="30">
        <f t="shared" si="87"/>
        <v>1438</v>
      </c>
      <c r="B1385" s="30">
        <f t="shared" si="84"/>
        <v>0.13717421124828533</v>
      </c>
      <c r="C1385" s="30">
        <f t="shared" si="85"/>
        <v>1460</v>
      </c>
      <c r="D1385" s="30">
        <f t="shared" si="86"/>
        <v>1.64025</v>
      </c>
    </row>
    <row r="1386" spans="1:4" x14ac:dyDescent="0.4">
      <c r="A1386" s="30">
        <f t="shared" si="87"/>
        <v>1439</v>
      </c>
      <c r="B1386" s="30">
        <f t="shared" si="84"/>
        <v>0.13708019191226867</v>
      </c>
      <c r="C1386" s="30">
        <f t="shared" si="85"/>
        <v>1461</v>
      </c>
      <c r="D1386" s="30">
        <f t="shared" si="86"/>
        <v>1.6413750000000003</v>
      </c>
    </row>
    <row r="1387" spans="1:4" x14ac:dyDescent="0.4">
      <c r="A1387" s="30">
        <f t="shared" si="87"/>
        <v>1440</v>
      </c>
      <c r="B1387" s="30">
        <f t="shared" si="84"/>
        <v>0.13698630136986301</v>
      </c>
      <c r="C1387" s="30">
        <f t="shared" si="85"/>
        <v>1462</v>
      </c>
      <c r="D1387" s="30">
        <f t="shared" si="86"/>
        <v>1.6425000000000001</v>
      </c>
    </row>
    <row r="1388" spans="1:4" x14ac:dyDescent="0.4">
      <c r="A1388" s="30">
        <f t="shared" si="87"/>
        <v>1441</v>
      </c>
      <c r="B1388" s="30">
        <f t="shared" si="84"/>
        <v>0.13689253935660506</v>
      </c>
      <c r="C1388" s="30">
        <f t="shared" si="85"/>
        <v>1463</v>
      </c>
      <c r="D1388" s="30">
        <f t="shared" si="86"/>
        <v>1.6436250000000001</v>
      </c>
    </row>
    <row r="1389" spans="1:4" x14ac:dyDescent="0.4">
      <c r="A1389" s="30">
        <f t="shared" si="87"/>
        <v>1442</v>
      </c>
      <c r="B1389" s="30">
        <f t="shared" si="84"/>
        <v>0.13679890560875513</v>
      </c>
      <c r="C1389" s="30">
        <f t="shared" si="85"/>
        <v>1464</v>
      </c>
      <c r="D1389" s="30">
        <f t="shared" si="86"/>
        <v>1.6447500000000002</v>
      </c>
    </row>
    <row r="1390" spans="1:4" x14ac:dyDescent="0.4">
      <c r="A1390" s="30">
        <f t="shared" si="87"/>
        <v>1443</v>
      </c>
      <c r="B1390" s="30">
        <f t="shared" si="84"/>
        <v>0.13670539986329461</v>
      </c>
      <c r="C1390" s="30">
        <f t="shared" si="85"/>
        <v>1465</v>
      </c>
      <c r="D1390" s="30">
        <f t="shared" si="86"/>
        <v>1.645875</v>
      </c>
    </row>
    <row r="1391" spans="1:4" x14ac:dyDescent="0.4">
      <c r="A1391" s="30">
        <f t="shared" si="87"/>
        <v>1444</v>
      </c>
      <c r="B1391" s="30">
        <f t="shared" si="84"/>
        <v>0.13661202185792351</v>
      </c>
      <c r="C1391" s="30">
        <f t="shared" si="85"/>
        <v>1466</v>
      </c>
      <c r="D1391" s="30">
        <f t="shared" si="86"/>
        <v>1.647</v>
      </c>
    </row>
    <row r="1392" spans="1:4" x14ac:dyDescent="0.4">
      <c r="A1392" s="30">
        <f t="shared" si="87"/>
        <v>1445</v>
      </c>
      <c r="B1392" s="30">
        <f t="shared" si="84"/>
        <v>0.13651877133105803</v>
      </c>
      <c r="C1392" s="30">
        <f t="shared" si="85"/>
        <v>1467</v>
      </c>
      <c r="D1392" s="30">
        <f t="shared" si="86"/>
        <v>1.6481250000000001</v>
      </c>
    </row>
    <row r="1393" spans="1:4" x14ac:dyDescent="0.4">
      <c r="A1393" s="30">
        <f t="shared" si="87"/>
        <v>1446</v>
      </c>
      <c r="B1393" s="30">
        <f t="shared" si="84"/>
        <v>0.13642564802182811</v>
      </c>
      <c r="C1393" s="30">
        <f t="shared" si="85"/>
        <v>1468</v>
      </c>
      <c r="D1393" s="30">
        <f t="shared" si="86"/>
        <v>1.6492500000000001</v>
      </c>
    </row>
    <row r="1394" spans="1:4" x14ac:dyDescent="0.4">
      <c r="A1394" s="30">
        <f t="shared" si="87"/>
        <v>1447</v>
      </c>
      <c r="B1394" s="30">
        <f t="shared" si="84"/>
        <v>0.13633265167007499</v>
      </c>
      <c r="C1394" s="30">
        <f t="shared" si="85"/>
        <v>1469</v>
      </c>
      <c r="D1394" s="30">
        <f t="shared" si="86"/>
        <v>1.6503750000000001</v>
      </c>
    </row>
    <row r="1395" spans="1:4" x14ac:dyDescent="0.4">
      <c r="A1395" s="30">
        <f t="shared" si="87"/>
        <v>1448</v>
      </c>
      <c r="B1395" s="30">
        <f t="shared" si="84"/>
        <v>0.13623978201634879</v>
      </c>
      <c r="C1395" s="30">
        <f t="shared" si="85"/>
        <v>1470</v>
      </c>
      <c r="D1395" s="30">
        <f t="shared" si="86"/>
        <v>1.6514999999999997</v>
      </c>
    </row>
    <row r="1396" spans="1:4" x14ac:dyDescent="0.4">
      <c r="A1396" s="30">
        <f t="shared" si="87"/>
        <v>1449</v>
      </c>
      <c r="B1396" s="30">
        <f t="shared" si="84"/>
        <v>0.13614703880190607</v>
      </c>
      <c r="C1396" s="30">
        <f t="shared" si="85"/>
        <v>1471</v>
      </c>
      <c r="D1396" s="30">
        <f t="shared" si="86"/>
        <v>1.6526249999999998</v>
      </c>
    </row>
    <row r="1397" spans="1:4" x14ac:dyDescent="0.4">
      <c r="A1397" s="30">
        <f t="shared" si="87"/>
        <v>1450</v>
      </c>
      <c r="B1397" s="30">
        <f t="shared" si="84"/>
        <v>0.1360544217687075</v>
      </c>
      <c r="C1397" s="30">
        <f t="shared" si="85"/>
        <v>1472</v>
      </c>
      <c r="D1397" s="30">
        <f t="shared" si="86"/>
        <v>1.6537499999999998</v>
      </c>
    </row>
    <row r="1398" spans="1:4" x14ac:dyDescent="0.4">
      <c r="A1398" s="30">
        <f t="shared" si="87"/>
        <v>1451</v>
      </c>
      <c r="B1398" s="30">
        <f t="shared" si="84"/>
        <v>0.13596193065941536</v>
      </c>
      <c r="C1398" s="30">
        <f t="shared" si="85"/>
        <v>1473</v>
      </c>
      <c r="D1398" s="30">
        <f t="shared" si="86"/>
        <v>1.6548750000000003</v>
      </c>
    </row>
    <row r="1399" spans="1:4" x14ac:dyDescent="0.4">
      <c r="A1399" s="30">
        <f t="shared" si="87"/>
        <v>1452</v>
      </c>
      <c r="B1399" s="30">
        <f t="shared" si="84"/>
        <v>0.1358695652173913</v>
      </c>
      <c r="C1399" s="30">
        <f t="shared" si="85"/>
        <v>1474</v>
      </c>
      <c r="D1399" s="30">
        <f t="shared" si="86"/>
        <v>1.6560000000000004</v>
      </c>
    </row>
    <row r="1400" spans="1:4" x14ac:dyDescent="0.4">
      <c r="A1400" s="30">
        <f t="shared" si="87"/>
        <v>1453</v>
      </c>
      <c r="B1400" s="30">
        <f t="shared" si="84"/>
        <v>0.13577732518669383</v>
      </c>
      <c r="C1400" s="30">
        <f t="shared" si="85"/>
        <v>1475</v>
      </c>
      <c r="D1400" s="30">
        <f t="shared" si="86"/>
        <v>1.657125</v>
      </c>
    </row>
    <row r="1401" spans="1:4" x14ac:dyDescent="0.4">
      <c r="A1401" s="30">
        <f t="shared" si="87"/>
        <v>1454</v>
      </c>
      <c r="B1401" s="30">
        <f t="shared" si="84"/>
        <v>0.13568521031207598</v>
      </c>
      <c r="C1401" s="30">
        <f t="shared" si="85"/>
        <v>1476</v>
      </c>
      <c r="D1401" s="30">
        <f t="shared" si="86"/>
        <v>1.65825</v>
      </c>
    </row>
    <row r="1402" spans="1:4" x14ac:dyDescent="0.4">
      <c r="A1402" s="30">
        <f t="shared" si="87"/>
        <v>1455</v>
      </c>
      <c r="B1402" s="30">
        <f t="shared" si="84"/>
        <v>0.13559322033898305</v>
      </c>
      <c r="C1402" s="30">
        <f t="shared" si="85"/>
        <v>1477</v>
      </c>
      <c r="D1402" s="30">
        <f t="shared" si="86"/>
        <v>1.659375</v>
      </c>
    </row>
    <row r="1403" spans="1:4" x14ac:dyDescent="0.4">
      <c r="A1403" s="30">
        <f t="shared" si="87"/>
        <v>1456</v>
      </c>
      <c r="B1403" s="30">
        <f t="shared" si="84"/>
        <v>0.13550135501355012</v>
      </c>
      <c r="C1403" s="30">
        <f t="shared" si="85"/>
        <v>1478</v>
      </c>
      <c r="D1403" s="30">
        <f t="shared" si="86"/>
        <v>1.6605000000000001</v>
      </c>
    </row>
    <row r="1404" spans="1:4" x14ac:dyDescent="0.4">
      <c r="A1404" s="30">
        <f t="shared" si="87"/>
        <v>1457</v>
      </c>
      <c r="B1404" s="30">
        <f t="shared" si="84"/>
        <v>0.13540961408259986</v>
      </c>
      <c r="C1404" s="30">
        <f t="shared" si="85"/>
        <v>1479</v>
      </c>
      <c r="D1404" s="30">
        <f t="shared" si="86"/>
        <v>1.6616250000000001</v>
      </c>
    </row>
    <row r="1405" spans="1:4" x14ac:dyDescent="0.4">
      <c r="A1405" s="30">
        <f t="shared" si="87"/>
        <v>1458</v>
      </c>
      <c r="B1405" s="30">
        <f t="shared" si="84"/>
        <v>0.13531799729364005</v>
      </c>
      <c r="C1405" s="30">
        <f t="shared" si="85"/>
        <v>1480</v>
      </c>
      <c r="D1405" s="30">
        <f t="shared" si="86"/>
        <v>1.6627500000000002</v>
      </c>
    </row>
    <row r="1406" spans="1:4" x14ac:dyDescent="0.4">
      <c r="A1406" s="30">
        <f t="shared" si="87"/>
        <v>1459</v>
      </c>
      <c r="B1406" s="30">
        <f t="shared" si="84"/>
        <v>0.13522650439486139</v>
      </c>
      <c r="C1406" s="30">
        <f t="shared" si="85"/>
        <v>1481</v>
      </c>
      <c r="D1406" s="30">
        <f t="shared" si="86"/>
        <v>1.663875</v>
      </c>
    </row>
    <row r="1407" spans="1:4" x14ac:dyDescent="0.4">
      <c r="A1407" s="30">
        <f t="shared" si="87"/>
        <v>1460</v>
      </c>
      <c r="B1407" s="30">
        <f t="shared" si="84"/>
        <v>0.13513513513513514</v>
      </c>
      <c r="C1407" s="30">
        <f t="shared" si="85"/>
        <v>1482</v>
      </c>
      <c r="D1407" s="30">
        <f t="shared" si="86"/>
        <v>1.665</v>
      </c>
    </row>
    <row r="1408" spans="1:4" x14ac:dyDescent="0.4">
      <c r="A1408" s="30">
        <f t="shared" si="87"/>
        <v>1461</v>
      </c>
      <c r="B1408" s="30">
        <f t="shared" si="84"/>
        <v>0.13504388926401081</v>
      </c>
      <c r="C1408" s="30">
        <f t="shared" si="85"/>
        <v>1483</v>
      </c>
      <c r="D1408" s="30">
        <f t="shared" si="86"/>
        <v>1.6661250000000001</v>
      </c>
    </row>
    <row r="1409" spans="1:4" x14ac:dyDescent="0.4">
      <c r="A1409" s="30">
        <f t="shared" si="87"/>
        <v>1462</v>
      </c>
      <c r="B1409" s="30">
        <f t="shared" si="84"/>
        <v>0.1349527665317139</v>
      </c>
      <c r="C1409" s="30">
        <f t="shared" si="85"/>
        <v>1484</v>
      </c>
      <c r="D1409" s="30">
        <f t="shared" si="86"/>
        <v>1.6672500000000001</v>
      </c>
    </row>
    <row r="1410" spans="1:4" x14ac:dyDescent="0.4">
      <c r="A1410" s="30">
        <f t="shared" si="87"/>
        <v>1463</v>
      </c>
      <c r="B1410" s="30">
        <f t="shared" si="84"/>
        <v>0.13486176668914363</v>
      </c>
      <c r="C1410" s="30">
        <f t="shared" si="85"/>
        <v>1485</v>
      </c>
      <c r="D1410" s="30">
        <f t="shared" si="86"/>
        <v>1.6683750000000002</v>
      </c>
    </row>
    <row r="1411" spans="1:4" x14ac:dyDescent="0.4">
      <c r="A1411" s="30">
        <f t="shared" si="87"/>
        <v>1464</v>
      </c>
      <c r="B1411" s="30">
        <f t="shared" si="84"/>
        <v>0.13477088948787061</v>
      </c>
      <c r="C1411" s="30">
        <f t="shared" si="85"/>
        <v>1486</v>
      </c>
      <c r="D1411" s="30">
        <f t="shared" si="86"/>
        <v>1.6695000000000002</v>
      </c>
    </row>
    <row r="1412" spans="1:4" x14ac:dyDescent="0.4">
      <c r="A1412" s="30">
        <f t="shared" si="87"/>
        <v>1465</v>
      </c>
      <c r="B1412" s="30">
        <f t="shared" si="84"/>
        <v>0.13468013468013468</v>
      </c>
      <c r="C1412" s="30">
        <f t="shared" si="85"/>
        <v>1487</v>
      </c>
      <c r="D1412" s="30">
        <f t="shared" si="86"/>
        <v>1.6706250000000002</v>
      </c>
    </row>
    <row r="1413" spans="1:4" x14ac:dyDescent="0.4">
      <c r="A1413" s="30">
        <f t="shared" si="87"/>
        <v>1466</v>
      </c>
      <c r="B1413" s="30">
        <f t="shared" si="84"/>
        <v>0.13458950201884254</v>
      </c>
      <c r="C1413" s="30">
        <f t="shared" si="85"/>
        <v>1488</v>
      </c>
      <c r="D1413" s="30">
        <f t="shared" si="86"/>
        <v>1.6717500000000001</v>
      </c>
    </row>
    <row r="1414" spans="1:4" x14ac:dyDescent="0.4">
      <c r="A1414" s="30">
        <f t="shared" si="87"/>
        <v>1467</v>
      </c>
      <c r="B1414" s="30">
        <f t="shared" si="84"/>
        <v>0.13449899125756556</v>
      </c>
      <c r="C1414" s="30">
        <f t="shared" si="85"/>
        <v>1489</v>
      </c>
      <c r="D1414" s="30">
        <f t="shared" si="86"/>
        <v>1.6728750000000001</v>
      </c>
    </row>
    <row r="1415" spans="1:4" x14ac:dyDescent="0.4">
      <c r="A1415" s="30">
        <f t="shared" si="87"/>
        <v>1468</v>
      </c>
      <c r="B1415" s="30">
        <f t="shared" si="84"/>
        <v>0.13440860215053763</v>
      </c>
      <c r="C1415" s="30">
        <f t="shared" si="85"/>
        <v>1490</v>
      </c>
      <c r="D1415" s="30">
        <f t="shared" si="86"/>
        <v>1.6740000000000002</v>
      </c>
    </row>
    <row r="1416" spans="1:4" x14ac:dyDescent="0.4">
      <c r="A1416" s="30">
        <f t="shared" si="87"/>
        <v>1469</v>
      </c>
      <c r="B1416" s="30">
        <f t="shared" si="84"/>
        <v>0.13431833445265279</v>
      </c>
      <c r="C1416" s="30">
        <f t="shared" si="85"/>
        <v>1491</v>
      </c>
      <c r="D1416" s="30">
        <f t="shared" si="86"/>
        <v>1.6751250000000002</v>
      </c>
    </row>
    <row r="1417" spans="1:4" x14ac:dyDescent="0.4">
      <c r="A1417" s="30">
        <f t="shared" si="87"/>
        <v>1470</v>
      </c>
      <c r="B1417" s="30">
        <f t="shared" si="84"/>
        <v>0.13422818791946309</v>
      </c>
      <c r="C1417" s="30">
        <f t="shared" si="85"/>
        <v>1492</v>
      </c>
      <c r="D1417" s="30">
        <f t="shared" si="86"/>
        <v>1.6762500000000002</v>
      </c>
    </row>
    <row r="1418" spans="1:4" x14ac:dyDescent="0.4">
      <c r="A1418" s="30">
        <f t="shared" si="87"/>
        <v>1471</v>
      </c>
      <c r="B1418" s="30">
        <f t="shared" si="84"/>
        <v>0.1341381623071764</v>
      </c>
      <c r="C1418" s="30">
        <f t="shared" si="85"/>
        <v>1493</v>
      </c>
      <c r="D1418" s="30">
        <f t="shared" si="86"/>
        <v>1.6773749999999998</v>
      </c>
    </row>
    <row r="1419" spans="1:4" x14ac:dyDescent="0.4">
      <c r="A1419" s="30">
        <f t="shared" si="87"/>
        <v>1472</v>
      </c>
      <c r="B1419" s="30">
        <f t="shared" ref="B1419:B1482" si="88">$B$4/8/(A1419+$B$2)</f>
        <v>0.13404825737265416</v>
      </c>
      <c r="C1419" s="30">
        <f t="shared" si="85"/>
        <v>1494</v>
      </c>
      <c r="D1419" s="30">
        <f t="shared" si="86"/>
        <v>1.6784999999999999</v>
      </c>
    </row>
    <row r="1420" spans="1:4" x14ac:dyDescent="0.4">
      <c r="A1420" s="30">
        <f t="shared" si="87"/>
        <v>1473</v>
      </c>
      <c r="B1420" s="30">
        <f t="shared" si="88"/>
        <v>0.13395847287340926</v>
      </c>
      <c r="C1420" s="30">
        <f t="shared" ref="C1420:C1483" si="89">A1420+$E$6</f>
        <v>1495</v>
      </c>
      <c r="D1420" s="30">
        <f t="shared" ref="D1420:D1483" si="90">$H$3/B1420/CEILING(C1420/$H$2,1)</f>
        <v>1.6796249999999999</v>
      </c>
    </row>
    <row r="1421" spans="1:4" x14ac:dyDescent="0.4">
      <c r="A1421" s="30">
        <f t="shared" ref="A1421:A1484" si="91">A1420+$B$3</f>
        <v>1474</v>
      </c>
      <c r="B1421" s="30">
        <f t="shared" si="88"/>
        <v>0.13386880856760375</v>
      </c>
      <c r="C1421" s="30">
        <f t="shared" si="89"/>
        <v>1496</v>
      </c>
      <c r="D1421" s="30">
        <f t="shared" si="90"/>
        <v>1.68075</v>
      </c>
    </row>
    <row r="1422" spans="1:4" x14ac:dyDescent="0.4">
      <c r="A1422" s="30">
        <f t="shared" si="91"/>
        <v>1475</v>
      </c>
      <c r="B1422" s="30">
        <f t="shared" si="88"/>
        <v>0.13377926421404682</v>
      </c>
      <c r="C1422" s="30">
        <f t="shared" si="89"/>
        <v>1497</v>
      </c>
      <c r="D1422" s="30">
        <f t="shared" si="90"/>
        <v>1.681875</v>
      </c>
    </row>
    <row r="1423" spans="1:4" x14ac:dyDescent="0.4">
      <c r="A1423" s="30">
        <f t="shared" si="91"/>
        <v>1476</v>
      </c>
      <c r="B1423" s="30">
        <f t="shared" si="88"/>
        <v>0.13368983957219252</v>
      </c>
      <c r="C1423" s="30">
        <f t="shared" si="89"/>
        <v>1498</v>
      </c>
      <c r="D1423" s="30">
        <f t="shared" si="90"/>
        <v>1.6830000000000001</v>
      </c>
    </row>
    <row r="1424" spans="1:4" x14ac:dyDescent="0.4">
      <c r="A1424" s="30">
        <f t="shared" si="91"/>
        <v>1477</v>
      </c>
      <c r="B1424" s="30">
        <f t="shared" si="88"/>
        <v>0.13360053440213762</v>
      </c>
      <c r="C1424" s="30">
        <f t="shared" si="89"/>
        <v>1499</v>
      </c>
      <c r="D1424" s="30">
        <f t="shared" si="90"/>
        <v>1.6841249999999999</v>
      </c>
    </row>
    <row r="1425" spans="1:4" x14ac:dyDescent="0.4">
      <c r="A1425" s="30">
        <f t="shared" si="91"/>
        <v>1478</v>
      </c>
      <c r="B1425" s="30">
        <f t="shared" si="88"/>
        <v>0.13351134846461948</v>
      </c>
      <c r="C1425" s="30">
        <f t="shared" si="89"/>
        <v>1500</v>
      </c>
      <c r="D1425" s="30">
        <f t="shared" si="90"/>
        <v>1.6852500000000001</v>
      </c>
    </row>
    <row r="1426" spans="1:4" x14ac:dyDescent="0.4">
      <c r="A1426" s="30">
        <f t="shared" si="91"/>
        <v>1479</v>
      </c>
      <c r="B1426" s="30">
        <f t="shared" si="88"/>
        <v>0.13342228152101401</v>
      </c>
      <c r="C1426" s="30">
        <f t="shared" si="89"/>
        <v>1501</v>
      </c>
      <c r="D1426" s="30">
        <f t="shared" si="90"/>
        <v>1.686375</v>
      </c>
    </row>
    <row r="1427" spans="1:4" x14ac:dyDescent="0.4">
      <c r="A1427" s="30">
        <f t="shared" si="91"/>
        <v>1480</v>
      </c>
      <c r="B1427" s="30">
        <f t="shared" si="88"/>
        <v>0.13333333333333333</v>
      </c>
      <c r="C1427" s="30">
        <f t="shared" si="89"/>
        <v>1502</v>
      </c>
      <c r="D1427" s="30">
        <f t="shared" si="90"/>
        <v>1.6875</v>
      </c>
    </row>
    <row r="1428" spans="1:4" x14ac:dyDescent="0.4">
      <c r="A1428" s="30">
        <f t="shared" si="91"/>
        <v>1481</v>
      </c>
      <c r="B1428" s="30">
        <f t="shared" si="88"/>
        <v>0.13324450366422386</v>
      </c>
      <c r="C1428" s="30">
        <f t="shared" si="89"/>
        <v>1503</v>
      </c>
      <c r="D1428" s="30">
        <f t="shared" si="90"/>
        <v>1.688625</v>
      </c>
    </row>
    <row r="1429" spans="1:4" x14ac:dyDescent="0.4">
      <c r="A1429" s="30">
        <f t="shared" si="91"/>
        <v>1482</v>
      </c>
      <c r="B1429" s="30">
        <f t="shared" si="88"/>
        <v>0.13315579227696406</v>
      </c>
      <c r="C1429" s="30">
        <f t="shared" si="89"/>
        <v>1504</v>
      </c>
      <c r="D1429" s="30">
        <f t="shared" si="90"/>
        <v>1.6897500000000001</v>
      </c>
    </row>
    <row r="1430" spans="1:4" x14ac:dyDescent="0.4">
      <c r="A1430" s="30">
        <f t="shared" si="91"/>
        <v>1483</v>
      </c>
      <c r="B1430" s="30">
        <f t="shared" si="88"/>
        <v>0.1330671989354624</v>
      </c>
      <c r="C1430" s="30">
        <f t="shared" si="89"/>
        <v>1505</v>
      </c>
      <c r="D1430" s="30">
        <f t="shared" si="90"/>
        <v>1.6908750000000001</v>
      </c>
    </row>
    <row r="1431" spans="1:4" x14ac:dyDescent="0.4">
      <c r="A1431" s="30">
        <f t="shared" si="91"/>
        <v>1484</v>
      </c>
      <c r="B1431" s="30">
        <f t="shared" si="88"/>
        <v>0.13297872340425532</v>
      </c>
      <c r="C1431" s="30">
        <f t="shared" si="89"/>
        <v>1506</v>
      </c>
      <c r="D1431" s="30">
        <f t="shared" si="90"/>
        <v>1.6920000000000002</v>
      </c>
    </row>
    <row r="1432" spans="1:4" x14ac:dyDescent="0.4">
      <c r="A1432" s="30">
        <f t="shared" si="91"/>
        <v>1485</v>
      </c>
      <c r="B1432" s="30">
        <f t="shared" si="88"/>
        <v>0.13289036544850499</v>
      </c>
      <c r="C1432" s="30">
        <f t="shared" si="89"/>
        <v>1507</v>
      </c>
      <c r="D1432" s="30">
        <f t="shared" si="90"/>
        <v>1.693125</v>
      </c>
    </row>
    <row r="1433" spans="1:4" x14ac:dyDescent="0.4">
      <c r="A1433" s="30">
        <f t="shared" si="91"/>
        <v>1486</v>
      </c>
      <c r="B1433" s="30">
        <f t="shared" si="88"/>
        <v>0.13280212483399734</v>
      </c>
      <c r="C1433" s="30">
        <f t="shared" si="89"/>
        <v>1508</v>
      </c>
      <c r="D1433" s="30">
        <f t="shared" si="90"/>
        <v>1.6942500000000003</v>
      </c>
    </row>
    <row r="1434" spans="1:4" x14ac:dyDescent="0.4">
      <c r="A1434" s="30">
        <f t="shared" si="91"/>
        <v>1487</v>
      </c>
      <c r="B1434" s="30">
        <f t="shared" si="88"/>
        <v>0.13271400132714001</v>
      </c>
      <c r="C1434" s="30">
        <f t="shared" si="89"/>
        <v>1509</v>
      </c>
      <c r="D1434" s="30">
        <f t="shared" si="90"/>
        <v>1.6953750000000003</v>
      </c>
    </row>
    <row r="1435" spans="1:4" x14ac:dyDescent="0.4">
      <c r="A1435" s="30">
        <f t="shared" si="91"/>
        <v>1488</v>
      </c>
      <c r="B1435" s="30">
        <f t="shared" si="88"/>
        <v>0.13262599469496023</v>
      </c>
      <c r="C1435" s="30">
        <f t="shared" si="89"/>
        <v>1510</v>
      </c>
      <c r="D1435" s="30">
        <f t="shared" si="90"/>
        <v>1.6965000000000001</v>
      </c>
    </row>
    <row r="1436" spans="1:4" x14ac:dyDescent="0.4">
      <c r="A1436" s="30">
        <f t="shared" si="91"/>
        <v>1489</v>
      </c>
      <c r="B1436" s="30">
        <f t="shared" si="88"/>
        <v>0.13253810470510272</v>
      </c>
      <c r="C1436" s="30">
        <f t="shared" si="89"/>
        <v>1511</v>
      </c>
      <c r="D1436" s="30">
        <f t="shared" si="90"/>
        <v>1.6976250000000002</v>
      </c>
    </row>
    <row r="1437" spans="1:4" x14ac:dyDescent="0.4">
      <c r="A1437" s="30">
        <f t="shared" si="91"/>
        <v>1490</v>
      </c>
      <c r="B1437" s="30">
        <f t="shared" si="88"/>
        <v>0.13245033112582782</v>
      </c>
      <c r="C1437" s="30">
        <f t="shared" si="89"/>
        <v>1512</v>
      </c>
      <c r="D1437" s="30">
        <f t="shared" si="90"/>
        <v>1.6987499999999998</v>
      </c>
    </row>
    <row r="1438" spans="1:4" x14ac:dyDescent="0.4">
      <c r="A1438" s="30">
        <f t="shared" si="91"/>
        <v>1491</v>
      </c>
      <c r="B1438" s="30">
        <f t="shared" si="88"/>
        <v>0.13236267372600927</v>
      </c>
      <c r="C1438" s="30">
        <f t="shared" si="89"/>
        <v>1513</v>
      </c>
      <c r="D1438" s="30">
        <f t="shared" si="90"/>
        <v>1.6998750000000002</v>
      </c>
    </row>
    <row r="1439" spans="1:4" x14ac:dyDescent="0.4">
      <c r="A1439" s="30">
        <f t="shared" si="91"/>
        <v>1492</v>
      </c>
      <c r="B1439" s="30">
        <f t="shared" si="88"/>
        <v>0.13227513227513227</v>
      </c>
      <c r="C1439" s="30">
        <f t="shared" si="89"/>
        <v>1514</v>
      </c>
      <c r="D1439" s="30">
        <f t="shared" si="90"/>
        <v>1.7010000000000003</v>
      </c>
    </row>
    <row r="1440" spans="1:4" x14ac:dyDescent="0.4">
      <c r="A1440" s="30">
        <f t="shared" si="91"/>
        <v>1493</v>
      </c>
      <c r="B1440" s="30">
        <f t="shared" si="88"/>
        <v>0.13218770654329148</v>
      </c>
      <c r="C1440" s="30">
        <f t="shared" si="89"/>
        <v>1515</v>
      </c>
      <c r="D1440" s="30">
        <f t="shared" si="90"/>
        <v>1.7021249999999999</v>
      </c>
    </row>
    <row r="1441" spans="1:4" x14ac:dyDescent="0.4">
      <c r="A1441" s="30">
        <f t="shared" si="91"/>
        <v>1494</v>
      </c>
      <c r="B1441" s="30">
        <f t="shared" si="88"/>
        <v>0.13210039630118892</v>
      </c>
      <c r="C1441" s="30">
        <f t="shared" si="89"/>
        <v>1516</v>
      </c>
      <c r="D1441" s="30">
        <f t="shared" si="90"/>
        <v>1.7032499999999999</v>
      </c>
    </row>
    <row r="1442" spans="1:4" x14ac:dyDescent="0.4">
      <c r="A1442" s="30">
        <f t="shared" si="91"/>
        <v>1495</v>
      </c>
      <c r="B1442" s="30">
        <f t="shared" si="88"/>
        <v>0.132013201320132</v>
      </c>
      <c r="C1442" s="30">
        <f t="shared" si="89"/>
        <v>1517</v>
      </c>
      <c r="D1442" s="30">
        <f t="shared" si="90"/>
        <v>1.7043750000000004</v>
      </c>
    </row>
    <row r="1443" spans="1:4" x14ac:dyDescent="0.4">
      <c r="A1443" s="30">
        <f t="shared" si="91"/>
        <v>1496</v>
      </c>
      <c r="B1443" s="30">
        <f t="shared" si="88"/>
        <v>0.13192612137203166</v>
      </c>
      <c r="C1443" s="30">
        <f t="shared" si="89"/>
        <v>1518</v>
      </c>
      <c r="D1443" s="30">
        <f t="shared" si="90"/>
        <v>1.7055</v>
      </c>
    </row>
    <row r="1444" spans="1:4" x14ac:dyDescent="0.4">
      <c r="A1444" s="30">
        <f t="shared" si="91"/>
        <v>1497</v>
      </c>
      <c r="B1444" s="30">
        <f t="shared" si="88"/>
        <v>0.13183915622940012</v>
      </c>
      <c r="C1444" s="30">
        <f t="shared" si="89"/>
        <v>1519</v>
      </c>
      <c r="D1444" s="30">
        <f t="shared" si="90"/>
        <v>1.7066250000000001</v>
      </c>
    </row>
    <row r="1445" spans="1:4" x14ac:dyDescent="0.4">
      <c r="A1445" s="30">
        <f t="shared" si="91"/>
        <v>1498</v>
      </c>
      <c r="B1445" s="30">
        <f t="shared" si="88"/>
        <v>0.13175230566534915</v>
      </c>
      <c r="C1445" s="30">
        <f t="shared" si="89"/>
        <v>1520</v>
      </c>
      <c r="D1445" s="30">
        <f t="shared" si="90"/>
        <v>1.7077499999999999</v>
      </c>
    </row>
    <row r="1446" spans="1:4" x14ac:dyDescent="0.4">
      <c r="A1446" s="30">
        <f t="shared" si="91"/>
        <v>1499</v>
      </c>
      <c r="B1446" s="30">
        <f t="shared" si="88"/>
        <v>0.1316655694535879</v>
      </c>
      <c r="C1446" s="30">
        <f t="shared" si="89"/>
        <v>1521</v>
      </c>
      <c r="D1446" s="30">
        <f t="shared" si="90"/>
        <v>1.7088749999999999</v>
      </c>
    </row>
    <row r="1447" spans="1:4" x14ac:dyDescent="0.4">
      <c r="A1447" s="30">
        <f t="shared" si="91"/>
        <v>1500</v>
      </c>
      <c r="B1447" s="30">
        <f t="shared" si="88"/>
        <v>0.13157894736842105</v>
      </c>
      <c r="C1447" s="30">
        <f t="shared" si="89"/>
        <v>1522</v>
      </c>
      <c r="D1447" s="30">
        <f t="shared" si="90"/>
        <v>1.7100000000000002</v>
      </c>
    </row>
    <row r="1448" spans="1:4" x14ac:dyDescent="0.4">
      <c r="A1448" s="30">
        <f t="shared" si="91"/>
        <v>1501</v>
      </c>
      <c r="B1448" s="30">
        <f t="shared" si="88"/>
        <v>0.13149243918474687</v>
      </c>
      <c r="C1448" s="30">
        <f t="shared" si="89"/>
        <v>1523</v>
      </c>
      <c r="D1448" s="30">
        <f t="shared" si="90"/>
        <v>1.7111250000000002</v>
      </c>
    </row>
    <row r="1449" spans="1:4" x14ac:dyDescent="0.4">
      <c r="A1449" s="30">
        <f t="shared" si="91"/>
        <v>1502</v>
      </c>
      <c r="B1449" s="30">
        <f t="shared" si="88"/>
        <v>0.13140604467805519</v>
      </c>
      <c r="C1449" s="30">
        <f t="shared" si="89"/>
        <v>1524</v>
      </c>
      <c r="D1449" s="30">
        <f t="shared" si="90"/>
        <v>1.71225</v>
      </c>
    </row>
    <row r="1450" spans="1:4" x14ac:dyDescent="0.4">
      <c r="A1450" s="30">
        <f t="shared" si="91"/>
        <v>1503</v>
      </c>
      <c r="B1450" s="30">
        <f t="shared" si="88"/>
        <v>0.13131976362442549</v>
      </c>
      <c r="C1450" s="30">
        <f t="shared" si="89"/>
        <v>1525</v>
      </c>
      <c r="D1450" s="30">
        <f t="shared" si="90"/>
        <v>1.7133749999999999</v>
      </c>
    </row>
    <row r="1451" spans="1:4" x14ac:dyDescent="0.4">
      <c r="A1451" s="30">
        <f t="shared" si="91"/>
        <v>1504</v>
      </c>
      <c r="B1451" s="30">
        <f t="shared" si="88"/>
        <v>0.13123359580052493</v>
      </c>
      <c r="C1451" s="30">
        <f t="shared" si="89"/>
        <v>1526</v>
      </c>
      <c r="D1451" s="30">
        <f t="shared" si="90"/>
        <v>1.7145000000000001</v>
      </c>
    </row>
    <row r="1452" spans="1:4" x14ac:dyDescent="0.4">
      <c r="A1452" s="30">
        <f t="shared" si="91"/>
        <v>1505</v>
      </c>
      <c r="B1452" s="30">
        <f t="shared" si="88"/>
        <v>0.13114754098360656</v>
      </c>
      <c r="C1452" s="30">
        <f t="shared" si="89"/>
        <v>1527</v>
      </c>
      <c r="D1452" s="30">
        <f t="shared" si="90"/>
        <v>1.715625</v>
      </c>
    </row>
    <row r="1453" spans="1:4" x14ac:dyDescent="0.4">
      <c r="A1453" s="30">
        <f t="shared" si="91"/>
        <v>1506</v>
      </c>
      <c r="B1453" s="30">
        <f t="shared" si="88"/>
        <v>0.13106159895150721</v>
      </c>
      <c r="C1453" s="30">
        <f t="shared" si="89"/>
        <v>1528</v>
      </c>
      <c r="D1453" s="30">
        <f t="shared" si="90"/>
        <v>1.7167500000000002</v>
      </c>
    </row>
    <row r="1454" spans="1:4" x14ac:dyDescent="0.4">
      <c r="A1454" s="30">
        <f t="shared" si="91"/>
        <v>1507</v>
      </c>
      <c r="B1454" s="30">
        <f t="shared" si="88"/>
        <v>0.13097576948264572</v>
      </c>
      <c r="C1454" s="30">
        <f t="shared" si="89"/>
        <v>1529</v>
      </c>
      <c r="D1454" s="30">
        <f t="shared" si="90"/>
        <v>1.717875</v>
      </c>
    </row>
    <row r="1455" spans="1:4" x14ac:dyDescent="0.4">
      <c r="A1455" s="30">
        <f t="shared" si="91"/>
        <v>1508</v>
      </c>
      <c r="B1455" s="30">
        <f t="shared" si="88"/>
        <v>0.13089005235602094</v>
      </c>
      <c r="C1455" s="30">
        <f t="shared" si="89"/>
        <v>1530</v>
      </c>
      <c r="D1455" s="30">
        <f t="shared" si="90"/>
        <v>1.7190000000000001</v>
      </c>
    </row>
    <row r="1456" spans="1:4" x14ac:dyDescent="0.4">
      <c r="A1456" s="30">
        <f t="shared" si="91"/>
        <v>1509</v>
      </c>
      <c r="B1456" s="30">
        <f t="shared" si="88"/>
        <v>0.13080444735120994</v>
      </c>
      <c r="C1456" s="30">
        <f t="shared" si="89"/>
        <v>1531</v>
      </c>
      <c r="D1456" s="30">
        <f t="shared" si="90"/>
        <v>1.7201250000000001</v>
      </c>
    </row>
    <row r="1457" spans="1:4" x14ac:dyDescent="0.4">
      <c r="A1457" s="30">
        <f t="shared" si="91"/>
        <v>1510</v>
      </c>
      <c r="B1457" s="30">
        <f t="shared" si="88"/>
        <v>0.13071895424836602</v>
      </c>
      <c r="C1457" s="30">
        <f t="shared" si="89"/>
        <v>1532</v>
      </c>
      <c r="D1457" s="30">
        <f t="shared" si="90"/>
        <v>1.7212500000000002</v>
      </c>
    </row>
    <row r="1458" spans="1:4" x14ac:dyDescent="0.4">
      <c r="A1458" s="30">
        <f t="shared" si="91"/>
        <v>1511</v>
      </c>
      <c r="B1458" s="30">
        <f t="shared" si="88"/>
        <v>0.13063357282821686</v>
      </c>
      <c r="C1458" s="30">
        <f t="shared" si="89"/>
        <v>1533</v>
      </c>
      <c r="D1458" s="30">
        <f t="shared" si="90"/>
        <v>1.7223750000000002</v>
      </c>
    </row>
    <row r="1459" spans="1:4" x14ac:dyDescent="0.4">
      <c r="A1459" s="30">
        <f t="shared" si="91"/>
        <v>1512</v>
      </c>
      <c r="B1459" s="30">
        <f t="shared" si="88"/>
        <v>0.13054830287206268</v>
      </c>
      <c r="C1459" s="30">
        <f t="shared" si="89"/>
        <v>1534</v>
      </c>
      <c r="D1459" s="30">
        <f t="shared" si="90"/>
        <v>1.7234999999999998</v>
      </c>
    </row>
    <row r="1460" spans="1:4" x14ac:dyDescent="0.4">
      <c r="A1460" s="30">
        <f t="shared" si="91"/>
        <v>1513</v>
      </c>
      <c r="B1460" s="30">
        <f t="shared" si="88"/>
        <v>0.13046314416177429</v>
      </c>
      <c r="C1460" s="30">
        <f t="shared" si="89"/>
        <v>1535</v>
      </c>
      <c r="D1460" s="30">
        <f t="shared" si="90"/>
        <v>1.7246250000000003</v>
      </c>
    </row>
    <row r="1461" spans="1:4" x14ac:dyDescent="0.4">
      <c r="A1461" s="30">
        <f t="shared" si="91"/>
        <v>1514</v>
      </c>
      <c r="B1461" s="30">
        <f t="shared" si="88"/>
        <v>0.1303780964797914</v>
      </c>
      <c r="C1461" s="30">
        <f t="shared" si="89"/>
        <v>1536</v>
      </c>
      <c r="D1461" s="30">
        <f t="shared" si="90"/>
        <v>1.7257499999999999</v>
      </c>
    </row>
    <row r="1462" spans="1:4" x14ac:dyDescent="0.4">
      <c r="A1462" s="30">
        <f t="shared" si="91"/>
        <v>1515</v>
      </c>
      <c r="B1462" s="30">
        <f t="shared" si="88"/>
        <v>0.13029315960912052</v>
      </c>
      <c r="C1462" s="30">
        <f t="shared" si="89"/>
        <v>1537</v>
      </c>
      <c r="D1462" s="30">
        <f t="shared" si="90"/>
        <v>1.4801785714285713</v>
      </c>
    </row>
    <row r="1463" spans="1:4" x14ac:dyDescent="0.4">
      <c r="A1463" s="30">
        <f t="shared" si="91"/>
        <v>1516</v>
      </c>
      <c r="B1463" s="30">
        <f t="shared" si="88"/>
        <v>0.13020833333333334</v>
      </c>
      <c r="C1463" s="30">
        <f t="shared" si="89"/>
        <v>1538</v>
      </c>
      <c r="D1463" s="30">
        <f t="shared" si="90"/>
        <v>1.4811428571428571</v>
      </c>
    </row>
    <row r="1464" spans="1:4" x14ac:dyDescent="0.4">
      <c r="A1464" s="30">
        <f t="shared" si="91"/>
        <v>1517</v>
      </c>
      <c r="B1464" s="30">
        <f t="shared" si="88"/>
        <v>0.13012361743656473</v>
      </c>
      <c r="C1464" s="30">
        <f t="shared" si="89"/>
        <v>1539</v>
      </c>
      <c r="D1464" s="30">
        <f t="shared" si="90"/>
        <v>1.4821071428571433</v>
      </c>
    </row>
    <row r="1465" spans="1:4" x14ac:dyDescent="0.4">
      <c r="A1465" s="30">
        <f t="shared" si="91"/>
        <v>1518</v>
      </c>
      <c r="B1465" s="30">
        <f t="shared" si="88"/>
        <v>0.13003901170351106</v>
      </c>
      <c r="C1465" s="30">
        <f t="shared" si="89"/>
        <v>1540</v>
      </c>
      <c r="D1465" s="30">
        <f t="shared" si="90"/>
        <v>1.4830714285714284</v>
      </c>
    </row>
    <row r="1466" spans="1:4" x14ac:dyDescent="0.4">
      <c r="A1466" s="30">
        <f t="shared" si="91"/>
        <v>1519</v>
      </c>
      <c r="B1466" s="30">
        <f t="shared" si="88"/>
        <v>0.12995451591942819</v>
      </c>
      <c r="C1466" s="30">
        <f t="shared" si="89"/>
        <v>1541</v>
      </c>
      <c r="D1466" s="30">
        <f t="shared" si="90"/>
        <v>1.4840357142857143</v>
      </c>
    </row>
    <row r="1467" spans="1:4" x14ac:dyDescent="0.4">
      <c r="A1467" s="30">
        <f t="shared" si="91"/>
        <v>1520</v>
      </c>
      <c r="B1467" s="30">
        <f t="shared" si="88"/>
        <v>0.12987012987012986</v>
      </c>
      <c r="C1467" s="30">
        <f t="shared" si="89"/>
        <v>1542</v>
      </c>
      <c r="D1467" s="30">
        <f t="shared" si="90"/>
        <v>1.4850000000000001</v>
      </c>
    </row>
    <row r="1468" spans="1:4" x14ac:dyDescent="0.4">
      <c r="A1468" s="30">
        <f t="shared" si="91"/>
        <v>1521</v>
      </c>
      <c r="B1468" s="30">
        <f t="shared" si="88"/>
        <v>0.12978585334198572</v>
      </c>
      <c r="C1468" s="30">
        <f t="shared" si="89"/>
        <v>1543</v>
      </c>
      <c r="D1468" s="30">
        <f t="shared" si="90"/>
        <v>1.4859642857142856</v>
      </c>
    </row>
    <row r="1469" spans="1:4" x14ac:dyDescent="0.4">
      <c r="A1469" s="30">
        <f t="shared" si="91"/>
        <v>1522</v>
      </c>
      <c r="B1469" s="30">
        <f t="shared" si="88"/>
        <v>0.1297016861219196</v>
      </c>
      <c r="C1469" s="30">
        <f t="shared" si="89"/>
        <v>1544</v>
      </c>
      <c r="D1469" s="30">
        <f t="shared" si="90"/>
        <v>1.4869285714285714</v>
      </c>
    </row>
    <row r="1470" spans="1:4" x14ac:dyDescent="0.4">
      <c r="A1470" s="30">
        <f t="shared" si="91"/>
        <v>1523</v>
      </c>
      <c r="B1470" s="30">
        <f t="shared" si="88"/>
        <v>0.12961762799740764</v>
      </c>
      <c r="C1470" s="30">
        <f t="shared" si="89"/>
        <v>1545</v>
      </c>
      <c r="D1470" s="30">
        <f t="shared" si="90"/>
        <v>1.4878928571428571</v>
      </c>
    </row>
    <row r="1471" spans="1:4" x14ac:dyDescent="0.4">
      <c r="A1471" s="30">
        <f t="shared" si="91"/>
        <v>1524</v>
      </c>
      <c r="B1471" s="30">
        <f t="shared" si="88"/>
        <v>0.12953367875647667</v>
      </c>
      <c r="C1471" s="30">
        <f t="shared" si="89"/>
        <v>1546</v>
      </c>
      <c r="D1471" s="30">
        <f t="shared" si="90"/>
        <v>1.4888571428571431</v>
      </c>
    </row>
    <row r="1472" spans="1:4" x14ac:dyDescent="0.4">
      <c r="A1472" s="30">
        <f t="shared" si="91"/>
        <v>1525</v>
      </c>
      <c r="B1472" s="30">
        <f t="shared" si="88"/>
        <v>0.12944983818770225</v>
      </c>
      <c r="C1472" s="30">
        <f t="shared" si="89"/>
        <v>1547</v>
      </c>
      <c r="D1472" s="30">
        <f t="shared" si="90"/>
        <v>1.4898214285714286</v>
      </c>
    </row>
    <row r="1473" spans="1:4" x14ac:dyDescent="0.4">
      <c r="A1473" s="30">
        <f t="shared" si="91"/>
        <v>1526</v>
      </c>
      <c r="B1473" s="30">
        <f t="shared" si="88"/>
        <v>0.12936610608020699</v>
      </c>
      <c r="C1473" s="30">
        <f t="shared" si="89"/>
        <v>1548</v>
      </c>
      <c r="D1473" s="30">
        <f t="shared" si="90"/>
        <v>1.4907857142857144</v>
      </c>
    </row>
    <row r="1474" spans="1:4" x14ac:dyDescent="0.4">
      <c r="A1474" s="30">
        <f t="shared" si="91"/>
        <v>1527</v>
      </c>
      <c r="B1474" s="30">
        <f t="shared" si="88"/>
        <v>0.12928248222365871</v>
      </c>
      <c r="C1474" s="30">
        <f t="shared" si="89"/>
        <v>1549</v>
      </c>
      <c r="D1474" s="30">
        <f t="shared" si="90"/>
        <v>1.4917499999999999</v>
      </c>
    </row>
    <row r="1475" spans="1:4" x14ac:dyDescent="0.4">
      <c r="A1475" s="30">
        <f t="shared" si="91"/>
        <v>1528</v>
      </c>
      <c r="B1475" s="30">
        <f t="shared" si="88"/>
        <v>0.12919896640826872</v>
      </c>
      <c r="C1475" s="30">
        <f t="shared" si="89"/>
        <v>1550</v>
      </c>
      <c r="D1475" s="30">
        <f t="shared" si="90"/>
        <v>1.4927142857142859</v>
      </c>
    </row>
    <row r="1476" spans="1:4" x14ac:dyDescent="0.4">
      <c r="A1476" s="30">
        <f t="shared" si="91"/>
        <v>1529</v>
      </c>
      <c r="B1476" s="30">
        <f t="shared" si="88"/>
        <v>0.12911555842479019</v>
      </c>
      <c r="C1476" s="30">
        <f t="shared" si="89"/>
        <v>1551</v>
      </c>
      <c r="D1476" s="30">
        <f t="shared" si="90"/>
        <v>1.4936785714285714</v>
      </c>
    </row>
    <row r="1477" spans="1:4" x14ac:dyDescent="0.4">
      <c r="A1477" s="30">
        <f t="shared" si="91"/>
        <v>1530</v>
      </c>
      <c r="B1477" s="30">
        <f t="shared" si="88"/>
        <v>0.12903225806451613</v>
      </c>
      <c r="C1477" s="30">
        <f t="shared" si="89"/>
        <v>1552</v>
      </c>
      <c r="D1477" s="30">
        <f t="shared" si="90"/>
        <v>1.4946428571428572</v>
      </c>
    </row>
    <row r="1478" spans="1:4" x14ac:dyDescent="0.4">
      <c r="A1478" s="30">
        <f t="shared" si="91"/>
        <v>1531</v>
      </c>
      <c r="B1478" s="30">
        <f t="shared" si="88"/>
        <v>0.12894906511927789</v>
      </c>
      <c r="C1478" s="30">
        <f t="shared" si="89"/>
        <v>1553</v>
      </c>
      <c r="D1478" s="30">
        <f t="shared" si="90"/>
        <v>1.4956071428571429</v>
      </c>
    </row>
    <row r="1479" spans="1:4" x14ac:dyDescent="0.4">
      <c r="A1479" s="30">
        <f t="shared" si="91"/>
        <v>1532</v>
      </c>
      <c r="B1479" s="30">
        <f t="shared" si="88"/>
        <v>0.12886597938144329</v>
      </c>
      <c r="C1479" s="30">
        <f t="shared" si="89"/>
        <v>1554</v>
      </c>
      <c r="D1479" s="30">
        <f t="shared" si="90"/>
        <v>1.4965714285714289</v>
      </c>
    </row>
    <row r="1480" spans="1:4" x14ac:dyDescent="0.4">
      <c r="A1480" s="30">
        <f t="shared" si="91"/>
        <v>1533</v>
      </c>
      <c r="B1480" s="30">
        <f t="shared" si="88"/>
        <v>0.12878300064391501</v>
      </c>
      <c r="C1480" s="30">
        <f t="shared" si="89"/>
        <v>1555</v>
      </c>
      <c r="D1480" s="30">
        <f t="shared" si="90"/>
        <v>1.4975357142857142</v>
      </c>
    </row>
    <row r="1481" spans="1:4" x14ac:dyDescent="0.4">
      <c r="A1481" s="30">
        <f t="shared" si="91"/>
        <v>1534</v>
      </c>
      <c r="B1481" s="30">
        <f t="shared" si="88"/>
        <v>0.1287001287001287</v>
      </c>
      <c r="C1481" s="30">
        <f t="shared" si="89"/>
        <v>1556</v>
      </c>
      <c r="D1481" s="30">
        <f t="shared" si="90"/>
        <v>1.4985000000000002</v>
      </c>
    </row>
    <row r="1482" spans="1:4" x14ac:dyDescent="0.4">
      <c r="A1482" s="30">
        <f t="shared" si="91"/>
        <v>1535</v>
      </c>
      <c r="B1482" s="30">
        <f t="shared" si="88"/>
        <v>0.12861736334405144</v>
      </c>
      <c r="C1482" s="30">
        <f t="shared" si="89"/>
        <v>1557</v>
      </c>
      <c r="D1482" s="30">
        <f t="shared" si="90"/>
        <v>1.4994642857142859</v>
      </c>
    </row>
    <row r="1483" spans="1:4" x14ac:dyDescent="0.4">
      <c r="A1483" s="30">
        <f t="shared" si="91"/>
        <v>1536</v>
      </c>
      <c r="B1483" s="30">
        <f t="shared" ref="B1483:B1546" si="92">$B$4/8/(A1483+$B$2)</f>
        <v>0.12853470437017994</v>
      </c>
      <c r="C1483" s="30">
        <f t="shared" si="89"/>
        <v>1558</v>
      </c>
      <c r="D1483" s="30">
        <f t="shared" si="90"/>
        <v>1.5004285714285717</v>
      </c>
    </row>
    <row r="1484" spans="1:4" x14ac:dyDescent="0.4">
      <c r="A1484" s="30">
        <f t="shared" si="91"/>
        <v>1537</v>
      </c>
      <c r="B1484" s="30">
        <f t="shared" si="92"/>
        <v>0.12845215157353887</v>
      </c>
      <c r="C1484" s="30">
        <f t="shared" ref="C1484:C1547" si="93">A1484+$E$6</f>
        <v>1559</v>
      </c>
      <c r="D1484" s="30">
        <f t="shared" ref="D1484:D1547" si="94">$H$3/B1484/CEILING(C1484/$H$2,1)</f>
        <v>1.5013928571428572</v>
      </c>
    </row>
    <row r="1485" spans="1:4" x14ac:dyDescent="0.4">
      <c r="A1485" s="30">
        <f t="shared" ref="A1485:A1547" si="95">A1484+$B$3</f>
        <v>1538</v>
      </c>
      <c r="B1485" s="30">
        <f t="shared" si="92"/>
        <v>0.12836970474967907</v>
      </c>
      <c r="C1485" s="30">
        <f t="shared" si="93"/>
        <v>1560</v>
      </c>
      <c r="D1485" s="30">
        <f t="shared" si="94"/>
        <v>1.5023571428571429</v>
      </c>
    </row>
    <row r="1486" spans="1:4" x14ac:dyDescent="0.4">
      <c r="A1486" s="30">
        <f t="shared" si="95"/>
        <v>1539</v>
      </c>
      <c r="B1486" s="30">
        <f t="shared" si="92"/>
        <v>0.12828736369467608</v>
      </c>
      <c r="C1486" s="30">
        <f t="shared" si="93"/>
        <v>1561</v>
      </c>
      <c r="D1486" s="30">
        <f t="shared" si="94"/>
        <v>1.5033214285714287</v>
      </c>
    </row>
    <row r="1487" spans="1:4" x14ac:dyDescent="0.4">
      <c r="A1487" s="30">
        <f t="shared" si="95"/>
        <v>1540</v>
      </c>
      <c r="B1487" s="30">
        <f t="shared" si="92"/>
        <v>0.12820512820512819</v>
      </c>
      <c r="C1487" s="30">
        <f t="shared" si="93"/>
        <v>1562</v>
      </c>
      <c r="D1487" s="30">
        <f t="shared" si="94"/>
        <v>1.5042857142857144</v>
      </c>
    </row>
    <row r="1488" spans="1:4" x14ac:dyDescent="0.4">
      <c r="A1488" s="30">
        <f t="shared" si="95"/>
        <v>1541</v>
      </c>
      <c r="B1488" s="30">
        <f t="shared" si="92"/>
        <v>0.12812299807815503</v>
      </c>
      <c r="C1488" s="30">
        <f t="shared" si="93"/>
        <v>1563</v>
      </c>
      <c r="D1488" s="30">
        <f t="shared" si="94"/>
        <v>1.5052500000000002</v>
      </c>
    </row>
    <row r="1489" spans="1:4" x14ac:dyDescent="0.4">
      <c r="A1489" s="30">
        <f t="shared" si="95"/>
        <v>1542</v>
      </c>
      <c r="B1489" s="30">
        <f t="shared" si="92"/>
        <v>0.12804097311139565</v>
      </c>
      <c r="C1489" s="30">
        <f t="shared" si="93"/>
        <v>1564</v>
      </c>
      <c r="D1489" s="30">
        <f t="shared" si="94"/>
        <v>1.5062142857142859</v>
      </c>
    </row>
    <row r="1490" spans="1:4" x14ac:dyDescent="0.4">
      <c r="A1490" s="30">
        <f t="shared" si="95"/>
        <v>1543</v>
      </c>
      <c r="B1490" s="30">
        <f t="shared" si="92"/>
        <v>0.12795905310300704</v>
      </c>
      <c r="C1490" s="30">
        <f t="shared" si="93"/>
        <v>1565</v>
      </c>
      <c r="D1490" s="30">
        <f t="shared" si="94"/>
        <v>1.5071785714285715</v>
      </c>
    </row>
    <row r="1491" spans="1:4" x14ac:dyDescent="0.4">
      <c r="A1491" s="30">
        <f t="shared" si="95"/>
        <v>1544</v>
      </c>
      <c r="B1491" s="30">
        <f t="shared" si="92"/>
        <v>0.12787723785166241</v>
      </c>
      <c r="C1491" s="30">
        <f t="shared" si="93"/>
        <v>1566</v>
      </c>
      <c r="D1491" s="30">
        <f t="shared" si="94"/>
        <v>1.5081428571428572</v>
      </c>
    </row>
    <row r="1492" spans="1:4" x14ac:dyDescent="0.4">
      <c r="A1492" s="30">
        <f t="shared" si="95"/>
        <v>1545</v>
      </c>
      <c r="B1492" s="30">
        <f t="shared" si="92"/>
        <v>0.12779552715654952</v>
      </c>
      <c r="C1492" s="30">
        <f t="shared" si="93"/>
        <v>1567</v>
      </c>
      <c r="D1492" s="30">
        <f t="shared" si="94"/>
        <v>1.509107142857143</v>
      </c>
    </row>
    <row r="1493" spans="1:4" x14ac:dyDescent="0.4">
      <c r="A1493" s="30">
        <f t="shared" si="95"/>
        <v>1546</v>
      </c>
      <c r="B1493" s="30">
        <f t="shared" si="92"/>
        <v>0.1277139208173691</v>
      </c>
      <c r="C1493" s="30">
        <f t="shared" si="93"/>
        <v>1568</v>
      </c>
      <c r="D1493" s="30">
        <f t="shared" si="94"/>
        <v>1.5100714285714287</v>
      </c>
    </row>
    <row r="1494" spans="1:4" x14ac:dyDescent="0.4">
      <c r="A1494" s="30">
        <f t="shared" si="95"/>
        <v>1547</v>
      </c>
      <c r="B1494" s="30">
        <f t="shared" si="92"/>
        <v>0.12763241863433311</v>
      </c>
      <c r="C1494" s="30">
        <f t="shared" si="93"/>
        <v>1569</v>
      </c>
      <c r="D1494" s="30">
        <f t="shared" si="94"/>
        <v>1.5110357142857145</v>
      </c>
    </row>
    <row r="1495" spans="1:4" x14ac:dyDescent="0.4">
      <c r="A1495" s="30">
        <f t="shared" si="95"/>
        <v>1548</v>
      </c>
      <c r="B1495" s="30">
        <f t="shared" si="92"/>
        <v>0.12755102040816327</v>
      </c>
      <c r="C1495" s="30">
        <f t="shared" si="93"/>
        <v>1570</v>
      </c>
      <c r="D1495" s="30">
        <f t="shared" si="94"/>
        <v>1.512</v>
      </c>
    </row>
    <row r="1496" spans="1:4" x14ac:dyDescent="0.4">
      <c r="A1496" s="30">
        <f t="shared" si="95"/>
        <v>1549</v>
      </c>
      <c r="B1496" s="30">
        <f t="shared" si="92"/>
        <v>0.12746972594008923</v>
      </c>
      <c r="C1496" s="30">
        <f t="shared" si="93"/>
        <v>1571</v>
      </c>
      <c r="D1496" s="30">
        <f t="shared" si="94"/>
        <v>1.5129642857142858</v>
      </c>
    </row>
    <row r="1497" spans="1:4" x14ac:dyDescent="0.4">
      <c r="A1497" s="30">
        <f t="shared" si="95"/>
        <v>1550</v>
      </c>
      <c r="B1497" s="30">
        <f t="shared" si="92"/>
        <v>0.12738853503184713</v>
      </c>
      <c r="C1497" s="30">
        <f t="shared" si="93"/>
        <v>1572</v>
      </c>
      <c r="D1497" s="30">
        <f t="shared" si="94"/>
        <v>1.5139285714285715</v>
      </c>
    </row>
    <row r="1498" spans="1:4" x14ac:dyDescent="0.4">
      <c r="A1498" s="30">
        <f t="shared" si="95"/>
        <v>1551</v>
      </c>
      <c r="B1498" s="30">
        <f t="shared" si="92"/>
        <v>0.1273074474856779</v>
      </c>
      <c r="C1498" s="30">
        <f t="shared" si="93"/>
        <v>1573</v>
      </c>
      <c r="D1498" s="30">
        <f t="shared" si="94"/>
        <v>1.5148928571428575</v>
      </c>
    </row>
    <row r="1499" spans="1:4" x14ac:dyDescent="0.4">
      <c r="A1499" s="30">
        <f t="shared" si="95"/>
        <v>1552</v>
      </c>
      <c r="B1499" s="30">
        <f t="shared" si="92"/>
        <v>0.1272264631043257</v>
      </c>
      <c r="C1499" s="30">
        <f t="shared" si="93"/>
        <v>1574</v>
      </c>
      <c r="D1499" s="30">
        <f t="shared" si="94"/>
        <v>1.515857142857143</v>
      </c>
    </row>
    <row r="1500" spans="1:4" x14ac:dyDescent="0.4">
      <c r="A1500" s="30">
        <f t="shared" si="95"/>
        <v>1553</v>
      </c>
      <c r="B1500" s="30">
        <f t="shared" si="92"/>
        <v>0.12714558169103624</v>
      </c>
      <c r="C1500" s="30">
        <f t="shared" si="93"/>
        <v>1575</v>
      </c>
      <c r="D1500" s="30">
        <f t="shared" si="94"/>
        <v>1.5168214285714288</v>
      </c>
    </row>
    <row r="1501" spans="1:4" x14ac:dyDescent="0.4">
      <c r="A1501" s="30">
        <f t="shared" si="95"/>
        <v>1554</v>
      </c>
      <c r="B1501" s="30">
        <f t="shared" si="92"/>
        <v>0.12706480304955528</v>
      </c>
      <c r="C1501" s="30">
        <f t="shared" si="93"/>
        <v>1576</v>
      </c>
      <c r="D1501" s="30">
        <f t="shared" si="94"/>
        <v>1.5177857142857143</v>
      </c>
    </row>
    <row r="1502" spans="1:4" x14ac:dyDescent="0.4">
      <c r="A1502" s="30">
        <f t="shared" si="95"/>
        <v>1555</v>
      </c>
      <c r="B1502" s="30">
        <f t="shared" si="92"/>
        <v>0.12698412698412698</v>
      </c>
      <c r="C1502" s="30">
        <f t="shared" si="93"/>
        <v>1577</v>
      </c>
      <c r="D1502" s="30">
        <f t="shared" si="94"/>
        <v>1.5187500000000003</v>
      </c>
    </row>
    <row r="1503" spans="1:4" x14ac:dyDescent="0.4">
      <c r="A1503" s="30">
        <f t="shared" si="95"/>
        <v>1556</v>
      </c>
      <c r="B1503" s="30">
        <f t="shared" si="92"/>
        <v>0.12690355329949238</v>
      </c>
      <c r="C1503" s="30">
        <f t="shared" si="93"/>
        <v>1578</v>
      </c>
      <c r="D1503" s="30">
        <f t="shared" si="94"/>
        <v>1.519714285714286</v>
      </c>
    </row>
    <row r="1504" spans="1:4" x14ac:dyDescent="0.4">
      <c r="A1504" s="30">
        <f t="shared" si="95"/>
        <v>1557</v>
      </c>
      <c r="B1504" s="30">
        <f t="shared" si="92"/>
        <v>0.12682308180088775</v>
      </c>
      <c r="C1504" s="30">
        <f t="shared" si="93"/>
        <v>1579</v>
      </c>
      <c r="D1504" s="30">
        <f t="shared" si="94"/>
        <v>1.5206785714285718</v>
      </c>
    </row>
    <row r="1505" spans="1:4" x14ac:dyDescent="0.4">
      <c r="A1505" s="30">
        <f t="shared" si="95"/>
        <v>1558</v>
      </c>
      <c r="B1505" s="30">
        <f t="shared" si="92"/>
        <v>0.1267427122940431</v>
      </c>
      <c r="C1505" s="30">
        <f t="shared" si="93"/>
        <v>1580</v>
      </c>
      <c r="D1505" s="30">
        <f t="shared" si="94"/>
        <v>1.5216428571428573</v>
      </c>
    </row>
    <row r="1506" spans="1:4" x14ac:dyDescent="0.4">
      <c r="A1506" s="30">
        <f t="shared" si="95"/>
        <v>1559</v>
      </c>
      <c r="B1506" s="30">
        <f t="shared" si="92"/>
        <v>0.1266624445851805</v>
      </c>
      <c r="C1506" s="30">
        <f t="shared" si="93"/>
        <v>1581</v>
      </c>
      <c r="D1506" s="30">
        <f t="shared" si="94"/>
        <v>1.522607142857143</v>
      </c>
    </row>
    <row r="1507" spans="1:4" x14ac:dyDescent="0.4">
      <c r="A1507" s="30">
        <f t="shared" si="95"/>
        <v>1560</v>
      </c>
      <c r="B1507" s="30">
        <f t="shared" si="92"/>
        <v>0.12658227848101267</v>
      </c>
      <c r="C1507" s="30">
        <f t="shared" si="93"/>
        <v>1582</v>
      </c>
      <c r="D1507" s="30">
        <f t="shared" si="94"/>
        <v>1.5235714285714284</v>
      </c>
    </row>
    <row r="1508" spans="1:4" x14ac:dyDescent="0.4">
      <c r="A1508" s="30">
        <f t="shared" si="95"/>
        <v>1561</v>
      </c>
      <c r="B1508" s="30">
        <f t="shared" si="92"/>
        <v>0.1265022137887413</v>
      </c>
      <c r="C1508" s="30">
        <f t="shared" si="93"/>
        <v>1583</v>
      </c>
      <c r="D1508" s="30">
        <f t="shared" si="94"/>
        <v>1.5245357142857145</v>
      </c>
    </row>
    <row r="1509" spans="1:4" x14ac:dyDescent="0.4">
      <c r="A1509" s="30">
        <f t="shared" si="95"/>
        <v>1562</v>
      </c>
      <c r="B1509" s="30">
        <f t="shared" si="92"/>
        <v>0.12642225031605561</v>
      </c>
      <c r="C1509" s="30">
        <f t="shared" si="93"/>
        <v>1584</v>
      </c>
      <c r="D1509" s="30">
        <f t="shared" si="94"/>
        <v>1.5255000000000003</v>
      </c>
    </row>
    <row r="1510" spans="1:4" x14ac:dyDescent="0.4">
      <c r="A1510" s="30">
        <f t="shared" si="95"/>
        <v>1563</v>
      </c>
      <c r="B1510" s="30">
        <f t="shared" si="92"/>
        <v>0.12634238787113075</v>
      </c>
      <c r="C1510" s="30">
        <f t="shared" si="93"/>
        <v>1585</v>
      </c>
      <c r="D1510" s="30">
        <f t="shared" si="94"/>
        <v>1.5264642857142861</v>
      </c>
    </row>
    <row r="1511" spans="1:4" x14ac:dyDescent="0.4">
      <c r="A1511" s="30">
        <f t="shared" si="95"/>
        <v>1564</v>
      </c>
      <c r="B1511" s="30">
        <f t="shared" si="92"/>
        <v>0.12626262626262627</v>
      </c>
      <c r="C1511" s="30">
        <f t="shared" si="93"/>
        <v>1586</v>
      </c>
      <c r="D1511" s="30">
        <f t="shared" si="94"/>
        <v>1.5274285714285714</v>
      </c>
    </row>
    <row r="1512" spans="1:4" x14ac:dyDescent="0.4">
      <c r="A1512" s="30">
        <f t="shared" si="95"/>
        <v>1565</v>
      </c>
      <c r="B1512" s="30">
        <f t="shared" si="92"/>
        <v>0.12618296529968454</v>
      </c>
      <c r="C1512" s="30">
        <f t="shared" si="93"/>
        <v>1587</v>
      </c>
      <c r="D1512" s="30">
        <f t="shared" si="94"/>
        <v>1.5283928571428576</v>
      </c>
    </row>
    <row r="1513" spans="1:4" x14ac:dyDescent="0.4">
      <c r="A1513" s="30">
        <f t="shared" si="95"/>
        <v>1566</v>
      </c>
      <c r="B1513" s="30">
        <f t="shared" si="92"/>
        <v>0.12610340479192939</v>
      </c>
      <c r="C1513" s="30">
        <f t="shared" si="93"/>
        <v>1588</v>
      </c>
      <c r="D1513" s="30">
        <f t="shared" si="94"/>
        <v>1.5293571428571429</v>
      </c>
    </row>
    <row r="1514" spans="1:4" x14ac:dyDescent="0.4">
      <c r="A1514" s="30">
        <f t="shared" si="95"/>
        <v>1567</v>
      </c>
      <c r="B1514" s="30">
        <f t="shared" si="92"/>
        <v>0.12602394454946439</v>
      </c>
      <c r="C1514" s="30">
        <f t="shared" si="93"/>
        <v>1589</v>
      </c>
      <c r="D1514" s="30">
        <f t="shared" si="94"/>
        <v>1.5303214285714286</v>
      </c>
    </row>
    <row r="1515" spans="1:4" x14ac:dyDescent="0.4">
      <c r="A1515" s="30">
        <f t="shared" si="95"/>
        <v>1568</v>
      </c>
      <c r="B1515" s="30">
        <f t="shared" si="92"/>
        <v>0.12594458438287154</v>
      </c>
      <c r="C1515" s="30">
        <f t="shared" si="93"/>
        <v>1590</v>
      </c>
      <c r="D1515" s="30">
        <f t="shared" si="94"/>
        <v>1.5312857142857144</v>
      </c>
    </row>
    <row r="1516" spans="1:4" x14ac:dyDescent="0.4">
      <c r="A1516" s="30">
        <f t="shared" si="95"/>
        <v>1569</v>
      </c>
      <c r="B1516" s="30">
        <f t="shared" si="92"/>
        <v>0.12586532410320955</v>
      </c>
      <c r="C1516" s="30">
        <f t="shared" si="93"/>
        <v>1591</v>
      </c>
      <c r="D1516" s="30">
        <f t="shared" si="94"/>
        <v>1.5322500000000001</v>
      </c>
    </row>
    <row r="1517" spans="1:4" x14ac:dyDescent="0.4">
      <c r="A1517" s="30">
        <f t="shared" si="95"/>
        <v>1570</v>
      </c>
      <c r="B1517" s="30">
        <f t="shared" si="92"/>
        <v>0.12578616352201258</v>
      </c>
      <c r="C1517" s="30">
        <f t="shared" si="93"/>
        <v>1592</v>
      </c>
      <c r="D1517" s="30">
        <f t="shared" si="94"/>
        <v>1.5332142857142856</v>
      </c>
    </row>
    <row r="1518" spans="1:4" x14ac:dyDescent="0.4">
      <c r="A1518" s="30">
        <f t="shared" si="95"/>
        <v>1571</v>
      </c>
      <c r="B1518" s="30">
        <f t="shared" si="92"/>
        <v>0.12570710245128849</v>
      </c>
      <c r="C1518" s="30">
        <f t="shared" si="93"/>
        <v>1593</v>
      </c>
      <c r="D1518" s="30">
        <f t="shared" si="94"/>
        <v>1.5341785714285714</v>
      </c>
    </row>
    <row r="1519" spans="1:4" x14ac:dyDescent="0.4">
      <c r="A1519" s="30">
        <f t="shared" si="95"/>
        <v>1572</v>
      </c>
      <c r="B1519" s="30">
        <f t="shared" si="92"/>
        <v>0.12562814070351758</v>
      </c>
      <c r="C1519" s="30">
        <f t="shared" si="93"/>
        <v>1594</v>
      </c>
      <c r="D1519" s="30">
        <f t="shared" si="94"/>
        <v>1.5351428571428574</v>
      </c>
    </row>
    <row r="1520" spans="1:4" x14ac:dyDescent="0.4">
      <c r="A1520" s="30">
        <f t="shared" si="95"/>
        <v>1573</v>
      </c>
      <c r="B1520" s="30">
        <f t="shared" si="92"/>
        <v>0.12554927809165098</v>
      </c>
      <c r="C1520" s="30">
        <f t="shared" si="93"/>
        <v>1595</v>
      </c>
      <c r="D1520" s="30">
        <f t="shared" si="94"/>
        <v>1.5361071428571429</v>
      </c>
    </row>
    <row r="1521" spans="1:4" x14ac:dyDescent="0.4">
      <c r="A1521" s="30">
        <f t="shared" si="95"/>
        <v>1574</v>
      </c>
      <c r="B1521" s="30">
        <f t="shared" si="92"/>
        <v>0.12547051442910917</v>
      </c>
      <c r="C1521" s="30">
        <f t="shared" si="93"/>
        <v>1596</v>
      </c>
      <c r="D1521" s="30">
        <f t="shared" si="94"/>
        <v>1.5370714285714284</v>
      </c>
    </row>
    <row r="1522" spans="1:4" x14ac:dyDescent="0.4">
      <c r="A1522" s="30">
        <f t="shared" si="95"/>
        <v>1575</v>
      </c>
      <c r="B1522" s="30">
        <f t="shared" si="92"/>
        <v>0.12539184952978055</v>
      </c>
      <c r="C1522" s="30">
        <f t="shared" si="93"/>
        <v>1597</v>
      </c>
      <c r="D1522" s="30">
        <f t="shared" si="94"/>
        <v>1.5380357142857144</v>
      </c>
    </row>
    <row r="1523" spans="1:4" x14ac:dyDescent="0.4">
      <c r="A1523" s="30">
        <f t="shared" si="95"/>
        <v>1576</v>
      </c>
      <c r="B1523" s="30">
        <f t="shared" si="92"/>
        <v>0.12531328320802004</v>
      </c>
      <c r="C1523" s="30">
        <f t="shared" si="93"/>
        <v>1598</v>
      </c>
      <c r="D1523" s="30">
        <f t="shared" si="94"/>
        <v>1.5390000000000001</v>
      </c>
    </row>
    <row r="1524" spans="1:4" x14ac:dyDescent="0.4">
      <c r="A1524" s="30">
        <f t="shared" si="95"/>
        <v>1577</v>
      </c>
      <c r="B1524" s="30">
        <f t="shared" si="92"/>
        <v>0.12523481527864747</v>
      </c>
      <c r="C1524" s="30">
        <f t="shared" si="93"/>
        <v>1599</v>
      </c>
      <c r="D1524" s="30">
        <f t="shared" si="94"/>
        <v>1.5399642857142857</v>
      </c>
    </row>
    <row r="1525" spans="1:4" x14ac:dyDescent="0.4">
      <c r="A1525" s="30">
        <f t="shared" si="95"/>
        <v>1578</v>
      </c>
      <c r="B1525" s="30">
        <f t="shared" si="92"/>
        <v>0.12515644555694619</v>
      </c>
      <c r="C1525" s="30">
        <f t="shared" si="93"/>
        <v>1600</v>
      </c>
      <c r="D1525" s="30">
        <f t="shared" si="94"/>
        <v>1.5409285714285714</v>
      </c>
    </row>
    <row r="1526" spans="1:4" x14ac:dyDescent="0.4">
      <c r="A1526" s="30">
        <f t="shared" si="95"/>
        <v>1579</v>
      </c>
      <c r="B1526" s="30">
        <f t="shared" si="92"/>
        <v>0.12507817385866166</v>
      </c>
      <c r="C1526" s="30">
        <f t="shared" si="93"/>
        <v>1601</v>
      </c>
      <c r="D1526" s="30">
        <f t="shared" si="94"/>
        <v>1.5418928571428572</v>
      </c>
    </row>
    <row r="1527" spans="1:4" x14ac:dyDescent="0.4">
      <c r="A1527" s="30">
        <f t="shared" si="95"/>
        <v>1580</v>
      </c>
      <c r="B1527" s="30">
        <f t="shared" si="92"/>
        <v>0.125</v>
      </c>
      <c r="C1527" s="30">
        <f t="shared" si="93"/>
        <v>1602</v>
      </c>
      <c r="D1527" s="30">
        <f t="shared" si="94"/>
        <v>1.5428571428571429</v>
      </c>
    </row>
    <row r="1528" spans="1:4" x14ac:dyDescent="0.4">
      <c r="A1528" s="30">
        <f t="shared" si="95"/>
        <v>1581</v>
      </c>
      <c r="B1528" s="30">
        <f t="shared" si="92"/>
        <v>0.12492192379762648</v>
      </c>
      <c r="C1528" s="30">
        <f t="shared" si="93"/>
        <v>1603</v>
      </c>
      <c r="D1528" s="30">
        <f t="shared" si="94"/>
        <v>1.5438214285714287</v>
      </c>
    </row>
    <row r="1529" spans="1:4" x14ac:dyDescent="0.4">
      <c r="A1529" s="30">
        <f t="shared" si="95"/>
        <v>1582</v>
      </c>
      <c r="B1529" s="30">
        <f t="shared" si="92"/>
        <v>0.12484394506866417</v>
      </c>
      <c r="C1529" s="30">
        <f t="shared" si="93"/>
        <v>1604</v>
      </c>
      <c r="D1529" s="30">
        <f t="shared" si="94"/>
        <v>1.5447857142857144</v>
      </c>
    </row>
    <row r="1530" spans="1:4" x14ac:dyDescent="0.4">
      <c r="A1530" s="30">
        <f t="shared" si="95"/>
        <v>1583</v>
      </c>
      <c r="B1530" s="30">
        <f t="shared" si="92"/>
        <v>0.12476606363069245</v>
      </c>
      <c r="C1530" s="30">
        <f t="shared" si="93"/>
        <v>1605</v>
      </c>
      <c r="D1530" s="30">
        <f t="shared" si="94"/>
        <v>1.54575</v>
      </c>
    </row>
    <row r="1531" spans="1:4" x14ac:dyDescent="0.4">
      <c r="A1531" s="30">
        <f t="shared" si="95"/>
        <v>1584</v>
      </c>
      <c r="B1531" s="30">
        <f t="shared" si="92"/>
        <v>0.12468827930174564</v>
      </c>
      <c r="C1531" s="30">
        <f t="shared" si="93"/>
        <v>1606</v>
      </c>
      <c r="D1531" s="30">
        <f t="shared" si="94"/>
        <v>1.5467142857142857</v>
      </c>
    </row>
    <row r="1532" spans="1:4" x14ac:dyDescent="0.4">
      <c r="A1532" s="30">
        <f t="shared" si="95"/>
        <v>1585</v>
      </c>
      <c r="B1532" s="30">
        <f t="shared" si="92"/>
        <v>0.12461059190031153</v>
      </c>
      <c r="C1532" s="30">
        <f t="shared" si="93"/>
        <v>1607</v>
      </c>
      <c r="D1532" s="30">
        <f t="shared" si="94"/>
        <v>1.5476785714285715</v>
      </c>
    </row>
    <row r="1533" spans="1:4" x14ac:dyDescent="0.4">
      <c r="A1533" s="30">
        <f t="shared" si="95"/>
        <v>1586</v>
      </c>
      <c r="B1533" s="30">
        <f t="shared" si="92"/>
        <v>0.12453300124533001</v>
      </c>
      <c r="C1533" s="30">
        <f t="shared" si="93"/>
        <v>1608</v>
      </c>
      <c r="D1533" s="30">
        <f t="shared" si="94"/>
        <v>1.5486428571428572</v>
      </c>
    </row>
    <row r="1534" spans="1:4" x14ac:dyDescent="0.4">
      <c r="A1534" s="30">
        <f t="shared" si="95"/>
        <v>1587</v>
      </c>
      <c r="B1534" s="30">
        <f t="shared" si="92"/>
        <v>0.12445550715619166</v>
      </c>
      <c r="C1534" s="30">
        <f t="shared" si="93"/>
        <v>1609</v>
      </c>
      <c r="D1534" s="30">
        <f t="shared" si="94"/>
        <v>1.549607142857143</v>
      </c>
    </row>
    <row r="1535" spans="1:4" x14ac:dyDescent="0.4">
      <c r="A1535" s="30">
        <f t="shared" si="95"/>
        <v>1588</v>
      </c>
      <c r="B1535" s="30">
        <f t="shared" si="92"/>
        <v>0.12437810945273632</v>
      </c>
      <c r="C1535" s="30">
        <f t="shared" si="93"/>
        <v>1610</v>
      </c>
      <c r="D1535" s="30">
        <f t="shared" si="94"/>
        <v>1.5505714285714287</v>
      </c>
    </row>
    <row r="1536" spans="1:4" x14ac:dyDescent="0.4">
      <c r="A1536" s="30">
        <f t="shared" si="95"/>
        <v>1589</v>
      </c>
      <c r="B1536" s="30">
        <f t="shared" si="92"/>
        <v>0.12430080795525171</v>
      </c>
      <c r="C1536" s="30">
        <f t="shared" si="93"/>
        <v>1611</v>
      </c>
      <c r="D1536" s="30">
        <f t="shared" si="94"/>
        <v>1.5515357142857145</v>
      </c>
    </row>
    <row r="1537" spans="1:4" x14ac:dyDescent="0.4">
      <c r="A1537" s="30">
        <f t="shared" si="95"/>
        <v>1590</v>
      </c>
      <c r="B1537" s="30">
        <f t="shared" si="92"/>
        <v>0.12422360248447205</v>
      </c>
      <c r="C1537" s="30">
        <f t="shared" si="93"/>
        <v>1612</v>
      </c>
      <c r="D1537" s="30">
        <f t="shared" si="94"/>
        <v>1.5525000000000002</v>
      </c>
    </row>
    <row r="1538" spans="1:4" x14ac:dyDescent="0.4">
      <c r="A1538" s="30">
        <f t="shared" si="95"/>
        <v>1591</v>
      </c>
      <c r="B1538" s="30">
        <f t="shared" si="92"/>
        <v>0.12414649286157665</v>
      </c>
      <c r="C1538" s="30">
        <f t="shared" si="93"/>
        <v>1613</v>
      </c>
      <c r="D1538" s="30">
        <f t="shared" si="94"/>
        <v>1.553464285714286</v>
      </c>
    </row>
    <row r="1539" spans="1:4" x14ac:dyDescent="0.4">
      <c r="A1539" s="30">
        <f t="shared" si="95"/>
        <v>1592</v>
      </c>
      <c r="B1539" s="30">
        <f t="shared" si="92"/>
        <v>0.12406947890818859</v>
      </c>
      <c r="C1539" s="30">
        <f t="shared" si="93"/>
        <v>1614</v>
      </c>
      <c r="D1539" s="30">
        <f t="shared" si="94"/>
        <v>1.5544285714285715</v>
      </c>
    </row>
    <row r="1540" spans="1:4" x14ac:dyDescent="0.4">
      <c r="A1540" s="30">
        <f t="shared" si="95"/>
        <v>1593</v>
      </c>
      <c r="B1540" s="30">
        <f t="shared" si="92"/>
        <v>0.12399256044637322</v>
      </c>
      <c r="C1540" s="30">
        <f t="shared" si="93"/>
        <v>1615</v>
      </c>
      <c r="D1540" s="30">
        <f t="shared" si="94"/>
        <v>1.5553928571428572</v>
      </c>
    </row>
    <row r="1541" spans="1:4" x14ac:dyDescent="0.4">
      <c r="A1541" s="30">
        <f t="shared" si="95"/>
        <v>1594</v>
      </c>
      <c r="B1541" s="30">
        <f t="shared" si="92"/>
        <v>0.12391573729863693</v>
      </c>
      <c r="C1541" s="30">
        <f t="shared" si="93"/>
        <v>1616</v>
      </c>
      <c r="D1541" s="30">
        <f t="shared" si="94"/>
        <v>1.556357142857143</v>
      </c>
    </row>
    <row r="1542" spans="1:4" x14ac:dyDescent="0.4">
      <c r="A1542" s="30">
        <f t="shared" si="95"/>
        <v>1595</v>
      </c>
      <c r="B1542" s="30">
        <f t="shared" si="92"/>
        <v>0.1238390092879257</v>
      </c>
      <c r="C1542" s="30">
        <f t="shared" si="93"/>
        <v>1617</v>
      </c>
      <c r="D1542" s="30">
        <f t="shared" si="94"/>
        <v>1.5573214285714287</v>
      </c>
    </row>
    <row r="1543" spans="1:4" x14ac:dyDescent="0.4">
      <c r="A1543" s="30">
        <f t="shared" si="95"/>
        <v>1596</v>
      </c>
      <c r="B1543" s="30">
        <f t="shared" si="92"/>
        <v>0.12376237623762376</v>
      </c>
      <c r="C1543" s="30">
        <f t="shared" si="93"/>
        <v>1618</v>
      </c>
      <c r="D1543" s="30">
        <f t="shared" si="94"/>
        <v>1.5582857142857145</v>
      </c>
    </row>
    <row r="1544" spans="1:4" x14ac:dyDescent="0.4">
      <c r="A1544" s="30">
        <f t="shared" si="95"/>
        <v>1597</v>
      </c>
      <c r="B1544" s="30">
        <f t="shared" si="92"/>
        <v>0.12368583797155226</v>
      </c>
      <c r="C1544" s="30">
        <f t="shared" si="93"/>
        <v>1619</v>
      </c>
      <c r="D1544" s="30">
        <f t="shared" si="94"/>
        <v>1.55925</v>
      </c>
    </row>
    <row r="1545" spans="1:4" x14ac:dyDescent="0.4">
      <c r="A1545" s="30">
        <f t="shared" si="95"/>
        <v>1598</v>
      </c>
      <c r="B1545" s="30">
        <f t="shared" si="92"/>
        <v>0.12360939431396786</v>
      </c>
      <c r="C1545" s="30">
        <f t="shared" si="93"/>
        <v>1620</v>
      </c>
      <c r="D1545" s="30">
        <f t="shared" si="94"/>
        <v>1.5602142857142858</v>
      </c>
    </row>
    <row r="1546" spans="1:4" x14ac:dyDescent="0.4">
      <c r="A1546" s="30">
        <f t="shared" si="95"/>
        <v>1599</v>
      </c>
      <c r="B1546" s="30">
        <f t="shared" si="92"/>
        <v>0.12353304508956146</v>
      </c>
      <c r="C1546" s="30">
        <f t="shared" si="93"/>
        <v>1621</v>
      </c>
      <c r="D1546" s="30">
        <f t="shared" si="94"/>
        <v>1.5611785714285715</v>
      </c>
    </row>
    <row r="1547" spans="1:4" x14ac:dyDescent="0.4">
      <c r="A1547" s="30">
        <f t="shared" si="95"/>
        <v>1600</v>
      </c>
      <c r="B1547" s="30">
        <f t="shared" ref="B1547" si="96">$B$4/8/(A1547+$B$2)</f>
        <v>0.12345679012345678</v>
      </c>
      <c r="C1547" s="30">
        <f t="shared" si="93"/>
        <v>1622</v>
      </c>
      <c r="D1547" s="30">
        <f t="shared" si="94"/>
        <v>1.5621428571428573</v>
      </c>
    </row>
  </sheetData>
  <phoneticPr fontId="1" type="noConversion"/>
  <dataValidations count="2">
    <dataValidation type="textLength" showInputMessage="1" showErrorMessage="1" sqref="E2:E5 B2:B4 H2:H3" xr:uid="{47EA4FDC-DC62-430C-AE67-B439C396D9BA}">
      <formula1>0</formula1>
      <formula2>64</formula2>
    </dataValidation>
    <dataValidation type="textLength" operator="lessThan" allowBlank="1" showInputMessage="1" showErrorMessage="1" sqref="A9:D10" xr:uid="{26416E99-59F7-4DB4-8CD5-F6583DA37FFB}">
      <formula1>32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A66-2DF0-4CE9-9CFA-0ECD3760E859}">
  <sheetPr codeName="Sheet4"/>
  <dimension ref="A2"/>
  <sheetViews>
    <sheetView workbookViewId="0">
      <selection activeCell="A14" sqref="A14"/>
    </sheetView>
  </sheetViews>
  <sheetFormatPr defaultRowHeight="13.9" x14ac:dyDescent="0.4"/>
  <cols>
    <col min="1" max="1" width="68.1328125" customWidth="1"/>
  </cols>
  <sheetData>
    <row r="2" spans="1:1" x14ac:dyDescent="0.4">
      <c r="A2" t="s">
        <v>56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48</v>
      </c>
    </row>
    <row r="3" spans="1:2" x14ac:dyDescent="0.4">
      <c r="B3" t="s">
        <v>45</v>
      </c>
    </row>
    <row r="4" spans="1:2" x14ac:dyDescent="0.4">
      <c r="B4" s="8" t="s">
        <v>46</v>
      </c>
    </row>
    <row r="5" spans="1:2" x14ac:dyDescent="0.4">
      <c r="B5" t="s">
        <v>47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40</vt:i4>
      </vt:variant>
    </vt:vector>
  </HeadingPairs>
  <TitlesOfParts>
    <vt:vector size="49" baseType="lpstr">
      <vt:lpstr>DataSummary</vt:lpstr>
      <vt:lpstr>Script</vt:lpstr>
      <vt:lpstr>Multicast</vt:lpstr>
      <vt:lpstr>Process</vt:lpstr>
      <vt:lpstr>Backpress</vt:lpstr>
      <vt:lpstr>Latency</vt:lpstr>
      <vt:lpstr>Performance</vt:lpstr>
      <vt:lpstr>Rules</vt:lpstr>
      <vt:lpstr>ScriptHelp</vt:lpstr>
      <vt:lpstr>ARB_IN</vt:lpstr>
      <vt:lpstr>ARB_IPTR</vt:lpstr>
      <vt:lpstr>ARB_ONUM</vt:lpstr>
      <vt:lpstr>ARB_REG</vt:lpstr>
      <vt:lpstr>BUF_BITMAP</vt:lpstr>
      <vt:lpstr>BUF_CACHE</vt:lpstr>
      <vt:lpstr>BUF_PACK_NUM</vt:lpstr>
      <vt:lpstr>BUF_SIZE</vt:lpstr>
      <vt:lpstr>BUF_TYPE</vt:lpstr>
      <vt:lpstr>BUF_WIDTH</vt:lpstr>
      <vt:lpstr>CNT_BITS</vt:lpstr>
      <vt:lpstr>CNT_DEC_NUM</vt:lpstr>
      <vt:lpstr>CNT_INC_NUM</vt:lpstr>
      <vt:lpstr>CNT_SIZE</vt:lpstr>
      <vt:lpstr>CNT_TYPE</vt:lpstr>
      <vt:lpstr>CNT_USE_NUM</vt:lpstr>
      <vt:lpstr>CPY_NUM_RNG</vt:lpstr>
      <vt:lpstr>DestSheet</vt:lpstr>
      <vt:lpstr>END_TREE</vt:lpstr>
      <vt:lpstr>FLAG_BITS</vt:lpstr>
      <vt:lpstr>FLAG_SIZE</vt:lpstr>
      <vt:lpstr>INST</vt:lpstr>
      <vt:lpstr>NAME</vt:lpstr>
      <vt:lpstr>OFFSET</vt:lpstr>
      <vt:lpstr>PID_RNG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  <vt:lpstr>STAGE_RNG</vt:lpstr>
      <vt:lpstr>START_TREE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2019-12-15T16:03:24Z</dcterms:modified>
</cp:coreProperties>
</file>