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261E1ACD-CA6D-4BA2-A118-32B206959F7C}" xr6:coauthVersionLast="45" xr6:coauthVersionMax="45" xr10:uidLastSave="{00000000-0000-0000-0000-000000000000}"/>
  <bookViews>
    <workbookView xWindow="-98" yWindow="-98" windowWidth="20715" windowHeight="13276" activeTab="4" xr2:uid="{2CE4B1C9-8906-421A-B932-A2C3F5D0AC6B}"/>
  </bookViews>
  <sheets>
    <sheet name="DataSummary" sheetId="2" r:id="rId1"/>
    <sheet name="Script" sheetId="1" r:id="rId2"/>
    <sheet name="Multicast" sheetId="5" r:id="rId3"/>
    <sheet name="Process" sheetId="6" r:id="rId4"/>
    <sheet name="Latency" sheetId="7" r:id="rId5"/>
    <sheet name="Rules" sheetId="4" r:id="rId6"/>
    <sheet name="ScriptHelp" sheetId="3" r:id="rId7"/>
  </sheets>
  <functionGroups builtInGroupCount="19"/>
  <definedNames>
    <definedName name="_xlnm._FilterDatabase" localSheetId="4" hidden="1">Latency!#REF!</definedName>
    <definedName name="_xlnm._FilterDatabase" localSheetId="1" hidden="1">Script!$A$5:$G$6</definedName>
    <definedName name="ARB_IN">Script!$F$30</definedName>
    <definedName name="ARB_IPTR">Script!$G$30</definedName>
    <definedName name="ARB_ONUM">Script!$H$30</definedName>
    <definedName name="ARB_REG">Script!$O$30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CPY_NUM_RNG">Multicast!$E$3:$E$25</definedName>
    <definedName name="DestSheet">Script!$C$1</definedName>
    <definedName name="END_TREE">Latency!$A$32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PID_RNG">Multicast!$B$3:$B$25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  <definedName name="STAGE_RNG">Multicast!$D$3:$D$25</definedName>
    <definedName name="START_TREE">Latency!$A$17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2" l="1"/>
  <c r="H7" i="2"/>
  <c r="E7" i="2"/>
  <c r="A7" i="2"/>
  <c r="I6" i="2"/>
  <c r="H6" i="2"/>
  <c r="E6" i="2"/>
  <c r="A6" i="2"/>
  <c r="I5" i="2"/>
  <c r="H5" i="2"/>
  <c r="E5" i="2"/>
  <c r="A5" i="2"/>
  <c r="I4" i="2"/>
  <c r="H4" i="2"/>
  <c r="E4" i="2"/>
  <c r="A4" i="2"/>
  <c r="I3" i="2"/>
  <c r="H3" i="2"/>
  <c r="E3" i="2"/>
  <c r="C3" i="2"/>
  <c r="A3" i="2"/>
  <c r="E31" i="7" l="1"/>
  <c r="E30" i="7"/>
  <c r="E29" i="7"/>
  <c r="E27" i="7"/>
  <c r="E26" i="7"/>
  <c r="E25" i="7"/>
  <c r="E22" i="7"/>
  <c r="E23" i="7"/>
  <c r="E21" i="7"/>
  <c r="D8" i="7"/>
  <c r="D9" i="7"/>
  <c r="D10" i="7"/>
  <c r="D11" i="7"/>
  <c r="D12" i="7"/>
  <c r="D7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V8" i="7"/>
  <c r="U8" i="7"/>
  <c r="T8" i="7"/>
  <c r="S8" i="7"/>
  <c r="R8" i="7"/>
  <c r="Q8" i="7"/>
  <c r="V7" i="7"/>
  <c r="U7" i="7"/>
  <c r="T7" i="7"/>
  <c r="S7" i="7"/>
  <c r="R7" i="7"/>
  <c r="Q7" i="7"/>
  <c r="G21" i="7" l="1"/>
  <c r="G22" i="7"/>
  <c r="G31" i="7"/>
  <c r="G29" i="7"/>
  <c r="G30" i="7"/>
  <c r="G26" i="7"/>
  <c r="G25" i="7"/>
  <c r="G27" i="7"/>
  <c r="G23" i="7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8" i="7" a="1"/>
  <c r="D24" i="7" a="1"/>
  <c r="D20" i="7" a="1"/>
  <c r="D28" i="7" l="1"/>
  <c r="D24" i="7"/>
  <c r="D20" i="7"/>
  <c r="C19" i="7" a="1"/>
  <c r="C19" i="7" l="1"/>
  <c r="C32" i="7"/>
  <c r="F15" i="2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 s="1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F28" i="7" l="1"/>
  <c r="F20" i="7"/>
  <c r="F24" i="7"/>
  <c r="G26" i="2"/>
  <c r="G22" i="2"/>
  <c r="G18" i="2"/>
  <c r="F14" i="2" l="1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G9" i="2" l="1"/>
  <c r="J13" i="2"/>
  <c r="J12" i="2"/>
  <c r="J14" i="2"/>
  <c r="J4" i="2"/>
  <c r="J3" i="2"/>
  <c r="L31" i="1"/>
  <c r="K31" i="1"/>
  <c r="O31" i="1" s="1"/>
  <c r="J10" i="2" l="1"/>
  <c r="J11" i="2"/>
  <c r="J8" i="2"/>
  <c r="J6" i="2"/>
  <c r="J31" i="2" s="1"/>
  <c r="H31" i="2" s="1"/>
  <c r="J9" i="2"/>
  <c r="J7" i="2"/>
  <c r="J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G30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0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<sst xmlns="http://schemas.openxmlformats.org/spreadsheetml/2006/main" count="208" uniqueCount="132">
  <si>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</si>
  <si>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</si>
  <si>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</si>
  <si>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</si>
  <si>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</si>
  <si>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</si>
  <si>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</si>
  <si>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</si>
  <si>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</si>
  <si>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</si>
  <si>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</si>
  <si>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</si>
  <si>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</si>
  <si>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</si>
  <si>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</si>
  <si>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</si>
  <si>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</si>
  <si>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</si>
  <si>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</si>
  <si>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</si>
  <si>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</si>
  <si>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</si>
  <si>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</si>
  <si>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</si>
  <si>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</si>
  <si>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</si>
  <si>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</si>
  <si>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</si>
  <si>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</si>
  <si>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</si>
  <si>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</si>
  <si>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</si>
  <si>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</si>
  <si>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</si>
  <si>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</si>
  <si>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</si>
  <si>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</si>
  <si>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</si>
  <si>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</si>
  <si>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</si>
  <si>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</si>
  <si>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</si>
  <si>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</si>
  <si>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</si>
  <si>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</si>
  <si>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REG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</si>
  <si>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</si>
  <si>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</si>
  <si>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</si>
  <si>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</si>
  <si>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</si>
  <si>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</si>
  <si>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</si>
  <si>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</si>
  <si>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</si>
  <si>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</si>
  <si>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</si>
  <si>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</si>
  <si>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</si>
  <si>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</si>
  <si>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</si>
  <si>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</si>
  <si>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</si>
  <si>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2R2W</t>
    <phoneticPr fontId="1" type="noConversion"/>
  </si>
  <si>
    <t>d</t>
    <phoneticPr fontId="1" type="noConversion"/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</si>
  <si>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</si>
  <si>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</si>
  <si>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</si>
  <si>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</si>
  <si>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</si>
  <si>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</si>
  <si>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</si>
  <si>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</si>
  <si>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</si>
  <si>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</si>
  <si>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</si>
  <si>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</si>
  <si>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</si>
  <si>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</si>
  <si>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</si>
  <si>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</si>
  <si>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</si>
  <si>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</si>
  <si>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</si>
  <si>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</si>
  <si>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</si>
  <si>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</si>
  <si>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</si>
  <si>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</si>
  <si>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</si>
  <si>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</si>
  <si>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</si>
  <si>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</si>
  <si>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</si>
  <si>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</si>
  <si>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</si>
  <si>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</si>
  <si>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</si>
  <si>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</si>
  <si>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</si>
  <si>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</si>
  <si>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</si>
  <si>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</si>
  <si>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</si>
  <si>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</si>
  <si>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</si>
  <si>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</si>
  <si>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</si>
  <si>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</si>
  <si>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</si>
  <si>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xxx</t>
    <phoneticPr fontId="1" type="noConversion"/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</si>
  <si>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</si>
  <si>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</si>
  <si>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</si>
  <si>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</si>
  <si>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</si>
  <si>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</si>
  <si>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</si>
  <si>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</si>
  <si>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yyy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</si>
  <si>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</si>
  <si>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</si>
  <si>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</si>
  <si>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</si>
  <si>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hahah</t>
    <phoneticPr fontId="1" type="noConversion"/>
  </si>
  <si>
    <t>ttt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</si>
  <si>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</si>
  <si>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</si>
  <si>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</si>
  <si>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bwa</t>
    <phoneticPr fontId="1" type="noConversion"/>
  </si>
  <si>
    <t>test</t>
    <phoneticPr fontId="1" type="noConversion"/>
  </si>
  <si>
    <t>1R2W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</si>
</sst>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indexed="10"/>
      <name val="Arial"/>
      <family val="2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2" fillId="8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10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13" fillId="9" borderId="1" xfId="0" applyNumberFormat="1" applyFont="1" applyFill="1" applyBorder="1" applyAlignment="1">
      <alignment horizontal="center" vertical="center"/>
    </xf>
    <xf numFmtId="0" fontId="3" fillId="3" borderId="5" xfId="0" applyFont="1" applyFill="1" applyBorder="1">
      <alignment vertical="center"/>
    </xf>
    <xf numFmtId="0" fontId="3" fillId="11" borderId="0" xfId="0" applyFont="1" applyFill="1" applyBorder="1">
      <alignment vertical="center"/>
    </xf>
    <xf numFmtId="0" fontId="12" fillId="9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vertical="center"/>
    </xf>
    <xf numFmtId="0" fontId="14" fillId="2" borderId="3" xfId="0" applyFont="1" applyFill="1" applyBorder="1" applyAlignment="1">
      <alignment vertical="center"/>
    </xf>
    <xf numFmtId="0" fontId="14" fillId="2" borderId="4" xfId="0" applyFont="1" applyFill="1" applyBorder="1" applyAlignmen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theme="1"/>
  </sheetPr>
  <dimension ref="A1:J31"/>
  <sheetViews>
    <sheetView workbookViewId="0">
      <selection activeCell="D26" sqref="D26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30" t="s">
        <v>4</v>
      </c>
      <c r="B1" s="30" t="s">
        <v>14</v>
      </c>
      <c r="C1" s="30" t="s">
        <v>5</v>
      </c>
      <c r="D1" s="30" t="s">
        <v>15</v>
      </c>
      <c r="E1" s="32" t="s">
        <v>16</v>
      </c>
      <c r="F1" s="33"/>
      <c r="G1" s="34"/>
      <c r="H1" s="30" t="s">
        <v>19</v>
      </c>
      <c r="I1" s="30" t="s">
        <v>20</v>
      </c>
      <c r="J1" s="30" t="s">
        <v>21</v>
      </c>
    </row>
    <row r="2" spans="1:10" x14ac:dyDescent="0.4">
      <c r="A2" s="31"/>
      <c r="B2" s="31"/>
      <c r="C2" s="31"/>
      <c r="D2" s="31"/>
      <c r="E2" s="1" t="s">
        <v>17</v>
      </c>
      <c r="F2" s="1" t="s">
        <v>18</v>
      </c>
      <c r="G2" s="1" t="s">
        <v>9</v>
      </c>
      <c r="H2" s="31"/>
      <c r="I2" s="31"/>
      <c r="J2" s="31"/>
    </row>
    <row r="3" spans="1:10" x14ac:dyDescent="0.4">
      <c r="A3" s="16" t="str">
        <f>CONCATENATE(Script!B26, "_tail")</f>
        <v>test_tail</v>
      </c>
      <c r="B3" s="6"/>
      <c r="C3" s="16" t="str">
        <f>Script!G26</f>
        <v>TP</v>
      </c>
      <c r="D3" s="6" t="s">
        <v>44</v>
      </c>
      <c r="E3" s="16">
        <f>LOG(Script!E26, 2)</f>
        <v>11</v>
      </c>
      <c r="F3" s="5">
        <f>IF(C3="REG",0,IF(E3&lt;=0,0,IF(E3=1,3,IF(E3&lt;5,4,IF(E3&lt;12,5,IF(E3&lt;27,6,IF(E3&lt;58,7,IF(E3&lt;121,8,IF(E3&lt;248,9,IF(E3&lt;503,10,IF(E3&lt;1014,11,IF(E3&lt;2037,12,IF(E3&lt;4084,13,"OF")))))))))))))</f>
        <v>5</v>
      </c>
      <c r="G3" s="5">
        <f>E3+F3</f>
        <v>16</v>
      </c>
      <c r="H3" s="16">
        <f>Script!F26</f>
        <v>16</v>
      </c>
      <c r="I3" s="16">
        <f>Script!D26</f>
        <v>2</v>
      </c>
      <c r="J3" s="5">
        <f>E3*H3*I3</f>
        <v>352</v>
      </c>
    </row>
    <row r="4" spans="1:10" x14ac:dyDescent="0.4">
      <c r="A4" s="16" t="str">
        <f>CONCATENATE(Script!B26, "_next")</f>
        <v>test_next</v>
      </c>
      <c r="B4" s="6"/>
      <c r="C4" s="6" t="s">
        <v>42</v>
      </c>
      <c r="D4" s="6" t="s">
        <v>44</v>
      </c>
      <c r="E4" s="16">
        <f>LOG(Script!E26, 2)+Script!J26</f>
        <v>12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6</v>
      </c>
      <c r="G4" s="5">
        <f t="shared" ref="G4:G14" si="1">E4+F4</f>
        <v>18</v>
      </c>
      <c r="H4" s="16">
        <f>Script!E26</f>
        <v>2048</v>
      </c>
      <c r="I4" s="16">
        <f>Script!D26</f>
        <v>2</v>
      </c>
      <c r="J4" s="5">
        <f t="shared" ref="J4:J6" si="2">E4*H4*I4</f>
        <v>49152</v>
      </c>
    </row>
    <row r="5" spans="1:10" x14ac:dyDescent="0.4">
      <c r="A5" s="16" t="str">
        <f>CONCATENATE(Script!B26, "_last")</f>
        <v>test_last</v>
      </c>
      <c r="B5" s="6"/>
      <c r="C5" s="6" t="s">
        <v>42</v>
      </c>
      <c r="D5" s="6" t="s">
        <v>44</v>
      </c>
      <c r="E5" s="16">
        <f>LOG(Script!E26, 2)</f>
        <v>11</v>
      </c>
      <c r="F5" s="5">
        <f t="shared" si="0"/>
        <v>5</v>
      </c>
      <c r="G5" s="5">
        <f t="shared" si="1"/>
        <v>16</v>
      </c>
      <c r="H5" s="16">
        <f>Script!E26</f>
        <v>2048</v>
      </c>
      <c r="I5" s="16">
        <f>Script!D26</f>
        <v>2</v>
      </c>
      <c r="J5" s="5">
        <f t="shared" si="2"/>
        <v>45056</v>
      </c>
    </row>
    <row r="6" spans="1:10" x14ac:dyDescent="0.4">
      <c r="A6" s="16" t="str">
        <f>CONCATENATE(Script!B26, "_head")</f>
        <v>test_head</v>
      </c>
      <c r="B6" s="6"/>
      <c r="C6" s="6" t="s">
        <v>45</v>
      </c>
      <c r="D6" s="6" t="s">
        <v>131</v>
      </c>
      <c r="E6" s="16">
        <f>LOG(Script!E26, 2)+Script!J26</f>
        <v>12</v>
      </c>
      <c r="F6" s="5">
        <f t="shared" si="0"/>
        <v>0</v>
      </c>
      <c r="G6" s="5">
        <f t="shared" si="1"/>
        <v>12</v>
      </c>
      <c r="H6" s="16">
        <f>Script!H26</f>
        <v>32</v>
      </c>
      <c r="I6" s="16">
        <f>Script!D26</f>
        <v>2</v>
      </c>
      <c r="J6" s="5">
        <f t="shared" si="2"/>
        <v>768</v>
      </c>
    </row>
    <row r="7" spans="1:10" x14ac:dyDescent="0.4">
      <c r="A7" s="16" t="str">
        <f>CONCATENATE(Script!B26, "_len")</f>
        <v>test_len</v>
      </c>
      <c r="B7" s="6"/>
      <c r="C7" s="6" t="s">
        <v>45</v>
      </c>
      <c r="D7" s="6" t="s">
        <v>63</v>
      </c>
      <c r="E7" s="16">
        <f>LOG(Script!E26, 2)</f>
        <v>11</v>
      </c>
      <c r="F7" s="5">
        <f t="shared" si="0"/>
        <v>0</v>
      </c>
      <c r="G7" s="5">
        <f t="shared" si="1"/>
        <v>11</v>
      </c>
      <c r="H7" s="16">
        <f>Script!F26</f>
        <v>16</v>
      </c>
      <c r="I7" s="16">
        <f>Script!D26</f>
        <v>2</v>
      </c>
      <c r="J7" s="5">
        <f t="shared" ref="J7:J14" si="3">E7*H7*I7</f>
        <v>352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  <row r="30" spans="1:10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x14ac:dyDescent="0.4">
      <c r="G31" s="11" t="s">
        <v>53</v>
      </c>
      <c r="H31" s="12">
        <f>SUM(J3:J29)-J31</f>
        <v>94560</v>
      </c>
      <c r="I31" s="11" t="s">
        <v>54</v>
      </c>
      <c r="J31" s="13">
        <f>SUMIF(C3:C29,"REG",J3:J29)</f>
        <v>1120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theme="1"/>
  </sheetPr>
  <dimension ref="A1:P36"/>
  <sheetViews>
    <sheetView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C27" sqref="C27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51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55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56</v>
      </c>
      <c r="H10" s="1" t="s">
        <v>57</v>
      </c>
      <c r="I10" s="1" t="s">
        <v>58</v>
      </c>
      <c r="J10" s="15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4" t="s">
        <v>59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62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6" ht="17.649999999999999" x14ac:dyDescent="0.4">
      <c r="A19" s="4" t="s">
        <v>33</v>
      </c>
    </row>
    <row r="20" spans="1:16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46</v>
      </c>
      <c r="I20" s="1"/>
      <c r="J20" s="1"/>
      <c r="K20" s="1"/>
      <c r="L20" s="1"/>
      <c r="M20" s="1"/>
    </row>
    <row r="21" spans="1:16" x14ac:dyDescent="0.4">
      <c r="B21" s="2" t="s">
        <v>64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6" ht="17.649999999999999" x14ac:dyDescent="0.4">
      <c r="A24" s="4" t="s">
        <v>34</v>
      </c>
    </row>
    <row r="25" spans="1:16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52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6" x14ac:dyDescent="0.4">
      <c r="B26" s="2" t="s">
        <v>130</v>
      </c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6" ht="17.649999999999999" x14ac:dyDescent="0.4">
      <c r="A29" s="4" t="s">
        <v>36</v>
      </c>
    </row>
    <row r="30" spans="1:16" x14ac:dyDescent="0.4">
      <c r="B30" s="1" t="s">
        <v>4</v>
      </c>
      <c r="C30" s="1" t="s">
        <v>28</v>
      </c>
      <c r="D30" s="1" t="s">
        <v>32</v>
      </c>
      <c r="E30" s="1" t="s">
        <v>5</v>
      </c>
      <c r="F30" s="1" t="s">
        <v>1</v>
      </c>
      <c r="G30" s="1" t="s">
        <v>27</v>
      </c>
      <c r="H30" s="1" t="s">
        <v>2</v>
      </c>
      <c r="I30" s="1" t="s">
        <v>0</v>
      </c>
      <c r="J30" s="1" t="s">
        <v>3</v>
      </c>
      <c r="K30" s="1" t="s">
        <v>6</v>
      </c>
      <c r="L30" s="1" t="s">
        <v>7</v>
      </c>
      <c r="M30" s="1" t="s">
        <v>8</v>
      </c>
      <c r="N30" s="1" t="s">
        <v>10</v>
      </c>
      <c r="O30" s="1" t="s">
        <v>9</v>
      </c>
      <c r="P30" s="1" t="s">
        <v>65</v>
      </c>
    </row>
    <row r="31" spans="1:16" x14ac:dyDescent="0.4">
      <c r="B31" s="2" t="s">
        <v>129</v>
      </c>
      <c r="C31" s="2">
        <v>6</v>
      </c>
      <c r="D31" s="2">
        <v>6</v>
      </c>
      <c r="E31" s="2" t="s">
        <v>61</v>
      </c>
      <c r="F31" s="2">
        <v>8</v>
      </c>
      <c r="G31" s="2">
        <v>0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108</v>
      </c>
      <c r="N31" s="2">
        <v>1</v>
      </c>
      <c r="O31" s="3">
        <f>(K31+L31+M31+IF(P31&gt;0,CEILING(LOG(P31,2),1),0)*F31*H31)*N31</f>
        <v>414</v>
      </c>
      <c r="P31" s="2">
        <v>0</v>
      </c>
    </row>
    <row r="34" spans="1:13" ht="17.649999999999999" x14ac:dyDescent="0.4">
      <c r="A34" s="4" t="s">
        <v>37</v>
      </c>
    </row>
    <row r="35" spans="1:13" x14ac:dyDescent="0.4">
      <c r="B35" s="1" t="s">
        <v>4</v>
      </c>
      <c r="C35" s="1" t="s">
        <v>22</v>
      </c>
      <c r="D35" s="1" t="s">
        <v>32</v>
      </c>
      <c r="E35" s="1" t="s">
        <v>29</v>
      </c>
      <c r="F35" s="1" t="s">
        <v>30</v>
      </c>
      <c r="G35" s="1" t="s">
        <v>31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9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N31 F31 H31:J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1 G31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68</v>
      </c>
      <c r="B2" s="1" t="s">
        <v>69</v>
      </c>
      <c r="C2" s="1" t="s">
        <v>67</v>
      </c>
      <c r="D2" s="1" t="s">
        <v>80</v>
      </c>
      <c r="E2" s="1" t="s">
        <v>66</v>
      </c>
      <c r="F2" s="1" t="s">
        <v>78</v>
      </c>
      <c r="G2" s="1" t="s">
        <v>79</v>
      </c>
    </row>
    <row r="3" spans="1:7" x14ac:dyDescent="0.4">
      <c r="A3" s="17">
        <v>0</v>
      </c>
      <c r="B3" s="18"/>
      <c r="C3" s="18" t="s">
        <v>70</v>
      </c>
      <c r="D3" s="18">
        <v>3</v>
      </c>
      <c r="E3" s="18">
        <v>4</v>
      </c>
      <c r="F3" s="19">
        <f>IF(D3&lt;&gt;"",CEILING(LOG(SUMIFS(E3:E25,B3:B25,A3)+1,2),1),"")</f>
        <v>3</v>
      </c>
      <c r="G3" s="19"/>
    </row>
    <row r="4" spans="1:7" x14ac:dyDescent="0.4">
      <c r="A4" s="17">
        <v>1</v>
      </c>
      <c r="B4" s="18"/>
      <c r="C4" s="18"/>
      <c r="D4" s="18"/>
      <c r="E4" s="18"/>
      <c r="F4" s="19" t="str">
        <f>IF(D4&lt;&gt;"",CEILING(LOG(SUMIFS(E4:E26,B4:B26,A4)+1,2),1),"")</f>
        <v/>
      </c>
      <c r="G4" s="19"/>
    </row>
    <row r="5" spans="1:7" x14ac:dyDescent="0.4">
      <c r="A5" s="17">
        <v>2</v>
      </c>
      <c r="B5" s="18"/>
      <c r="C5" s="18"/>
      <c r="D5" s="18"/>
      <c r="E5" s="18"/>
      <c r="F5" s="19" t="str">
        <f>IF(D5&lt;&gt;"",CEILING(LOG(SUMIFS(E5:E27,B5:B27,A5)+1,2),1),"")</f>
        <v/>
      </c>
      <c r="G5" s="19"/>
    </row>
    <row r="6" spans="1:7" x14ac:dyDescent="0.4">
      <c r="A6" s="17">
        <v>3</v>
      </c>
      <c r="B6" s="18">
        <v>0</v>
      </c>
      <c r="C6" s="18" t="s">
        <v>71</v>
      </c>
      <c r="D6" s="18"/>
      <c r="E6" s="18">
        <v>1</v>
      </c>
      <c r="F6" s="19" t="str">
        <f>IF(D6&lt;&gt;"",CEILING(LOG(SUMIFS(E6:E28,B6:B28,A6)+1,2),1),"")</f>
        <v/>
      </c>
      <c r="G6" s="19"/>
    </row>
    <row r="7" spans="1:7" x14ac:dyDescent="0.4">
      <c r="A7" s="17">
        <v>4</v>
      </c>
      <c r="B7" s="18">
        <v>3</v>
      </c>
      <c r="C7" s="18" t="s">
        <v>75</v>
      </c>
      <c r="D7" s="18">
        <v>4</v>
      </c>
      <c r="E7" s="18">
        <v>1</v>
      </c>
      <c r="F7" s="19">
        <f>IF(D7&lt;&gt;"",CEILING(LOG(SUMIFS(E7:E29,B7:B29,A7)+1,2),1),"")</f>
        <v>1</v>
      </c>
      <c r="G7" s="19"/>
    </row>
    <row r="8" spans="1:7" x14ac:dyDescent="0.4">
      <c r="A8" s="17">
        <v>5</v>
      </c>
      <c r="B8" s="18">
        <v>4</v>
      </c>
      <c r="C8" s="18" t="s">
        <v>82</v>
      </c>
      <c r="D8" s="18">
        <v>5</v>
      </c>
      <c r="E8" s="18">
        <v>1</v>
      </c>
      <c r="F8" s="19"/>
      <c r="G8" s="19"/>
    </row>
    <row r="9" spans="1:7" x14ac:dyDescent="0.4">
      <c r="A9" s="17">
        <v>6</v>
      </c>
      <c r="B9" s="18">
        <v>3</v>
      </c>
      <c r="C9" s="18" t="s">
        <v>76</v>
      </c>
      <c r="D9" s="18">
        <v>4</v>
      </c>
      <c r="E9" s="18">
        <v>4</v>
      </c>
      <c r="F9" s="19">
        <f t="shared" ref="F9:F25" si="0">IF(D9&lt;&gt;"",CEILING(LOG(SUMIFS(E9:E30,B9:B30,A9)+1,2),1),"")</f>
        <v>0</v>
      </c>
      <c r="G9" s="19"/>
    </row>
    <row r="10" spans="1:7" x14ac:dyDescent="0.4">
      <c r="A10" s="17">
        <v>7</v>
      </c>
      <c r="B10" s="18">
        <v>5</v>
      </c>
      <c r="C10" s="18" t="s">
        <v>77</v>
      </c>
      <c r="D10" s="18">
        <v>5</v>
      </c>
      <c r="E10" s="18">
        <f>4096-1</f>
        <v>4095</v>
      </c>
      <c r="F10" s="19">
        <f t="shared" si="0"/>
        <v>0</v>
      </c>
      <c r="G10" s="19"/>
    </row>
    <row r="11" spans="1:7" x14ac:dyDescent="0.4">
      <c r="A11" s="17">
        <v>8</v>
      </c>
      <c r="B11" s="18"/>
      <c r="C11" s="18"/>
      <c r="D11" s="18"/>
      <c r="E11" s="18"/>
      <c r="F11" s="19" t="str">
        <f t="shared" si="0"/>
        <v/>
      </c>
      <c r="G11" s="19"/>
    </row>
    <row r="12" spans="1:7" x14ac:dyDescent="0.4">
      <c r="A12" s="17">
        <v>9</v>
      </c>
      <c r="B12" s="18">
        <v>0</v>
      </c>
      <c r="C12" s="18" t="s">
        <v>72</v>
      </c>
      <c r="D12" s="18"/>
      <c r="E12" s="18">
        <v>1</v>
      </c>
      <c r="F12" s="19" t="str">
        <f t="shared" si="0"/>
        <v/>
      </c>
      <c r="G12" s="19"/>
    </row>
    <row r="13" spans="1:7" x14ac:dyDescent="0.4">
      <c r="A13" s="17">
        <v>10</v>
      </c>
      <c r="B13" s="18">
        <v>9</v>
      </c>
      <c r="C13" s="18" t="s">
        <v>83</v>
      </c>
      <c r="D13" s="18">
        <v>4</v>
      </c>
      <c r="E13" s="18">
        <v>1</v>
      </c>
      <c r="F13" s="19">
        <f t="shared" si="0"/>
        <v>1</v>
      </c>
      <c r="G13" s="19"/>
    </row>
    <row r="14" spans="1:7" x14ac:dyDescent="0.4">
      <c r="A14" s="17">
        <v>11</v>
      </c>
      <c r="B14" s="18">
        <v>10</v>
      </c>
      <c r="C14" s="18" t="s">
        <v>84</v>
      </c>
      <c r="D14" s="18">
        <v>5</v>
      </c>
      <c r="E14" s="18">
        <v>1</v>
      </c>
      <c r="F14" s="19">
        <f t="shared" si="0"/>
        <v>0</v>
      </c>
      <c r="G14" s="19"/>
    </row>
    <row r="15" spans="1:7" x14ac:dyDescent="0.4">
      <c r="A15" s="17">
        <v>12</v>
      </c>
      <c r="B15" s="18">
        <v>9</v>
      </c>
      <c r="C15" s="18" t="s">
        <v>85</v>
      </c>
      <c r="D15" s="18">
        <v>4</v>
      </c>
      <c r="E15" s="18">
        <v>4</v>
      </c>
      <c r="F15" s="19">
        <f t="shared" si="0"/>
        <v>12</v>
      </c>
      <c r="G15" s="19"/>
    </row>
    <row r="16" spans="1:7" x14ac:dyDescent="0.4">
      <c r="A16" s="17">
        <v>13</v>
      </c>
      <c r="B16" s="18">
        <v>12</v>
      </c>
      <c r="C16" s="18" t="s">
        <v>86</v>
      </c>
      <c r="D16" s="18">
        <v>5</v>
      </c>
      <c r="E16" s="18">
        <v>4095</v>
      </c>
      <c r="F16" s="19">
        <f t="shared" si="0"/>
        <v>0</v>
      </c>
      <c r="G16" s="19"/>
    </row>
    <row r="17" spans="1:10" x14ac:dyDescent="0.4">
      <c r="A17" s="17">
        <v>14</v>
      </c>
      <c r="B17" s="18"/>
      <c r="C17" s="18"/>
      <c r="D17" s="18"/>
      <c r="E17" s="18"/>
      <c r="F17" s="19" t="str">
        <f t="shared" si="0"/>
        <v/>
      </c>
      <c r="G17" s="19"/>
    </row>
    <row r="18" spans="1:10" x14ac:dyDescent="0.4">
      <c r="A18" s="17">
        <v>15</v>
      </c>
      <c r="B18" s="18">
        <v>0</v>
      </c>
      <c r="C18" s="18" t="s">
        <v>73</v>
      </c>
      <c r="D18" s="18"/>
      <c r="E18" s="18">
        <v>1</v>
      </c>
      <c r="F18" s="19" t="str">
        <f t="shared" si="0"/>
        <v/>
      </c>
      <c r="G18" s="19"/>
    </row>
    <row r="19" spans="1:10" x14ac:dyDescent="0.4">
      <c r="A19" s="17">
        <v>16</v>
      </c>
      <c r="B19" s="18">
        <v>15</v>
      </c>
      <c r="C19" s="18" t="s">
        <v>87</v>
      </c>
      <c r="D19" s="18">
        <v>4</v>
      </c>
      <c r="E19" s="18">
        <v>1</v>
      </c>
      <c r="F19" s="19">
        <f t="shared" si="0"/>
        <v>1</v>
      </c>
      <c r="G19" s="19"/>
    </row>
    <row r="20" spans="1:10" x14ac:dyDescent="0.4">
      <c r="A20" s="17">
        <v>17</v>
      </c>
      <c r="B20" s="18">
        <v>16</v>
      </c>
      <c r="C20" s="18" t="s">
        <v>88</v>
      </c>
      <c r="D20" s="18">
        <v>5</v>
      </c>
      <c r="E20" s="18">
        <v>1</v>
      </c>
      <c r="F20" s="19">
        <f t="shared" si="0"/>
        <v>0</v>
      </c>
      <c r="G20" s="19"/>
    </row>
    <row r="21" spans="1:10" x14ac:dyDescent="0.4">
      <c r="A21" s="17">
        <v>18</v>
      </c>
      <c r="B21" s="18">
        <v>15</v>
      </c>
      <c r="C21" s="18" t="s">
        <v>85</v>
      </c>
      <c r="D21" s="18">
        <v>4</v>
      </c>
      <c r="E21" s="18">
        <v>4</v>
      </c>
      <c r="F21" s="19">
        <f t="shared" si="0"/>
        <v>12</v>
      </c>
      <c r="G21" s="19"/>
    </row>
    <row r="22" spans="1:10" x14ac:dyDescent="0.4">
      <c r="A22" s="17">
        <v>19</v>
      </c>
      <c r="B22" s="18">
        <v>18</v>
      </c>
      <c r="C22" s="18" t="s">
        <v>89</v>
      </c>
      <c r="D22" s="18">
        <v>5</v>
      </c>
      <c r="E22" s="18">
        <v>4095</v>
      </c>
      <c r="F22" s="19">
        <f t="shared" si="0"/>
        <v>0</v>
      </c>
      <c r="G22" s="19"/>
    </row>
    <row r="23" spans="1:10" x14ac:dyDescent="0.4">
      <c r="A23" s="17">
        <v>20</v>
      </c>
      <c r="B23" s="18"/>
      <c r="C23" s="18"/>
      <c r="D23" s="18"/>
      <c r="E23" s="18"/>
      <c r="F23" s="19" t="str">
        <f t="shared" si="0"/>
        <v/>
      </c>
      <c r="G23" s="19"/>
    </row>
    <row r="24" spans="1:10" x14ac:dyDescent="0.4">
      <c r="A24" s="17">
        <v>21</v>
      </c>
      <c r="B24" s="18">
        <v>0</v>
      </c>
      <c r="C24" s="18" t="s">
        <v>74</v>
      </c>
      <c r="D24" s="18"/>
      <c r="E24" s="18">
        <v>1</v>
      </c>
      <c r="F24" s="19" t="str">
        <f t="shared" si="0"/>
        <v/>
      </c>
      <c r="G24" s="19"/>
    </row>
    <row r="25" spans="1:10" x14ac:dyDescent="0.4">
      <c r="A25" s="17">
        <v>22</v>
      </c>
      <c r="B25" s="18"/>
      <c r="C25" s="18"/>
      <c r="D25" s="18"/>
      <c r="E25" s="18"/>
      <c r="F25" s="19" t="str">
        <f t="shared" si="0"/>
        <v/>
      </c>
      <c r="G25" s="19"/>
    </row>
    <row r="29" spans="1:10" x14ac:dyDescent="0.4">
      <c r="I29" s="1" t="s">
        <v>81</v>
      </c>
      <c r="J29" s="1" t="s">
        <v>79</v>
      </c>
    </row>
    <row r="30" spans="1:10" x14ac:dyDescent="0.4">
      <c r="I30" s="17">
        <v>0</v>
      </c>
      <c r="J30" s="19"/>
    </row>
    <row r="31" spans="1:10" x14ac:dyDescent="0.4">
      <c r="I31" s="17">
        <v>1</v>
      </c>
      <c r="J31" s="19">
        <f t="shared" ref="J31:J36" si="1">CEILING(LOG(SUMIFS(CPY_NUM_RNG,STAGE_RNG,I31)+1,2),1)</f>
        <v>0</v>
      </c>
    </row>
    <row r="32" spans="1:10" x14ac:dyDescent="0.4">
      <c r="I32" s="17">
        <v>2</v>
      </c>
      <c r="J32" s="19">
        <f t="shared" si="1"/>
        <v>0</v>
      </c>
    </row>
    <row r="33" spans="9:10" x14ac:dyDescent="0.4">
      <c r="I33" s="17">
        <v>3</v>
      </c>
      <c r="J33" s="19">
        <f t="shared" si="1"/>
        <v>3</v>
      </c>
    </row>
    <row r="34" spans="9:10" x14ac:dyDescent="0.4">
      <c r="I34" s="17">
        <v>4</v>
      </c>
      <c r="J34" s="19">
        <f t="shared" si="1"/>
        <v>4</v>
      </c>
    </row>
    <row r="35" spans="9:10" x14ac:dyDescent="0.4">
      <c r="I35" s="17">
        <v>5</v>
      </c>
      <c r="J35" s="19">
        <f t="shared" si="1"/>
        <v>14</v>
      </c>
    </row>
    <row r="36" spans="9:10" x14ac:dyDescent="0.4">
      <c r="I36" s="17">
        <v>6</v>
      </c>
      <c r="J36" s="19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/>
  <dimension ref="A1:E8"/>
  <sheetViews>
    <sheetView workbookViewId="0">
      <selection activeCell="D9" sqref="D9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68</v>
      </c>
      <c r="B1" s="1" t="s">
        <v>92</v>
      </c>
      <c r="C1" s="1" t="s">
        <v>14</v>
      </c>
      <c r="D1" s="1" t="s">
        <v>90</v>
      </c>
      <c r="E1" s="1"/>
    </row>
    <row r="2" spans="1:5" x14ac:dyDescent="0.4">
      <c r="A2" s="17" t="s">
        <v>91</v>
      </c>
      <c r="B2" s="20" t="s">
        <v>93</v>
      </c>
      <c r="C2" s="20"/>
      <c r="D2" s="21" t="s">
        <v>103</v>
      </c>
      <c r="E2" s="18"/>
    </row>
    <row r="3" spans="1:5" x14ac:dyDescent="0.4">
      <c r="A3" s="17" t="s">
        <v>94</v>
      </c>
      <c r="B3" s="20" t="s">
        <v>93</v>
      </c>
      <c r="C3" s="20"/>
      <c r="D3" s="21" t="s">
        <v>104</v>
      </c>
      <c r="E3" s="18"/>
    </row>
    <row r="4" spans="1:5" x14ac:dyDescent="0.4">
      <c r="A4" s="17" t="s">
        <v>95</v>
      </c>
      <c r="B4" s="20"/>
      <c r="C4" s="20"/>
      <c r="D4" s="18" t="s">
        <v>96</v>
      </c>
      <c r="E4" s="18"/>
    </row>
    <row r="5" spans="1:5" x14ac:dyDescent="0.4">
      <c r="A5" s="17" t="s">
        <v>97</v>
      </c>
      <c r="B5" s="20" t="s">
        <v>98</v>
      </c>
      <c r="C5" s="20"/>
      <c r="D5" s="21" t="s">
        <v>99</v>
      </c>
      <c r="E5" s="18"/>
    </row>
    <row r="6" spans="1:5" x14ac:dyDescent="0.4">
      <c r="A6" s="17" t="s">
        <v>102</v>
      </c>
      <c r="B6" s="20" t="s">
        <v>98</v>
      </c>
      <c r="C6" s="20"/>
      <c r="D6" s="18">
        <v>180</v>
      </c>
      <c r="E6" s="18"/>
    </row>
    <row r="7" spans="1:5" x14ac:dyDescent="0.4">
      <c r="A7" s="17" t="s">
        <v>100</v>
      </c>
      <c r="B7" s="20" t="s">
        <v>101</v>
      </c>
      <c r="C7" s="20"/>
      <c r="D7" s="18">
        <v>1800</v>
      </c>
      <c r="E7" s="18"/>
    </row>
    <row r="8" spans="1:5" x14ac:dyDescent="0.4">
      <c r="A8" s="17" t="s">
        <v>127</v>
      </c>
      <c r="B8" s="20" t="s">
        <v>128</v>
      </c>
      <c r="C8" s="20"/>
      <c r="D8" s="18">
        <v>2.5099999999999998</v>
      </c>
      <c r="E8" s="18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32"/>
  <sheetViews>
    <sheetView tabSelected="1" workbookViewId="0">
      <selection activeCell="J22" sqref="J22"/>
    </sheetView>
  </sheetViews>
  <sheetFormatPr defaultRowHeight="13.9" x14ac:dyDescent="0.4"/>
  <cols>
    <col min="1" max="1" width="5.73046875" customWidth="1"/>
    <col min="2" max="2" width="22.46484375" customWidth="1"/>
    <col min="3" max="3" width="17.73046875" customWidth="1"/>
    <col min="5" max="5" width="16.796875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42" t="s">
        <v>122</v>
      </c>
      <c r="B5" s="42" t="s">
        <v>106</v>
      </c>
      <c r="C5" s="42" t="s">
        <v>107</v>
      </c>
      <c r="D5" s="41" t="s">
        <v>111</v>
      </c>
      <c r="E5" s="32" t="s">
        <v>112</v>
      </c>
      <c r="F5" s="34"/>
      <c r="G5" s="32" t="s">
        <v>113</v>
      </c>
      <c r="H5" s="34"/>
      <c r="I5" s="32" t="s">
        <v>114</v>
      </c>
      <c r="J5" s="34"/>
      <c r="K5" s="32" t="s">
        <v>115</v>
      </c>
      <c r="L5" s="34"/>
      <c r="M5" s="32" t="s">
        <v>116</v>
      </c>
      <c r="N5" s="34"/>
      <c r="O5" s="32" t="s">
        <v>117</v>
      </c>
      <c r="P5" s="34"/>
      <c r="Q5" s="43" t="s">
        <v>118</v>
      </c>
      <c r="R5" s="44"/>
      <c r="S5" s="44"/>
      <c r="T5" s="44"/>
      <c r="U5" s="44"/>
      <c r="V5" s="45"/>
    </row>
    <row r="6" spans="1:22" ht="25.5" x14ac:dyDescent="0.4">
      <c r="A6" s="42"/>
      <c r="B6" s="42"/>
      <c r="C6" s="42"/>
      <c r="D6" s="41"/>
      <c r="E6" s="1" t="s">
        <v>4</v>
      </c>
      <c r="F6" s="22" t="s">
        <v>111</v>
      </c>
      <c r="G6" s="1" t="s">
        <v>4</v>
      </c>
      <c r="H6" s="22" t="s">
        <v>111</v>
      </c>
      <c r="I6" s="1" t="s">
        <v>4</v>
      </c>
      <c r="J6" s="22" t="s">
        <v>111</v>
      </c>
      <c r="K6" s="1" t="s">
        <v>4</v>
      </c>
      <c r="L6" s="22" t="s">
        <v>111</v>
      </c>
      <c r="M6" s="1" t="s">
        <v>4</v>
      </c>
      <c r="N6" s="22" t="s">
        <v>111</v>
      </c>
      <c r="O6" s="1" t="s">
        <v>4</v>
      </c>
      <c r="P6" s="22" t="s">
        <v>111</v>
      </c>
      <c r="Q6" s="46"/>
      <c r="R6" s="47"/>
      <c r="S6" s="47"/>
      <c r="T6" s="47"/>
      <c r="U6" s="47"/>
      <c r="V6" s="48"/>
    </row>
    <row r="7" spans="1:22" x14ac:dyDescent="0.4">
      <c r="A7" s="2"/>
      <c r="B7" s="2">
        <v>2</v>
      </c>
      <c r="C7" s="23" t="s">
        <v>109</v>
      </c>
      <c r="D7" s="19">
        <f ca="1">OFFSET(D7,,MATCH(C7,E7:O7,0)+1)</f>
        <v>10</v>
      </c>
      <c r="E7" s="25" t="s">
        <v>110</v>
      </c>
      <c r="F7" s="24">
        <v>10</v>
      </c>
      <c r="G7" s="25" t="s">
        <v>119</v>
      </c>
      <c r="H7" s="24">
        <v>4</v>
      </c>
      <c r="I7" s="25"/>
      <c r="J7" s="24"/>
      <c r="K7" s="25"/>
      <c r="L7" s="24"/>
      <c r="M7" s="25"/>
      <c r="N7" s="24"/>
      <c r="O7" s="25"/>
      <c r="P7" s="24"/>
      <c r="Q7" s="26" t="str">
        <f t="shared" ref="Q7:Q12" si="0">IF(E7="","",E7)</f>
        <v>xxx</v>
      </c>
      <c r="R7" s="26" t="str">
        <f t="shared" ref="R7:R12" si="1">IF(G7="","",G7)</f>
        <v>yyy</v>
      </c>
      <c r="S7" s="26" t="str">
        <f t="shared" ref="S7:S12" si="2">IF(I7="","",I7)</f>
        <v/>
      </c>
      <c r="T7" s="26" t="str">
        <f t="shared" ref="T7:T12" si="3">IF(K7="","",K7)</f>
        <v/>
      </c>
      <c r="U7" s="26" t="str">
        <f t="shared" ref="U7:U12" si="4">IF(M7="","",M7)</f>
        <v/>
      </c>
      <c r="V7" s="26" t="str">
        <f t="shared" ref="V7:V12" si="5">IF(O7="","",O7)</f>
        <v/>
      </c>
    </row>
    <row r="8" spans="1:22" x14ac:dyDescent="0.4">
      <c r="A8" s="2">
        <v>2</v>
      </c>
      <c r="B8" s="2" t="s">
        <v>125</v>
      </c>
      <c r="C8" s="23" t="s">
        <v>109</v>
      </c>
      <c r="D8" s="19">
        <f t="shared" ref="D8:D12" ca="1" si="6">OFFSET(D8,,MATCH(C8,E8:O8,0)+1)</f>
        <v>10</v>
      </c>
      <c r="E8" s="25" t="s">
        <v>110</v>
      </c>
      <c r="F8" s="24">
        <v>10</v>
      </c>
      <c r="G8" s="25" t="s">
        <v>119</v>
      </c>
      <c r="H8" s="24">
        <v>4</v>
      </c>
      <c r="I8" s="25"/>
      <c r="J8" s="24"/>
      <c r="K8" s="25"/>
      <c r="L8" s="24"/>
      <c r="M8" s="25"/>
      <c r="N8" s="24"/>
      <c r="O8" s="25"/>
      <c r="P8" s="24"/>
      <c r="Q8" s="26" t="str">
        <f t="shared" si="0"/>
        <v>xxx</v>
      </c>
      <c r="R8" s="26" t="str">
        <f t="shared" si="1"/>
        <v>yyy</v>
      </c>
      <c r="S8" s="26" t="str">
        <f t="shared" si="2"/>
        <v/>
      </c>
      <c r="T8" s="26" t="str">
        <f t="shared" si="3"/>
        <v/>
      </c>
      <c r="U8" s="26" t="str">
        <f t="shared" si="4"/>
        <v/>
      </c>
      <c r="V8" s="26" t="str">
        <f t="shared" si="5"/>
        <v/>
      </c>
    </row>
    <row r="9" spans="1:22" x14ac:dyDescent="0.4">
      <c r="A9" s="2">
        <v>1</v>
      </c>
      <c r="B9" s="2" t="s">
        <v>124</v>
      </c>
      <c r="C9" s="23" t="s">
        <v>109</v>
      </c>
      <c r="D9" s="19">
        <f t="shared" ca="1" si="6"/>
        <v>10</v>
      </c>
      <c r="E9" s="25" t="s">
        <v>110</v>
      </c>
      <c r="F9" s="24">
        <v>10</v>
      </c>
      <c r="G9" s="25" t="s">
        <v>119</v>
      </c>
      <c r="H9" s="24">
        <v>4</v>
      </c>
      <c r="I9" s="25"/>
      <c r="J9" s="24"/>
      <c r="K9" s="25"/>
      <c r="L9" s="24"/>
      <c r="M9" s="25"/>
      <c r="N9" s="24"/>
      <c r="O9" s="25"/>
      <c r="P9" s="24"/>
      <c r="Q9" s="26" t="str">
        <f t="shared" si="0"/>
        <v>xxx</v>
      </c>
      <c r="R9" s="26" t="str">
        <f t="shared" si="1"/>
        <v>yyy</v>
      </c>
      <c r="S9" s="26" t="str">
        <f t="shared" si="2"/>
        <v/>
      </c>
      <c r="T9" s="26" t="str">
        <f t="shared" si="3"/>
        <v/>
      </c>
      <c r="U9" s="26" t="str">
        <f t="shared" si="4"/>
        <v/>
      </c>
      <c r="V9" s="26" t="str">
        <f t="shared" si="5"/>
        <v/>
      </c>
    </row>
    <row r="10" spans="1:22" x14ac:dyDescent="0.4">
      <c r="A10" s="2"/>
      <c r="B10" s="2">
        <v>2</v>
      </c>
      <c r="C10" s="23" t="s">
        <v>109</v>
      </c>
      <c r="D10" s="19">
        <f t="shared" ca="1" si="6"/>
        <v>10</v>
      </c>
      <c r="E10" s="25" t="s">
        <v>110</v>
      </c>
      <c r="F10" s="24">
        <v>10</v>
      </c>
      <c r="G10" s="25" t="s">
        <v>119</v>
      </c>
      <c r="H10" s="24">
        <v>4</v>
      </c>
      <c r="I10" s="25"/>
      <c r="J10" s="24"/>
      <c r="K10" s="25"/>
      <c r="L10" s="24"/>
      <c r="M10" s="25"/>
      <c r="N10" s="24"/>
      <c r="O10" s="25"/>
      <c r="P10" s="24"/>
      <c r="Q10" s="26" t="str">
        <f t="shared" si="0"/>
        <v>xxx</v>
      </c>
      <c r="R10" s="26" t="str">
        <f t="shared" si="1"/>
        <v>yyy</v>
      </c>
      <c r="S10" s="26" t="str">
        <f t="shared" si="2"/>
        <v/>
      </c>
      <c r="T10" s="26" t="str">
        <f t="shared" si="3"/>
        <v/>
      </c>
      <c r="U10" s="26" t="str">
        <f t="shared" si="4"/>
        <v/>
      </c>
      <c r="V10" s="26" t="str">
        <f t="shared" si="5"/>
        <v/>
      </c>
    </row>
    <row r="11" spans="1:22" x14ac:dyDescent="0.4">
      <c r="A11" s="2"/>
      <c r="B11" s="2">
        <v>2</v>
      </c>
      <c r="C11" s="23" t="s">
        <v>109</v>
      </c>
      <c r="D11" s="19">
        <f t="shared" ca="1" si="6"/>
        <v>10</v>
      </c>
      <c r="E11" s="25" t="s">
        <v>110</v>
      </c>
      <c r="F11" s="24">
        <v>10</v>
      </c>
      <c r="G11" s="25" t="s">
        <v>119</v>
      </c>
      <c r="H11" s="24">
        <v>4</v>
      </c>
      <c r="I11" s="25"/>
      <c r="J11" s="24"/>
      <c r="K11" s="25"/>
      <c r="L11" s="24"/>
      <c r="M11" s="25"/>
      <c r="N11" s="24"/>
      <c r="O11" s="25"/>
      <c r="P11" s="24"/>
      <c r="Q11" s="26" t="str">
        <f t="shared" si="0"/>
        <v>xxx</v>
      </c>
      <c r="R11" s="26" t="str">
        <f t="shared" si="1"/>
        <v>yyy</v>
      </c>
      <c r="S11" s="26" t="str">
        <f t="shared" si="2"/>
        <v/>
      </c>
      <c r="T11" s="26" t="str">
        <f t="shared" si="3"/>
        <v/>
      </c>
      <c r="U11" s="26" t="str">
        <f t="shared" si="4"/>
        <v/>
      </c>
      <c r="V11" s="26" t="str">
        <f t="shared" si="5"/>
        <v/>
      </c>
    </row>
    <row r="12" spans="1:22" x14ac:dyDescent="0.4">
      <c r="A12" s="2"/>
      <c r="B12" s="2">
        <v>2</v>
      </c>
      <c r="C12" s="23" t="s">
        <v>109</v>
      </c>
      <c r="D12" s="19">
        <f t="shared" ca="1" si="6"/>
        <v>10</v>
      </c>
      <c r="E12" s="25" t="s">
        <v>110</v>
      </c>
      <c r="F12" s="24">
        <v>10</v>
      </c>
      <c r="G12" s="25" t="s">
        <v>119</v>
      </c>
      <c r="H12" s="24">
        <v>4</v>
      </c>
      <c r="I12" s="25"/>
      <c r="J12" s="24"/>
      <c r="K12" s="25"/>
      <c r="L12" s="24"/>
      <c r="M12" s="25"/>
      <c r="N12" s="24"/>
      <c r="O12" s="25"/>
      <c r="P12" s="24"/>
      <c r="Q12" s="26" t="str">
        <f t="shared" si="0"/>
        <v>xxx</v>
      </c>
      <c r="R12" s="26" t="str">
        <f t="shared" si="1"/>
        <v>yyy</v>
      </c>
      <c r="S12" s="26" t="str">
        <f t="shared" si="2"/>
        <v/>
      </c>
      <c r="T12" s="26" t="str">
        <f t="shared" si="3"/>
        <v/>
      </c>
      <c r="U12" s="26" t="str">
        <f t="shared" si="4"/>
        <v/>
      </c>
      <c r="V12" s="26" t="str">
        <f t="shared" si="5"/>
        <v/>
      </c>
    </row>
    <row r="13" spans="1:22" x14ac:dyDescent="0.4">
      <c r="A13" s="35" t="s">
        <v>123</v>
      </c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7"/>
    </row>
    <row r="17" spans="1:7" x14ac:dyDescent="0.4">
      <c r="A17" s="42" t="s">
        <v>105</v>
      </c>
      <c r="B17" s="41" t="s">
        <v>120</v>
      </c>
      <c r="C17" s="41" t="s">
        <v>121</v>
      </c>
      <c r="D17" s="41" t="s">
        <v>108</v>
      </c>
      <c r="E17" s="38" t="s">
        <v>106</v>
      </c>
      <c r="F17" s="39"/>
      <c r="G17" s="40"/>
    </row>
    <row r="18" spans="1:7" x14ac:dyDescent="0.4">
      <c r="A18" s="42"/>
      <c r="B18" s="41"/>
      <c r="C18" s="41"/>
      <c r="D18" s="41"/>
      <c r="E18" s="22" t="s">
        <v>4</v>
      </c>
      <c r="F18" s="22" t="s">
        <v>122</v>
      </c>
      <c r="G18" s="22" t="s">
        <v>108</v>
      </c>
    </row>
    <row r="19" spans="1:7" x14ac:dyDescent="0.4">
      <c r="A19" s="2"/>
      <c r="B19" s="2"/>
      <c r="C19" s="19">
        <f t="array" aca="1" ref="C19" ca="1">MAX(OFFSET(INDIRECT("R[1]C[1]",),,,MATCH(TRUE,ISBLANK(OFFSET(INDIRECT("R[1]C[2]",),,,1000)),0)))</f>
        <v>30</v>
      </c>
      <c r="D19" s="28"/>
      <c r="E19" s="28"/>
      <c r="F19" s="28"/>
      <c r="G19" s="28"/>
    </row>
    <row r="20" spans="1:7" x14ac:dyDescent="0.4">
      <c r="A20" s="28"/>
      <c r="B20" s="28"/>
      <c r="C20" s="2"/>
      <c r="D20" s="19">
        <f t="array" aca="1" ref="D20" ca="1">SUM(OFFSET(INDIRECT("R[1]C[3]",),,,MATCH(TRUE,ISBLANK(OFFSET(INDIRECT("R[1]C[3]",),,,1000)),0)))</f>
        <v>30</v>
      </c>
      <c r="E20" s="22" t="s">
        <v>126</v>
      </c>
      <c r="F20" s="19">
        <f ca="1">C19-D20</f>
        <v>0</v>
      </c>
      <c r="G20" s="28"/>
    </row>
    <row r="21" spans="1:7" x14ac:dyDescent="0.4">
      <c r="A21" s="28"/>
      <c r="B21" s="28"/>
      <c r="C21" s="28"/>
      <c r="D21" s="28"/>
      <c r="E21" s="19" t="str">
        <f ca="1">IF(F21="","",OFFSET($A$6,MATCH(F21,$A$7:$A$13,0),1))</f>
        <v>hahah</v>
      </c>
      <c r="F21" s="2">
        <v>1</v>
      </c>
      <c r="G21" s="19">
        <f t="shared" ref="G21:G23" ca="1" si="7">IF(F21="","",OFFSET($A$6,MATCH(F21,$A$7:$A$13,0),3))</f>
        <v>10</v>
      </c>
    </row>
    <row r="22" spans="1:7" x14ac:dyDescent="0.4">
      <c r="A22" s="28"/>
      <c r="B22" s="28"/>
      <c r="C22" s="28"/>
      <c r="D22" s="28"/>
      <c r="E22" s="19" t="str">
        <f t="shared" ref="E22:E23" ca="1" si="8">IF(F22="","",OFFSET($A$6,MATCH(F22,$A$7:$A$13,0),1))</f>
        <v>hahah</v>
      </c>
      <c r="F22" s="2">
        <v>1</v>
      </c>
      <c r="G22" s="19">
        <f t="shared" ca="1" si="7"/>
        <v>10</v>
      </c>
    </row>
    <row r="23" spans="1:7" x14ac:dyDescent="0.4">
      <c r="A23" s="28"/>
      <c r="B23" s="28"/>
      <c r="C23" s="28"/>
      <c r="D23" s="28"/>
      <c r="E23" s="19" t="str">
        <f t="shared" ca="1" si="8"/>
        <v>hahah</v>
      </c>
      <c r="F23" s="2">
        <v>1</v>
      </c>
      <c r="G23" s="19">
        <f t="shared" ca="1" si="7"/>
        <v>10</v>
      </c>
    </row>
    <row r="24" spans="1:7" x14ac:dyDescent="0.4">
      <c r="A24" s="28"/>
      <c r="B24" s="28"/>
      <c r="C24" s="2"/>
      <c r="D24" s="19">
        <f t="array" aca="1" ref="D24" ca="1">SUM(OFFSET(INDIRECT("R[1]C[3]",),,,MATCH(TRUE,ISBLANK(OFFSET(INDIRECT("R[1]C[3]",),,,1000)),0)))</f>
        <v>30</v>
      </c>
      <c r="E24" s="22" t="s">
        <v>126</v>
      </c>
      <c r="F24" s="19">
        <f ca="1">C19-D24</f>
        <v>0</v>
      </c>
      <c r="G24" s="28"/>
    </row>
    <row r="25" spans="1:7" x14ac:dyDescent="0.4">
      <c r="A25" s="28"/>
      <c r="B25" s="28"/>
      <c r="C25" s="28"/>
      <c r="D25" s="28"/>
      <c r="E25" s="19" t="str">
        <f ca="1">IF(F25="","",OFFSET($A$6,MATCH(F25,$A$7:$A$13,0),1))</f>
        <v>hahah</v>
      </c>
      <c r="F25" s="2">
        <v>1</v>
      </c>
      <c r="G25" s="19">
        <f ca="1">IF(F25="","",OFFSET($A$6,MATCH(F25,$A$7:$A$13,0),3))</f>
        <v>10</v>
      </c>
    </row>
    <row r="26" spans="1:7" x14ac:dyDescent="0.4">
      <c r="A26" s="28"/>
      <c r="B26" s="28"/>
      <c r="C26" s="28"/>
      <c r="D26" s="28"/>
      <c r="E26" s="19" t="str">
        <f t="shared" ref="E26:E27" ca="1" si="9">IF(F26="","",OFFSET($A$6,MATCH(F26,$A$7:$A$13,0),1))</f>
        <v>hahah</v>
      </c>
      <c r="F26" s="2">
        <v>1</v>
      </c>
      <c r="G26" s="19">
        <f t="shared" ref="G26:G27" ca="1" si="10">IF(F26="","",OFFSET($A$6,MATCH(F26,$A$7:$A$13,0),3))</f>
        <v>10</v>
      </c>
    </row>
    <row r="27" spans="1:7" x14ac:dyDescent="0.4">
      <c r="A27" s="28"/>
      <c r="B27" s="28"/>
      <c r="C27" s="28"/>
      <c r="D27" s="28"/>
      <c r="E27" s="19" t="str">
        <f t="shared" ca="1" si="9"/>
        <v>hahah</v>
      </c>
      <c r="F27" s="2">
        <v>1</v>
      </c>
      <c r="G27" s="19">
        <f t="shared" ca="1" si="10"/>
        <v>10</v>
      </c>
    </row>
    <row r="28" spans="1:7" x14ac:dyDescent="0.4">
      <c r="A28" s="28"/>
      <c r="B28" s="28"/>
      <c r="C28" s="2"/>
      <c r="D28" s="19">
        <f t="array" aca="1" ref="D28" ca="1">SUM(OFFSET(INDIRECT("R[1]C[3]",),,,MATCH(TRUE,ISBLANK(OFFSET(INDIRECT("R[1]C[3]",),,,1000)),0)))</f>
        <v>30</v>
      </c>
      <c r="E28" s="22" t="s">
        <v>126</v>
      </c>
      <c r="F28" s="19">
        <f ca="1">C19-D28</f>
        <v>0</v>
      </c>
      <c r="G28" s="28"/>
    </row>
    <row r="29" spans="1:7" x14ac:dyDescent="0.4">
      <c r="A29" s="28"/>
      <c r="B29" s="28"/>
      <c r="C29" s="28"/>
      <c r="D29" s="28"/>
      <c r="E29" s="19" t="str">
        <f ca="1">IF(F29="","",OFFSET($A$6,MATCH(F29,$A$7:$A$13,0),1))</f>
        <v>hahah</v>
      </c>
      <c r="F29" s="2">
        <v>1</v>
      </c>
      <c r="G29" s="19">
        <f ca="1">IF(F29="","",OFFSET($A$6,MATCH(F29,$A$7:$A$13,0),3))</f>
        <v>10</v>
      </c>
    </row>
    <row r="30" spans="1:7" x14ac:dyDescent="0.4">
      <c r="A30" s="28"/>
      <c r="B30" s="28"/>
      <c r="C30" s="28"/>
      <c r="D30" s="28"/>
      <c r="E30" s="19" t="str">
        <f t="shared" ref="E30:E31" ca="1" si="11">IF(F30="","",OFFSET($A$6,MATCH(F30,$A$7:$A$13,0),1))</f>
        <v>hahah</v>
      </c>
      <c r="F30" s="2">
        <v>1</v>
      </c>
      <c r="G30" s="19">
        <f t="shared" ref="G30:G31" ca="1" si="12">IF(F30="","",OFFSET($A$6,MATCH(F30,$A$7:$A$13,0),3))</f>
        <v>10</v>
      </c>
    </row>
    <row r="31" spans="1:7" x14ac:dyDescent="0.4">
      <c r="A31" s="28"/>
      <c r="B31" s="28"/>
      <c r="C31" s="28"/>
      <c r="D31" s="28"/>
      <c r="E31" s="29" t="str">
        <f t="shared" ca="1" si="11"/>
        <v>hahah</v>
      </c>
      <c r="F31" s="27">
        <v>1</v>
      </c>
      <c r="G31" s="29">
        <f t="shared" ca="1" si="12"/>
        <v>10</v>
      </c>
    </row>
    <row r="32" spans="1:7" x14ac:dyDescent="0.4">
      <c r="A32" s="49" t="s">
        <v>123</v>
      </c>
      <c r="B32" s="50"/>
      <c r="C32" s="19">
        <f ca="1">SUM(OFFSET(C17,,,(ROW(END_TREE)-ROW(START_TREE))))</f>
        <v>30</v>
      </c>
      <c r="D32" s="50"/>
      <c r="E32" s="50"/>
      <c r="F32" s="50"/>
      <c r="G32" s="51"/>
    </row>
  </sheetData>
  <mergeCells count="17"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  <mergeCell ref="A13:V13"/>
    <mergeCell ref="E17:G17"/>
    <mergeCell ref="D17:D18"/>
    <mergeCell ref="C17:C18"/>
    <mergeCell ref="B17:B18"/>
    <mergeCell ref="A17:A18"/>
  </mergeCells>
  <phoneticPr fontId="1" type="noConversion"/>
  <dataValidations count="6">
    <dataValidation type="textLength" showInputMessage="1" showErrorMessage="1" sqref="N7:N12 L7:L12 J7:J12 H7:H12 F7:F12 P7:P12" xr:uid="{8F4548E7-580D-48B2-9012-B27730A6D3C3}">
      <formula1>0</formula1>
      <formula2>32</formula2>
    </dataValidation>
    <dataValidation type="textLength" operator="lessThan" allowBlank="1" showInputMessage="1" showErrorMessage="1" sqref="M7:M12 K7:K12 I7:I12 G7:G12 E7:E12 O7:O12" xr:uid="{31814F57-1A36-4DF1-9B01-5347ED0E845E}">
      <formula1>32</formula1>
    </dataValidation>
    <dataValidation type="custom" allowBlank="1" showInputMessage="1" showErrorMessage="1" sqref="Q7:V12" xr:uid="{ECB10D6A-6DC5-4F02-A8E1-BE5164CF8B27}">
      <formula1>" "</formula1>
    </dataValidation>
    <dataValidation type="list" allowBlank="1" showInputMessage="1" showErrorMessage="1" sqref="C7:C12" xr:uid="{19567AF1-D3FF-4308-92B5-1A9ABD20ACD0}">
      <formula1>OFFSET(Q7,,,,6-COUNTIFS(Q7:V7,""))</formula1>
    </dataValidation>
    <dataValidation type="textLength" showInputMessage="1" showErrorMessage="1" sqref="A7:B12 D29:E31 A19:C31 D19:E19 D21:E23 D25:E27 F19:G31 C32" xr:uid="{B44F5B48-FF57-40D9-800C-8697E5288A93}">
      <formula1>0</formula1>
      <formula2>64</formula2>
    </dataValidation>
    <dataValidation showInputMessage="1" showErrorMessage="1" sqref="D20 D24 D28" xr:uid="{5EFD16F8-FF26-432E-90FA-14F38CB79A6C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60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50</v>
      </c>
    </row>
    <row r="3" spans="1:2" x14ac:dyDescent="0.4">
      <c r="B3" t="s">
        <v>47</v>
      </c>
    </row>
    <row r="4" spans="1:2" x14ac:dyDescent="0.4">
      <c r="B4" s="8" t="s">
        <v>48</v>
      </c>
    </row>
    <row r="5" spans="1:2" x14ac:dyDescent="0.4">
      <c r="B5" t="s">
        <v>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40</vt:i4>
      </vt:variant>
    </vt:vector>
  </HeadingPairs>
  <TitlesOfParts>
    <vt:vector size="47" baseType="lpstr">
      <vt:lpstr>DataSummary</vt:lpstr>
      <vt:lpstr>Script</vt:lpstr>
      <vt:lpstr>Multicast</vt:lpstr>
      <vt:lpstr>Process</vt:lpstr>
      <vt:lpstr>Latency</vt:lpstr>
      <vt:lpstr>Rules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CPY_NUM_RNG</vt:lpstr>
      <vt:lpstr>DestSheet</vt:lpstr>
      <vt:lpstr>END_TREE</vt:lpstr>
      <vt:lpstr>FLAG_BITS</vt:lpstr>
      <vt:lpstr>FLAG_SIZE</vt:lpstr>
      <vt:lpstr>INST</vt:lpstr>
      <vt:lpstr>NAME</vt:lpstr>
      <vt:lpstr>OFFSET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2019-12-02T14:28:35Z</dcterms:modified>
</cp:coreProperties>
</file>