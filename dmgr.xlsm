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956ACB7A-7420-4C2D-87FD-6E436C732BD4}" xr6:coauthVersionLast="45" xr6:coauthVersionMax="45" xr10:uidLastSave="{00000000-0000-0000-0000-000000000000}"/>
  <bookViews>
    <workbookView xWindow="-98" yWindow="-98" windowWidth="20715" windowHeight="13276" activeTab="1" xr2:uid="{2CE4B1C9-8906-421A-B932-A2C3F5D0AC6B}"/>
  </bookViews>
  <sheets>
    <sheet name="DataSummary" sheetId="2" r:id="rId1"/>
    <sheet name="Script" sheetId="1" r:id="rId2"/>
    <sheet name="Rules" sheetId="4" r:id="rId3"/>
    <sheet name="ScriptHelp" sheetId="3" r:id="rId4"/>
  </sheets>
  <functionGroups builtInGroupCount="19"/>
  <definedNames>
    <definedName name="_xlnm._FilterDatabase" localSheetId="1" hidden="1">Script!$A$5:$G$6</definedName>
    <definedName name="ARB_IPTR">Script!$G$30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DestSheet">Script!$C$1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" i="2" l="1"/>
  <c r="H3" i="2"/>
  <c r="E3" i="2"/>
  <c r="A3" i="2"/>
  <c r="I7" i="2" l="1"/>
  <c r="H7" i="2"/>
  <c r="E7" i="2"/>
  <c r="A7" i="2"/>
  <c r="I6" i="2"/>
  <c r="H6" i="2"/>
  <c r="E6" i="2"/>
  <c r="A6" i="2"/>
  <c r="I5" i="2"/>
  <c r="H5" i="2"/>
  <c r="E5" i="2"/>
  <c r="A5" i="2"/>
  <c r="I4" i="2"/>
  <c r="H4" i="2"/>
  <c r="E4" i="2"/>
  <c r="A4" i="2"/>
  <c r="F15" i="2" l="1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G26" i="2" l="1"/>
  <c r="G22" i="2"/>
  <c r="G18" i="2"/>
  <c r="F14" i="2" l="1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31" i="1"/>
  <c r="K31" i="1"/>
  <c r="J10" i="2" l="1"/>
  <c r="J11" i="2"/>
  <c r="J8" i="2"/>
  <c r="J6" i="2"/>
  <c r="J31" i="2" s="1"/>
  <c r="H31" i="2" s="1"/>
  <c r="J9" i="2"/>
  <c r="J7" i="2"/>
  <c r="J5" i="2"/>
  <c r="O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<sst xmlns="http://schemas.openxmlformats.org/spreadsheetml/2006/main" count="101" uniqueCount="66">
  <si>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</si>
  <si>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</si>
  <si>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</si>
  <si>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</si>
  <si>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</si>
  <si>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</si>
  <si>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RRDPA</t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</si>
  <si>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</si>
  <si>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</si>
  <si>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</si>
  <si>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</si>
  <si>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</si>
  <si>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</si>
  <si>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</si>
  <si>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</si>
  <si>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</si>
  <si>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</si>
  <si>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</si>
  <si>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</si>
  <si>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</si>
  <si>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</si>
  <si>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</si>
  <si>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</si>
  <si>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</si>
  <si>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</si>
  <si>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</si>
  <si>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</si>
  <si>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</si>
  <si>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</si>
  <si>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</si>
  <si>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</si>
  <si>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</si>
  <si>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</si>
  <si>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</si>
  <si>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</si>
  <si>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</si>
  <si>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</si>
  <si>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</si>
  <si>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</si>
  <si>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</si>
  <si>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</si>
  <si>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</si>
  <si>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</si>
  <si>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</si>
  <si>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</si>
  <si>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</si>
  <si>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2R2W</t>
  </si>
  <si>
    <t>REG</t>
    <phoneticPr fontId="1" type="noConversion"/>
  </si>
  <si>
    <t>CacheDepth</t>
    <phoneticPr fontId="1" type="noConversion"/>
  </si>
  <si>
    <t>TP</t>
    <phoneticPr fontId="1" type="noConversion"/>
  </si>
  <si>
    <t>1R2W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</si>
  <si>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</si>
  <si>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</si>
  <si>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</si>
  <si>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</si>
  <si>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</si>
  <si>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</si>
  <si>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</si>
  <si>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</si>
  <si>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</si>
  <si>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</si>
  <si>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</si>
  <si>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</si>
  <si>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</si>
  <si>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</si>
  <si>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test1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</si>
</sst>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31"/>
  <sheetViews>
    <sheetView workbookViewId="0">
      <selection activeCell="K16" sqref="K16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17" t="s">
        <v>4</v>
      </c>
      <c r="B1" s="17" t="s">
        <v>15</v>
      </c>
      <c r="C1" s="17" t="s">
        <v>5</v>
      </c>
      <c r="D1" s="17" t="s">
        <v>16</v>
      </c>
      <c r="E1" s="19" t="s">
        <v>17</v>
      </c>
      <c r="F1" s="20"/>
      <c r="G1" s="21"/>
      <c r="H1" s="17" t="s">
        <v>20</v>
      </c>
      <c r="I1" s="17" t="s">
        <v>21</v>
      </c>
      <c r="J1" s="17" t="s">
        <v>22</v>
      </c>
    </row>
    <row r="2" spans="1:10" x14ac:dyDescent="0.4">
      <c r="A2" s="18"/>
      <c r="B2" s="18"/>
      <c r="C2" s="18"/>
      <c r="D2" s="18"/>
      <c r="E2" s="1" t="s">
        <v>18</v>
      </c>
      <c r="F2" s="1" t="s">
        <v>19</v>
      </c>
      <c r="G2" s="1" t="s">
        <v>10</v>
      </c>
      <c r="H2" s="18"/>
      <c r="I2" s="18"/>
      <c r="J2" s="18"/>
    </row>
    <row r="3" spans="1:10" x14ac:dyDescent="0.4">
      <c r="A3" s="16" t="str">
        <f>CONCATENATE(Script!B6, " ")</f>
        <v xml:space="preserve">test1 </v>
      </c>
      <c r="B3" s="6"/>
      <c r="C3" s="6" t="s">
        <v>63</v>
      </c>
      <c r="D3" s="6"/>
      <c r="E3" s="16">
        <f>Script!F6</f>
        <v>1</v>
      </c>
      <c r="F3" s="5">
        <f>IF(C3="REG",0,IF(E3&lt;=0,0,IF(E3=1,3,IF(E3&lt;5,4,IF(E3&lt;12,5,IF(E3&lt;27,6,IF(E3&lt;58,7,IF(E3&lt;121,8,IF(E3&lt;248,9,IF(E3&lt;503,10,IF(E3&lt;1014,11,IF(E3&lt;2037,12,IF(E3&lt;4084,13,"OF")))))))))))))</f>
        <v>0</v>
      </c>
      <c r="G3" s="5">
        <f>E3+F3</f>
        <v>1</v>
      </c>
      <c r="H3" s="16">
        <f>Script!E6</f>
        <v>512</v>
      </c>
      <c r="I3" s="16">
        <f>Script!D6</f>
        <v>1</v>
      </c>
      <c r="J3" s="5">
        <f>E3*H3*I3</f>
        <v>512</v>
      </c>
    </row>
    <row r="4" spans="1:10" x14ac:dyDescent="0.4">
      <c r="A4" s="6" t="str">
        <f>CONCATENATE(Script!B26, "_next")</f>
        <v>_next</v>
      </c>
      <c r="B4" s="6"/>
      <c r="C4" s="6" t="s">
        <v>49</v>
      </c>
      <c r="D4" s="6" t="s">
        <v>45</v>
      </c>
      <c r="E4" s="6">
        <f>LOG(Script!E26, 2)+Script!J26</f>
        <v>12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6</v>
      </c>
      <c r="G4" s="5">
        <f t="shared" ref="G4:G14" si="1">E4+F4</f>
        <v>18</v>
      </c>
      <c r="H4" s="6">
        <f>Script!E26</f>
        <v>2048</v>
      </c>
      <c r="I4" s="6">
        <f>Script!D26</f>
        <v>2</v>
      </c>
      <c r="J4" s="5">
        <f t="shared" ref="J4:J6" si="2">E4*H4*I4</f>
        <v>49152</v>
      </c>
    </row>
    <row r="5" spans="1:10" x14ac:dyDescent="0.4">
      <c r="A5" s="6" t="str">
        <f>CONCATENATE(Script!B26, "_last")</f>
        <v>_last</v>
      </c>
      <c r="B5" s="6"/>
      <c r="C5" s="6" t="s">
        <v>49</v>
      </c>
      <c r="D5" s="6" t="s">
        <v>45</v>
      </c>
      <c r="E5" s="6">
        <f>LOG(Script!E26, 2)</f>
        <v>11</v>
      </c>
      <c r="F5" s="5">
        <f t="shared" si="0"/>
        <v>5</v>
      </c>
      <c r="G5" s="5">
        <f t="shared" si="1"/>
        <v>16</v>
      </c>
      <c r="H5" s="6">
        <f>Script!E26</f>
        <v>2048</v>
      </c>
      <c r="I5" s="6">
        <f>Script!D26</f>
        <v>2</v>
      </c>
      <c r="J5" s="5">
        <f t="shared" si="2"/>
        <v>45056</v>
      </c>
    </row>
    <row r="6" spans="1:10" x14ac:dyDescent="0.4">
      <c r="A6" s="6" t="str">
        <f>CONCATENATE(Script!B26, "_head")</f>
        <v>_head</v>
      </c>
      <c r="B6" s="6"/>
      <c r="C6" s="6" t="s">
        <v>47</v>
      </c>
      <c r="D6" s="6" t="s">
        <v>50</v>
      </c>
      <c r="E6" s="6">
        <f>LOG(Script!E26, 2)+Script!J26</f>
        <v>12</v>
      </c>
      <c r="F6" s="5">
        <f t="shared" si="0"/>
        <v>0</v>
      </c>
      <c r="G6" s="5">
        <f t="shared" si="1"/>
        <v>12</v>
      </c>
      <c r="H6" s="6">
        <f>Script!H26</f>
        <v>32</v>
      </c>
      <c r="I6" s="6">
        <f>Script!D26</f>
        <v>2</v>
      </c>
      <c r="J6" s="5">
        <f t="shared" si="2"/>
        <v>768</v>
      </c>
    </row>
    <row r="7" spans="1:10" x14ac:dyDescent="0.4">
      <c r="A7" s="6" t="str">
        <f>CONCATENATE(Script!B26, "_len")</f>
        <v>_len</v>
      </c>
      <c r="B7" s="6"/>
      <c r="C7" s="6" t="s">
        <v>47</v>
      </c>
      <c r="D7" s="6" t="s">
        <v>46</v>
      </c>
      <c r="E7" s="6">
        <f>LOG(Script!E26, 2)</f>
        <v>11</v>
      </c>
      <c r="F7" s="5">
        <f t="shared" si="0"/>
        <v>0</v>
      </c>
      <c r="G7" s="5">
        <f t="shared" si="1"/>
        <v>11</v>
      </c>
      <c r="H7" s="6">
        <f>Script!F26</f>
        <v>16</v>
      </c>
      <c r="I7" s="6">
        <f>Script!D26</f>
        <v>2</v>
      </c>
      <c r="J7" s="5">
        <f t="shared" ref="J7:J14" si="3">E7*H7*I7</f>
        <v>352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57</v>
      </c>
      <c r="H31" s="12">
        <f>SUM(J3:J29)-J31</f>
        <v>94208</v>
      </c>
      <c r="I31" s="11" t="s">
        <v>58</v>
      </c>
      <c r="J31" s="13">
        <f>SUMIF(C3:C29,"REG",J3:J29)</f>
        <v>1632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O36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8" sqref="G18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39</v>
      </c>
      <c r="C1" s="2" t="s">
        <v>40</v>
      </c>
      <c r="D1" s="7"/>
      <c r="M1" s="9" t="s">
        <v>55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26</v>
      </c>
    </row>
    <row r="5" spans="1:13" x14ac:dyDescent="0.4">
      <c r="B5" s="1" t="s">
        <v>4</v>
      </c>
      <c r="C5" s="1" t="s">
        <v>23</v>
      </c>
      <c r="D5" s="1" t="s">
        <v>33</v>
      </c>
      <c r="E5" s="1" t="s">
        <v>12</v>
      </c>
      <c r="F5" s="1" t="s">
        <v>41</v>
      </c>
      <c r="G5" s="1"/>
      <c r="H5" s="1"/>
      <c r="I5" s="1"/>
      <c r="J5" s="1"/>
      <c r="K5" s="1"/>
      <c r="L5" s="1"/>
      <c r="M5" s="1"/>
    </row>
    <row r="6" spans="1:13" x14ac:dyDescent="0.4">
      <c r="B6" s="2" t="s">
        <v>65</v>
      </c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59</v>
      </c>
    </row>
    <row r="10" spans="1:13" x14ac:dyDescent="0.4">
      <c r="B10" s="1" t="s">
        <v>4</v>
      </c>
      <c r="C10" s="1" t="s">
        <v>23</v>
      </c>
      <c r="D10" s="1" t="s">
        <v>11</v>
      </c>
      <c r="E10" s="1" t="s">
        <v>12</v>
      </c>
      <c r="F10" s="1" t="s">
        <v>41</v>
      </c>
      <c r="G10" s="1" t="s">
        <v>60</v>
      </c>
      <c r="H10" s="1" t="s">
        <v>61</v>
      </c>
      <c r="I10" s="1" t="s">
        <v>62</v>
      </c>
      <c r="J10" s="15" t="s">
        <v>5</v>
      </c>
      <c r="K10" s="1"/>
      <c r="L10" s="1"/>
      <c r="M10" s="1"/>
    </row>
    <row r="11" spans="1:13" x14ac:dyDescent="0.4">
      <c r="B11" s="2"/>
      <c r="C11" s="2">
        <v>3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63</v>
      </c>
      <c r="K11" s="2"/>
      <c r="L11" s="2"/>
      <c r="M11" s="2"/>
    </row>
    <row r="14" spans="1:13" ht="17.649999999999999" x14ac:dyDescent="0.4">
      <c r="A14" s="4" t="s">
        <v>36</v>
      </c>
    </row>
    <row r="15" spans="1:13" x14ac:dyDescent="0.4">
      <c r="B15" s="1" t="s">
        <v>4</v>
      </c>
      <c r="C15" s="1" t="s">
        <v>23</v>
      </c>
      <c r="D15" s="1" t="s">
        <v>33</v>
      </c>
      <c r="E15" s="1" t="s">
        <v>12</v>
      </c>
      <c r="F15" s="1" t="s">
        <v>17</v>
      </c>
      <c r="G15" s="1" t="s">
        <v>42</v>
      </c>
      <c r="H15" s="1" t="s">
        <v>44</v>
      </c>
      <c r="I15" s="1" t="s">
        <v>26</v>
      </c>
      <c r="J15" s="1" t="s">
        <v>27</v>
      </c>
      <c r="K15" s="1"/>
      <c r="L15" s="1"/>
      <c r="M15" s="1"/>
    </row>
    <row r="16" spans="1:13" x14ac:dyDescent="0.4">
      <c r="B16" s="2"/>
      <c r="C16" s="2">
        <v>3</v>
      </c>
      <c r="D16" s="2">
        <v>4</v>
      </c>
      <c r="E16" s="2">
        <v>1024</v>
      </c>
      <c r="F16" s="2">
        <v>25</v>
      </c>
      <c r="G16" s="2" t="s">
        <v>43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5" ht="17.649999999999999" x14ac:dyDescent="0.4">
      <c r="A19" s="4" t="s">
        <v>34</v>
      </c>
    </row>
    <row r="20" spans="1:15" x14ac:dyDescent="0.4">
      <c r="B20" s="1" t="s">
        <v>4</v>
      </c>
      <c r="C20" s="1" t="s">
        <v>23</v>
      </c>
      <c r="D20" s="1" t="s">
        <v>33</v>
      </c>
      <c r="E20" s="1" t="s">
        <v>12</v>
      </c>
      <c r="F20" s="1" t="s">
        <v>17</v>
      </c>
      <c r="G20" s="1" t="s">
        <v>13</v>
      </c>
      <c r="H20" s="1" t="s">
        <v>48</v>
      </c>
      <c r="I20" s="1"/>
      <c r="J20" s="1"/>
      <c r="K20" s="1"/>
      <c r="L20" s="1"/>
      <c r="M20" s="1"/>
    </row>
    <row r="21" spans="1:15" x14ac:dyDescent="0.4">
      <c r="B21" s="2"/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5" ht="17.649999999999999" x14ac:dyDescent="0.4">
      <c r="A24" s="4" t="s">
        <v>35</v>
      </c>
    </row>
    <row r="25" spans="1:15" x14ac:dyDescent="0.4">
      <c r="B25" s="1" t="s">
        <v>4</v>
      </c>
      <c r="C25" s="1" t="s">
        <v>23</v>
      </c>
      <c r="D25" s="1" t="s">
        <v>33</v>
      </c>
      <c r="E25" s="1" t="s">
        <v>12</v>
      </c>
      <c r="F25" s="1" t="s">
        <v>13</v>
      </c>
      <c r="G25" s="1" t="s">
        <v>56</v>
      </c>
      <c r="H25" s="1" t="s">
        <v>25</v>
      </c>
      <c r="I25" s="1" t="s">
        <v>14</v>
      </c>
      <c r="J25" s="1" t="s">
        <v>24</v>
      </c>
      <c r="K25" s="1"/>
      <c r="L25" s="1"/>
      <c r="M25" s="1"/>
    </row>
    <row r="26" spans="1:15" x14ac:dyDescent="0.4">
      <c r="B26" s="2"/>
      <c r="C26" s="2">
        <v>3</v>
      </c>
      <c r="D26" s="2">
        <v>2</v>
      </c>
      <c r="E26" s="2">
        <v>2048</v>
      </c>
      <c r="F26" s="2">
        <v>16</v>
      </c>
      <c r="G26" s="2" t="s">
        <v>43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5" ht="17.649999999999999" x14ac:dyDescent="0.4">
      <c r="A29" s="4" t="s">
        <v>37</v>
      </c>
    </row>
    <row r="30" spans="1:15" x14ac:dyDescent="0.4">
      <c r="B30" s="1" t="s">
        <v>4</v>
      </c>
      <c r="C30" s="1" t="s">
        <v>29</v>
      </c>
      <c r="D30" s="1" t="s">
        <v>33</v>
      </c>
      <c r="E30" s="1" t="s">
        <v>5</v>
      </c>
      <c r="F30" s="1" t="s">
        <v>1</v>
      </c>
      <c r="G30" s="1" t="s">
        <v>28</v>
      </c>
      <c r="H30" s="1" t="s">
        <v>2</v>
      </c>
      <c r="I30" s="1" t="s">
        <v>0</v>
      </c>
      <c r="J30" s="1" t="s">
        <v>3</v>
      </c>
      <c r="K30" s="1" t="s">
        <v>7</v>
      </c>
      <c r="L30" s="1" t="s">
        <v>8</v>
      </c>
      <c r="M30" s="1" t="s">
        <v>9</v>
      </c>
      <c r="N30" s="1" t="s">
        <v>11</v>
      </c>
      <c r="O30" s="1" t="s">
        <v>10</v>
      </c>
    </row>
    <row r="31" spans="1:15" x14ac:dyDescent="0.4">
      <c r="B31" s="2"/>
      <c r="C31" s="2">
        <v>6</v>
      </c>
      <c r="D31" s="2">
        <v>6</v>
      </c>
      <c r="E31" s="2" t="s">
        <v>6</v>
      </c>
      <c r="F31" s="2">
        <v>8</v>
      </c>
      <c r="G31" s="2">
        <v>1024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12</v>
      </c>
      <c r="N31" s="2">
        <v>1</v>
      </c>
      <c r="O31" s="3">
        <f>(K31+L31+M31)*N31</f>
        <v>318</v>
      </c>
    </row>
    <row r="34" spans="1:13" ht="17.649999999999999" x14ac:dyDescent="0.4">
      <c r="A34" s="4" t="s">
        <v>38</v>
      </c>
    </row>
    <row r="35" spans="1:13" x14ac:dyDescent="0.4">
      <c r="B35" s="1" t="s">
        <v>4</v>
      </c>
      <c r="C35" s="1" t="s">
        <v>23</v>
      </c>
      <c r="D35" s="1" t="s">
        <v>33</v>
      </c>
      <c r="E35" s="1" t="s">
        <v>30</v>
      </c>
      <c r="F35" s="1" t="s">
        <v>31</v>
      </c>
      <c r="G35" s="1" t="s">
        <v>32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8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F31:J31 N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54</v>
      </c>
    </row>
    <row r="3" spans="1:2" x14ac:dyDescent="0.4">
      <c r="B3" t="s">
        <v>51</v>
      </c>
    </row>
    <row r="4" spans="1:2" x14ac:dyDescent="0.4">
      <c r="B4" s="8" t="s">
        <v>52</v>
      </c>
    </row>
    <row r="5" spans="1:2" x14ac:dyDescent="0.4">
      <c r="B5" t="s">
        <v>53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32</vt:i4>
      </vt:variant>
    </vt:vector>
  </HeadingPairs>
  <TitlesOfParts>
    <vt:vector size="36" baseType="lpstr">
      <vt:lpstr>DataSummary</vt:lpstr>
      <vt:lpstr>Script</vt:lpstr>
      <vt:lpstr>Rules</vt:lpstr>
      <vt:lpstr>ScriptHelp</vt:lpstr>
      <vt:lpstr>ARB_IPTR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DestSheet</vt:lpstr>
      <vt:lpstr>FLAG_BITS</vt:lpstr>
      <vt:lpstr>FLAG_SIZE</vt:lpstr>
      <vt:lpstr>INST</vt:lpstr>
      <vt:lpstr>NAME</vt:lpstr>
      <vt:lpstr>OFFSET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2019-10-11T15:24:06Z</dcterms:modified>
</cp:coreProperties>
</file>