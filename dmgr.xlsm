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wHan\Documents\projects\dmgr\"/>
    </mc:Choice>
  </mc:AlternateContent>
  <xr:revisionPtr revIDLastSave="0" documentId="13_ncr:1_{B9BAD931-F8CA-47F3-AF4F-0CE439EAFC68}" xr6:coauthVersionLast="45" xr6:coauthVersionMax="45" xr10:uidLastSave="{00000000-0000-0000-0000-000000000000}"/>
  <bookViews>
    <workbookView xWindow="-98" yWindow="-98" windowWidth="20715" windowHeight="13276" activeTab="1" xr2:uid="{2CE4B1C9-8906-421A-B932-A2C3F5D0AC6B}"/>
  </bookViews>
  <sheets>
    <sheet name="DataSummary" sheetId="2" r:id="rId1"/>
    <sheet name="Script" sheetId="1" r:id="rId2"/>
    <sheet name="Rules" sheetId="4" r:id="rId3"/>
    <sheet name="ScriptHelp" sheetId="3" r:id="rId4"/>
  </sheets>
  <functionGroups builtInGroupCount="19"/>
  <definedNames>
    <definedName name="_xlnm._FilterDatabase" localSheetId="1" hidden="1">Script!$A$5:$G$6</definedName>
    <definedName name="ARB_IPTR">Script!$G$30</definedName>
    <definedName name="BUF_BITMAP">Script!$J$15</definedName>
    <definedName name="BUF_CACHE">Script!$I$15</definedName>
    <definedName name="BUF_PACK_NUM">Script!$H$15</definedName>
    <definedName name="BUF_SIZE">Script!$E$15</definedName>
    <definedName name="BUF_TYPE">Script!$G$15</definedName>
    <definedName name="BUF_WIDTH">Script!$F$15</definedName>
    <definedName name="CNT_BITS">Script!$F$10</definedName>
    <definedName name="CNT_DEC_NUM">Script!$H$10</definedName>
    <definedName name="CNT_INC_NUM">Script!$G$10</definedName>
    <definedName name="CNT_SIZE">Script!$E$10</definedName>
    <definedName name="CNT_TYPE">Script!$J$10</definedName>
    <definedName name="CNT_USE_NUM">Script!$I$10</definedName>
    <definedName name="DestSheet">Script!$C$1</definedName>
    <definedName name="FLAG_BITS">Script!$F$5</definedName>
    <definedName name="FLAG_SIZE">Script!$E$5</definedName>
    <definedName name="INST">Script!$D$5</definedName>
    <definedName name="NAME">Script!$B$5</definedName>
    <definedName name="OFFSET">Script!$C$5</definedName>
    <definedName name="QM_DUADIR">Script!$I$25</definedName>
    <definedName name="QM_EXTBIT">Script!$J$25</definedName>
    <definedName name="QM_HNUM">Script!$H$25</definedName>
    <definedName name="QM_QNUM">Script!$F$25</definedName>
    <definedName name="QM_SIZE">Script!$E$25</definedName>
    <definedName name="QM_TAIL_TYPE">Script!$G$25</definedName>
    <definedName name="SC_G2C">Script!$G$35</definedName>
    <definedName name="SC_RNUM">Script!$E$35</definedName>
    <definedName name="SC_RSIZE">Script!$F$35</definedName>
    <definedName name="SM_CACHE">Script!$H$20</definedName>
    <definedName name="SM_QNUM">Script!$G$20</definedName>
    <definedName name="SM_SIZE">Script!$E$20</definedName>
    <definedName name="SM_WIDTH">Script!$F$20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31" i="1" l="1"/>
  <c r="I6" i="2"/>
  <c r="H6" i="2"/>
  <c r="E6" i="2"/>
  <c r="A6" i="2"/>
  <c r="I5" i="2"/>
  <c r="H5" i="2"/>
  <c r="E5" i="2"/>
  <c r="A5" i="2"/>
  <c r="I4" i="2"/>
  <c r="H4" i="2"/>
  <c r="E4" i="2"/>
  <c r="A4" i="2"/>
  <c r="I3" i="2"/>
  <c r="H3" i="2"/>
  <c r="E3" i="2"/>
  <c r="A3" i="2"/>
  <c r="I7" i="2" l="1"/>
  <c r="H7" i="2"/>
  <c r="E7" i="2"/>
  <c r="A7" i="2"/>
  <c r="F15" i="2" l="1"/>
  <c r="G15" i="2" s="1"/>
  <c r="J15" i="2"/>
  <c r="F16" i="2"/>
  <c r="G16" i="2" s="1"/>
  <c r="J16" i="2"/>
  <c r="F17" i="2"/>
  <c r="G17" i="2"/>
  <c r="J17" i="2"/>
  <c r="F18" i="2"/>
  <c r="J18" i="2"/>
  <c r="F19" i="2"/>
  <c r="G19" i="2" s="1"/>
  <c r="J19" i="2"/>
  <c r="F20" i="2"/>
  <c r="G20" i="2" s="1"/>
  <c r="J20" i="2"/>
  <c r="F21" i="2"/>
  <c r="G21" i="2"/>
  <c r="J21" i="2"/>
  <c r="F22" i="2"/>
  <c r="J22" i="2"/>
  <c r="F23" i="2"/>
  <c r="G23" i="2" s="1"/>
  <c r="J23" i="2"/>
  <c r="F24" i="2"/>
  <c r="G24" i="2" s="1"/>
  <c r="J24" i="2"/>
  <c r="F25" i="2"/>
  <c r="G25" i="2"/>
  <c r="J25" i="2"/>
  <c r="F26" i="2"/>
  <c r="J26" i="2"/>
  <c r="F27" i="2"/>
  <c r="G27" i="2" s="1"/>
  <c r="J27" i="2"/>
  <c r="F28" i="2"/>
  <c r="G28" i="2" s="1"/>
  <c r="J28" i="2"/>
  <c r="F29" i="2"/>
  <c r="G29" i="2"/>
  <c r="J29" i="2"/>
  <c r="G26" i="2" l="1"/>
  <c r="G22" i="2"/>
  <c r="G18" i="2"/>
  <c r="F14" i="2" l="1"/>
  <c r="G14" i="2" s="1"/>
  <c r="F11" i="2"/>
  <c r="G11" i="2" s="1"/>
  <c r="M31" i="1"/>
  <c r="F7" i="2"/>
  <c r="G7" i="2" s="1"/>
  <c r="F6" i="2"/>
  <c r="G6" i="2" s="1"/>
  <c r="F5" i="2"/>
  <c r="G5" i="2" s="1"/>
  <c r="F4" i="2"/>
  <c r="G4" i="2" s="1"/>
  <c r="F8" i="2"/>
  <c r="G8" i="2" s="1"/>
  <c r="F9" i="2"/>
  <c r="F10" i="2"/>
  <c r="G10" i="2" s="1"/>
  <c r="F12" i="2"/>
  <c r="G12" i="2" s="1"/>
  <c r="F13" i="2"/>
  <c r="G13" i="2" s="1"/>
  <c r="F3" i="2"/>
  <c r="G3" i="2" s="1"/>
  <c r="G9" i="2" l="1"/>
  <c r="J13" i="2"/>
  <c r="J12" i="2"/>
  <c r="J14" i="2"/>
  <c r="J4" i="2"/>
  <c r="J3" i="2"/>
  <c r="L31" i="1"/>
  <c r="K31" i="1"/>
  <c r="J10" i="2" l="1"/>
  <c r="J11" i="2"/>
  <c r="J8" i="2"/>
  <c r="J6" i="2"/>
  <c r="J31" i="2" s="1"/>
  <c r="H31" i="2" s="1"/>
  <c r="J9" i="2"/>
  <c r="J7" i="2"/>
  <c r="J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xwHan</author>
  </authors>
  <commentList>
    <comment ref="B1" authorId="0" shapeId="0" xr:uid="{E369A694-110F-4165-A7AB-73A5F179D59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填写的目标页签名</t>
        </r>
      </text>
    </comment>
    <comment ref="E5" authorId="0" shapeId="0" xr:uid="{625B7B2E-10E1-4C10-B28A-0BDE611566C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5" authorId="0" shapeId="0" xr:uid="{8B6A0EAD-A572-4E89-A930-DC48E4A6A1A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E10" authorId="0" shapeId="0" xr:uid="{C985C5AF-712C-423B-9266-53F60EAFAA1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10" authorId="0" shapeId="0" xr:uid="{59F5F9E0-1354-405E-B6AD-92C8FC539F69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G10" authorId="0" shapeId="0" xr:uid="{D66F1342-7F98-464F-AAFB-13F04B588DA0}">
      <text>
        <r>
          <rPr>
            <b/>
            <sz val="9"/>
            <color indexed="81"/>
            <rFont val="宋体"/>
            <family val="3"/>
            <charset val="134"/>
          </rPr>
          <t>xwHan:
Counter加访问源个数</t>
        </r>
      </text>
    </comment>
    <comment ref="H10" authorId="0" shapeId="0" xr:uid="{0F6DBC94-3AE1-49A4-8B38-31200E4EF55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Counter减访问源个数
</t>
        </r>
      </text>
    </comment>
    <comment ref="I10" authorId="0" shapeId="0" xr:uid="{0589ECDB-FAED-4569-9BB6-F4AB4BF3BDD6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Counter读访问源个数</t>
        </r>
      </text>
    </comment>
    <comment ref="J10" authorId="0" shapeId="0" xr:uid="{B8DAA03A-1666-4D07-8F28-B957DEA8ED2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实现的底层数据结构</t>
        </r>
      </text>
    </comment>
    <comment ref="H15" authorId="0" shapeId="0" xr:uid="{990BC12E-B2F8-42B7-810C-AA4A62A8130D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入队拼包粒度。
缓存由PackNum个Width的缓存靠拼位宽来实现一个可以拼接PackNum个数据的缓存。其中对应的PackNum个数据申请一个相同的地址。
Buffer个数 = Inst * PackNum
</t>
        </r>
      </text>
    </comment>
    <comment ref="I15" authorId="0" shapeId="0" xr:uid="{2FC25274-6F9A-437B-965C-C90B6925AA1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暂时无用</t>
        </r>
      </text>
    </comment>
    <comment ref="J15" authorId="0" shapeId="0" xr:uid="{DE0E14B9-0AC9-4517-95AE-199ED36DEEF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是否需要Bitmap地址管理池
</t>
        </r>
      </text>
    </comment>
    <comment ref="G20" authorId="0" shapeId="0" xr:uid="{BEDEE6FA-B242-41AD-AD7F-6D3EAD970D9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队列个数</t>
        </r>
      </text>
    </comment>
    <comment ref="H20" authorId="0" shapeId="0" xr:uid="{9F6766F8-CE12-4F7D-B369-D462572A8E3B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每个队列的Cache深度</t>
        </r>
      </text>
    </comment>
    <comment ref="H25" authorId="0" shapeId="0" xr:uid="{011F559E-7716-4F90-B0C5-2F63E5DA5A9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链表头节点个数</t>
        </r>
      </text>
    </comment>
    <comment ref="J25" authorId="0" shapeId="0" xr:uid="{B4C53E98-B494-44C9-93F2-39F2B5C1554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链表携带的额外信息总bit数</t>
        </r>
      </text>
    </comment>
    <comment ref="P30" authorId="0" shapeId="0" xr:uid="{06FA3A83-4689-427F-A084-7348CCED063A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每个节点的最大
权重值.0表示无权重</t>
        </r>
      </text>
    </comment>
    <comment ref="E35" authorId="0" shapeId="0" xr:uid="{8DF63F43-2E44-4666-A9D0-D55A04615B13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调度器内的请求计数器个数。
请求计数器个数&lt;=队列个数
若直接由队列提请求，则该处填0</t>
        </r>
      </text>
    </comment>
    <comment ref="F35" authorId="0" shapeId="0" xr:uid="{E4983A2E-E4CF-4A5E-99CB-A032B24EC2B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请求计数器的bit个数。若G2C!=0(需要修正)，则程序自动为该计数器增加1bit的正负符号位</t>
        </r>
      </text>
    </comment>
    <comment ref="G35" authorId="0" shapeId="0" xr:uid="{4022B1D6-BD22-457F-9E2B-C66B80E21E0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返回Grant到收到修正信息的延时，单位cycle.</t>
        </r>
      </text>
    </comment>
  </commentList>
</comments>
</file>

<file path=xl/sharedStrings.xml><?xml version="1.0" encoding="utf-8"?>
<sst xmlns="http://schemas.openxmlformats.org/spreadsheetml/2006/main" count="105" uniqueCount="69">
  <si>
    <t>Priority</t>
    <phoneticPr fontId="1" type="noConversion"/>
  </si>
  <si>
    <t>Input</t>
    <phoneticPr fontId="1" type="noConversion"/>
  </si>
  <si>
    <t>Output</t>
    <phoneticPr fontId="1" type="noConversion"/>
  </si>
  <si>
    <t>Delay</t>
    <phoneticPr fontId="1" type="noConversion"/>
  </si>
  <si>
    <t>Name</t>
    <phoneticPr fontId="1" type="noConversion"/>
  </si>
  <si>
    <t>Type</t>
    <phoneticPr fontId="1" type="noConversion"/>
  </si>
  <si>
    <t>Req&amp;Gnt</t>
    <phoneticPr fontId="1" type="noConversion"/>
  </si>
  <si>
    <t>Omask</t>
    <phoneticPr fontId="1" type="noConversion"/>
  </si>
  <si>
    <t>Pointer</t>
    <phoneticPr fontId="1" type="noConversion"/>
  </si>
  <si>
    <t>Total</t>
    <phoneticPr fontId="1" type="noConversion"/>
  </si>
  <si>
    <t>Inst.</t>
    <phoneticPr fontId="1" type="noConversion"/>
  </si>
  <si>
    <t>Size</t>
    <phoneticPr fontId="1" type="noConversion"/>
  </si>
  <si>
    <t>Qnum</t>
    <phoneticPr fontId="1" type="noConversion"/>
  </si>
  <si>
    <t>DuaDir?</t>
    <phoneticPr fontId="1" type="noConversion"/>
  </si>
  <si>
    <t>Description</t>
    <phoneticPr fontId="1" type="noConversion"/>
  </si>
  <si>
    <t>Access</t>
    <phoneticPr fontId="1" type="noConversion"/>
  </si>
  <si>
    <t>Width</t>
    <phoneticPr fontId="1" type="noConversion"/>
  </si>
  <si>
    <t>Fields</t>
    <phoneticPr fontId="1" type="noConversion"/>
  </si>
  <si>
    <t>ECC</t>
    <phoneticPr fontId="1" type="noConversion"/>
  </si>
  <si>
    <t>Depth</t>
    <phoneticPr fontId="1" type="noConversion"/>
  </si>
  <si>
    <t>Num</t>
    <phoneticPr fontId="1" type="noConversion"/>
  </si>
  <si>
    <t>TotalBit</t>
    <phoneticPr fontId="1" type="noConversion"/>
  </si>
  <si>
    <t>Offset</t>
    <phoneticPr fontId="1" type="noConversion"/>
  </si>
  <si>
    <t>ExtBit</t>
    <phoneticPr fontId="1" type="noConversion"/>
  </si>
  <si>
    <t>Hnum</t>
    <phoneticPr fontId="1" type="noConversion"/>
  </si>
  <si>
    <t>Cache</t>
    <phoneticPr fontId="1" type="noConversion"/>
  </si>
  <si>
    <t>Bitmap?</t>
    <phoneticPr fontId="1" type="noConversion"/>
  </si>
  <si>
    <t>InputPtr</t>
    <phoneticPr fontId="1" type="noConversion"/>
  </si>
  <si>
    <t>Offset</t>
    <phoneticPr fontId="1" type="noConversion"/>
  </si>
  <si>
    <t>Rnum</t>
    <phoneticPr fontId="1" type="noConversion"/>
  </si>
  <si>
    <t>Rsize</t>
    <phoneticPr fontId="1" type="noConversion"/>
  </si>
  <si>
    <t>G2C</t>
    <phoneticPr fontId="1" type="noConversion"/>
  </si>
  <si>
    <t>Inst.</t>
    <phoneticPr fontId="1" type="noConversion"/>
  </si>
  <si>
    <t xml:space="preserve">SMFIFO </t>
    <phoneticPr fontId="1" type="noConversion"/>
  </si>
  <si>
    <t>QM</t>
    <phoneticPr fontId="1" type="noConversion"/>
  </si>
  <si>
    <t>Buffer</t>
    <phoneticPr fontId="1" type="noConversion"/>
  </si>
  <si>
    <t>Arbiter Register</t>
    <phoneticPr fontId="1" type="noConversion"/>
  </si>
  <si>
    <t xml:space="preserve">Schedule System </t>
    <phoneticPr fontId="1" type="noConversion"/>
  </si>
  <si>
    <t>DestSheet</t>
    <phoneticPr fontId="1" type="noConversion"/>
  </si>
  <si>
    <t>DataSummary</t>
    <phoneticPr fontId="1" type="noConversion"/>
  </si>
  <si>
    <t>Bits</t>
    <phoneticPr fontId="1" type="noConversion"/>
  </si>
  <si>
    <t>TYPE</t>
    <phoneticPr fontId="1" type="noConversion"/>
  </si>
  <si>
    <t>TP</t>
    <phoneticPr fontId="1" type="noConversion"/>
  </si>
  <si>
    <t>PackNum</t>
    <phoneticPr fontId="1" type="noConversion"/>
  </si>
  <si>
    <t>1R1W</t>
    <phoneticPr fontId="1" type="noConversion"/>
  </si>
  <si>
    <t>2R2W</t>
  </si>
  <si>
    <t>REG</t>
    <phoneticPr fontId="1" type="noConversion"/>
  </si>
  <si>
    <t>CacheDepth</t>
    <phoneticPr fontId="1" type="noConversion"/>
  </si>
  <si>
    <t>1. 改页签用于为其它页签插入数据结构汇总。是DataSummary页签的一个辅助工具，用户可以直接填写DataSummary页签；</t>
    <phoneticPr fontId="1" type="noConversion"/>
  </si>
  <si>
    <t>2. 不要修改页签结构；</t>
    <phoneticPr fontId="1" type="noConversion"/>
  </si>
  <si>
    <t>3. 使用时，Copy一行进行插入后编辑；</t>
    <phoneticPr fontId="1" type="noConversion"/>
  </si>
  <si>
    <t>Readme</t>
    <phoneticPr fontId="1" type="noConversion"/>
  </si>
  <si>
    <t>HELP</t>
    <phoneticPr fontId="1" type="noConversion"/>
  </si>
  <si>
    <t>QMTailType</t>
    <phoneticPr fontId="1" type="noConversion"/>
  </si>
  <si>
    <t>MEM:</t>
    <phoneticPr fontId="1" type="noConversion"/>
  </si>
  <si>
    <t>REG:</t>
    <phoneticPr fontId="1" type="noConversion"/>
  </si>
  <si>
    <t>Counter</t>
    <phoneticPr fontId="1" type="noConversion"/>
  </si>
  <si>
    <t>IncNum</t>
    <phoneticPr fontId="1" type="noConversion"/>
  </si>
  <si>
    <t>DecNum</t>
    <phoneticPr fontId="1" type="noConversion"/>
  </si>
  <si>
    <t>UseNum</t>
    <phoneticPr fontId="1" type="noConversion"/>
  </si>
  <si>
    <t>REG</t>
  </si>
  <si>
    <t>1. 模块被复位后，需要清空自己产生的反压状态</t>
    <phoneticPr fontId="1" type="noConversion"/>
  </si>
  <si>
    <t>BDPA</t>
  </si>
  <si>
    <t>tn</t>
    <phoneticPr fontId="1" type="noConversion"/>
  </si>
  <si>
    <t>2R2W</t>
    <phoneticPr fontId="1" type="noConversion"/>
  </si>
  <si>
    <t>d</t>
    <phoneticPr fontId="1" type="noConversion"/>
  </si>
  <si>
    <t>TP</t>
    <phoneticPr fontId="1" type="noConversion"/>
  </si>
  <si>
    <t>er</t>
    <phoneticPr fontId="1" type="noConversion"/>
  </si>
  <si>
    <t>Weight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</si>
</sst>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b/>
      <sz val="14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0000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0"/>
      <color indexed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0" borderId="0" xfId="0" applyFont="1">
      <alignment vertical="center"/>
    </xf>
    <xf numFmtId="0" fontId="5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0" fillId="0" borderId="0" xfId="0" applyAlignment="1">
      <alignment vertical="center" wrapText="1"/>
    </xf>
    <xf numFmtId="0" fontId="9" fillId="0" borderId="0" xfId="0" applyFont="1">
      <alignment vertical="center"/>
    </xf>
    <xf numFmtId="0" fontId="10" fillId="0" borderId="0" xfId="1">
      <alignment vertical="center"/>
    </xf>
    <xf numFmtId="0" fontId="0" fillId="5" borderId="0" xfId="0" applyFill="1">
      <alignment vertical="center"/>
    </xf>
    <xf numFmtId="0" fontId="0" fillId="6" borderId="1" xfId="0" applyFill="1" applyBorder="1">
      <alignment vertical="center"/>
    </xf>
    <xf numFmtId="0" fontId="0" fillId="3" borderId="0" xfId="0" applyFill="1">
      <alignment vertical="center"/>
    </xf>
    <xf numFmtId="0" fontId="5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1" fillId="0" borderId="1" xfId="0" applyFont="1" applyBorder="1">
      <alignment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25</xdr:row>
          <xdr:rowOff>4763</xdr:rowOff>
        </xdr:from>
        <xdr:to>
          <xdr:col>0</xdr:col>
          <xdr:colOff>495300</xdr:colOff>
          <xdr:row>25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15</xdr:row>
          <xdr:rowOff>4763</xdr:rowOff>
        </xdr:from>
        <xdr:to>
          <xdr:col>0</xdr:col>
          <xdr:colOff>495300</xdr:colOff>
          <xdr:row>15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23813</xdr:colOff>
          <xdr:row>30</xdr:row>
          <xdr:rowOff>19050</xdr:rowOff>
        </xdr:from>
        <xdr:to>
          <xdr:col>0</xdr:col>
          <xdr:colOff>447675</xdr:colOff>
          <xdr:row>30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35</xdr:row>
          <xdr:rowOff>4763</xdr:rowOff>
        </xdr:from>
        <xdr:to>
          <xdr:col>0</xdr:col>
          <xdr:colOff>495300</xdr:colOff>
          <xdr:row>35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4763</xdr:rowOff>
        </xdr:from>
        <xdr:to>
          <xdr:col>0</xdr:col>
          <xdr:colOff>495300</xdr:colOff>
          <xdr:row>5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20</xdr:row>
          <xdr:rowOff>4763</xdr:rowOff>
        </xdr:from>
        <xdr:to>
          <xdr:col>0</xdr:col>
          <xdr:colOff>495300</xdr:colOff>
          <xdr:row>20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4763</xdr:rowOff>
        </xdr:from>
        <xdr:to>
          <xdr:col>0</xdr:col>
          <xdr:colOff>495300</xdr:colOff>
          <xdr:row>10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50ED1-F4CB-4986-A2A1-885D76C84ED3}">
  <sheetPr codeName="Sheet1"/>
  <dimension ref="A1:J31"/>
  <sheetViews>
    <sheetView workbookViewId="0">
      <selection activeCell="C27" sqref="C27"/>
    </sheetView>
  </sheetViews>
  <sheetFormatPr defaultRowHeight="13.9" x14ac:dyDescent="0.4"/>
  <cols>
    <col min="1" max="1" width="17.46484375" customWidth="1"/>
    <col min="2" max="2" width="23" customWidth="1"/>
  </cols>
  <sheetData>
    <row r="1" spans="1:10" x14ac:dyDescent="0.4">
      <c r="A1" s="17" t="s">
        <v>4</v>
      </c>
      <c r="B1" s="17" t="s">
        <v>14</v>
      </c>
      <c r="C1" s="17" t="s">
        <v>5</v>
      </c>
      <c r="D1" s="17" t="s">
        <v>15</v>
      </c>
      <c r="E1" s="19" t="s">
        <v>16</v>
      </c>
      <c r="F1" s="20"/>
      <c r="G1" s="21"/>
      <c r="H1" s="17" t="s">
        <v>19</v>
      </c>
      <c r="I1" s="17" t="s">
        <v>20</v>
      </c>
      <c r="J1" s="17" t="s">
        <v>21</v>
      </c>
    </row>
    <row r="2" spans="1:10" x14ac:dyDescent="0.4">
      <c r="A2" s="18"/>
      <c r="B2" s="18"/>
      <c r="C2" s="18"/>
      <c r="D2" s="18"/>
      <c r="E2" s="1" t="s">
        <v>17</v>
      </c>
      <c r="F2" s="1" t="s">
        <v>18</v>
      </c>
      <c r="G2" s="1" t="s">
        <v>9</v>
      </c>
      <c r="H2" s="18"/>
      <c r="I2" s="18"/>
      <c r="J2" s="18"/>
    </row>
    <row r="3" spans="1:10" x14ac:dyDescent="0.4">
      <c r="A3" s="16" t="str">
        <f>CONCATENATE(Script!B21, "_smfifo")</f>
        <v>d_smfifo</v>
      </c>
      <c r="B3" s="6"/>
      <c r="C3" s="16" t="s">
        <v>66</v>
      </c>
      <c r="D3" s="6" t="s">
        <v>44</v>
      </c>
      <c r="E3" s="16">
        <f>Script!F21</f>
        <v>25</v>
      </c>
      <c r="F3" s="5">
        <f>IF(C3="REG",0,IF(E3&lt;=0,0,IF(E3=1,3,IF(E3&lt;5,4,IF(E3&lt;12,5,IF(E3&lt;27,6,IF(E3&lt;58,7,IF(E3&lt;121,8,IF(E3&lt;248,9,IF(E3&lt;503,10,IF(E3&lt;1014,11,IF(E3&lt;2037,12,IF(E3&lt;4084,13,"OF")))))))))))))</f>
        <v>6</v>
      </c>
      <c r="G3" s="5">
        <f>E3+F3</f>
        <v>31</v>
      </c>
      <c r="H3" s="16">
        <f>Script!E21</f>
        <v>2048</v>
      </c>
      <c r="I3" s="16">
        <f>Script!D21</f>
        <v>2</v>
      </c>
      <c r="J3" s="5">
        <f>E3*H3*I3</f>
        <v>102400</v>
      </c>
    </row>
    <row r="4" spans="1:10" x14ac:dyDescent="0.4">
      <c r="A4" s="16" t="str">
        <f>CONCATENATE(Script!B21, "_qlen")</f>
        <v>d_qlen</v>
      </c>
      <c r="B4" s="6"/>
      <c r="C4" s="6" t="s">
        <v>46</v>
      </c>
      <c r="D4" s="6" t="s">
        <v>64</v>
      </c>
      <c r="E4" s="16">
        <f>CEILING(LOG(Script!E21,2),1)</f>
        <v>11</v>
      </c>
      <c r="F4" s="5">
        <f t="shared" ref="F4:F14" si="0">IF(C4="REG",0,IF(E4&lt;=0,0,IF(E4=1,3,IF(E4&lt;5,4,IF(E4&lt;12,5,IF(E4&lt;27,6,IF(E4&lt;58,7,IF(E4&lt;121,8,IF(E4&lt;248,9,IF(E4&lt;503,10,IF(E4&lt;1014,11,IF(E4&lt;2037,12,IF(E4&lt;4084,13,"OF")))))))))))))</f>
        <v>0</v>
      </c>
      <c r="G4" s="5">
        <f t="shared" ref="G4:G14" si="1">E4+F4</f>
        <v>11</v>
      </c>
      <c r="H4" s="16">
        <f>Script!G21</f>
        <v>8</v>
      </c>
      <c r="I4" s="16">
        <f>Script!D21</f>
        <v>2</v>
      </c>
      <c r="J4" s="5">
        <f t="shared" ref="J4:J6" si="2">E4*H4*I4</f>
        <v>176</v>
      </c>
    </row>
    <row r="5" spans="1:10" x14ac:dyDescent="0.4">
      <c r="A5" s="16" t="str">
        <f>CONCATENATE(Script!B21, "_cache")</f>
        <v>d_cache</v>
      </c>
      <c r="B5" s="6"/>
      <c r="C5" s="6" t="s">
        <v>46</v>
      </c>
      <c r="D5" s="6" t="s">
        <v>44</v>
      </c>
      <c r="E5" s="16">
        <f>Script!F21</f>
        <v>25</v>
      </c>
      <c r="F5" s="5">
        <f t="shared" si="0"/>
        <v>0</v>
      </c>
      <c r="G5" s="5">
        <f t="shared" si="1"/>
        <v>25</v>
      </c>
      <c r="H5" s="16">
        <f>Script!G21*Script!H21</f>
        <v>32</v>
      </c>
      <c r="I5" s="16">
        <f>Script!D21</f>
        <v>2</v>
      </c>
      <c r="J5" s="5">
        <f t="shared" si="2"/>
        <v>1600</v>
      </c>
    </row>
    <row r="6" spans="1:10" x14ac:dyDescent="0.4">
      <c r="A6" s="16" t="str">
        <f>CONCATENATE(Script!B31, "")</f>
        <v>er</v>
      </c>
      <c r="B6" s="6"/>
      <c r="C6" s="6" t="s">
        <v>42</v>
      </c>
      <c r="D6" s="6" t="s">
        <v>44</v>
      </c>
      <c r="E6" s="16">
        <f>CEILING(LOG(Script!G31,2),1)</f>
        <v>10</v>
      </c>
      <c r="F6" s="5">
        <f t="shared" si="0"/>
        <v>5</v>
      </c>
      <c r="G6" s="5">
        <f t="shared" si="1"/>
        <v>15</v>
      </c>
      <c r="H6" s="16">
        <f>Script!G31</f>
        <v>1024</v>
      </c>
      <c r="I6" s="16">
        <f>Script!D31</f>
        <v>6</v>
      </c>
      <c r="J6" s="5">
        <f t="shared" si="2"/>
        <v>61440</v>
      </c>
    </row>
    <row r="7" spans="1:10" x14ac:dyDescent="0.4">
      <c r="A7" s="6" t="str">
        <f>CONCATENATE(Script!B26, "_len")</f>
        <v>_len</v>
      </c>
      <c r="B7" s="6"/>
      <c r="C7" s="6" t="s">
        <v>46</v>
      </c>
      <c r="D7" s="6" t="s">
        <v>45</v>
      </c>
      <c r="E7" s="6">
        <f>LOG(Script!E26, 2)</f>
        <v>11</v>
      </c>
      <c r="F7" s="5">
        <f t="shared" si="0"/>
        <v>0</v>
      </c>
      <c r="G7" s="5">
        <f t="shared" si="1"/>
        <v>11</v>
      </c>
      <c r="H7" s="6">
        <f>Script!F26</f>
        <v>16</v>
      </c>
      <c r="I7" s="6">
        <f>Script!D26</f>
        <v>2</v>
      </c>
      <c r="J7" s="5">
        <f t="shared" ref="J7:J14" si="3">E7*H7*I7</f>
        <v>352</v>
      </c>
    </row>
    <row r="8" spans="1:10" x14ac:dyDescent="0.4">
      <c r="A8" s="6"/>
      <c r="B8" s="6"/>
      <c r="C8" s="6"/>
      <c r="D8" s="6"/>
      <c r="E8" s="6"/>
      <c r="F8" s="5">
        <f t="shared" si="0"/>
        <v>0</v>
      </c>
      <c r="G8" s="5">
        <f t="shared" si="1"/>
        <v>0</v>
      </c>
      <c r="H8" s="6"/>
      <c r="I8" s="6">
        <v>1</v>
      </c>
      <c r="J8" s="5">
        <f t="shared" si="3"/>
        <v>0</v>
      </c>
    </row>
    <row r="9" spans="1:10" x14ac:dyDescent="0.4">
      <c r="A9" s="6"/>
      <c r="B9" s="6"/>
      <c r="C9" s="6"/>
      <c r="D9" s="6"/>
      <c r="E9" s="6"/>
      <c r="F9" s="5">
        <f t="shared" si="0"/>
        <v>0</v>
      </c>
      <c r="G9" s="5">
        <f t="shared" si="1"/>
        <v>0</v>
      </c>
      <c r="H9" s="6"/>
      <c r="I9" s="6">
        <v>1</v>
      </c>
      <c r="J9" s="5">
        <f t="shared" si="3"/>
        <v>0</v>
      </c>
    </row>
    <row r="10" spans="1:10" x14ac:dyDescent="0.4">
      <c r="A10" s="6"/>
      <c r="B10" s="6"/>
      <c r="C10" s="6"/>
      <c r="D10" s="6"/>
      <c r="E10" s="6"/>
      <c r="F10" s="5">
        <f t="shared" si="0"/>
        <v>0</v>
      </c>
      <c r="G10" s="5">
        <f t="shared" si="1"/>
        <v>0</v>
      </c>
      <c r="H10" s="6"/>
      <c r="I10" s="6">
        <v>1</v>
      </c>
      <c r="J10" s="5">
        <f t="shared" si="3"/>
        <v>0</v>
      </c>
    </row>
    <row r="11" spans="1:10" x14ac:dyDescent="0.4">
      <c r="A11" s="6"/>
      <c r="B11" s="6"/>
      <c r="C11" s="6"/>
      <c r="D11" s="6"/>
      <c r="E11" s="6"/>
      <c r="F11" s="5">
        <f t="shared" si="0"/>
        <v>0</v>
      </c>
      <c r="G11" s="5">
        <f t="shared" si="1"/>
        <v>0</v>
      </c>
      <c r="H11" s="6"/>
      <c r="I11" s="6">
        <v>1</v>
      </c>
      <c r="J11" s="5">
        <f t="shared" si="3"/>
        <v>0</v>
      </c>
    </row>
    <row r="12" spans="1:10" x14ac:dyDescent="0.4">
      <c r="A12" s="6"/>
      <c r="B12" s="6"/>
      <c r="C12" s="6"/>
      <c r="D12" s="6"/>
      <c r="E12" s="6"/>
      <c r="F12" s="5">
        <f t="shared" si="0"/>
        <v>0</v>
      </c>
      <c r="G12" s="5">
        <f t="shared" si="1"/>
        <v>0</v>
      </c>
      <c r="H12" s="6"/>
      <c r="I12" s="6">
        <v>1</v>
      </c>
      <c r="J12" s="5">
        <f t="shared" si="3"/>
        <v>0</v>
      </c>
    </row>
    <row r="13" spans="1:10" x14ac:dyDescent="0.4">
      <c r="A13" s="6"/>
      <c r="B13" s="6"/>
      <c r="C13" s="6"/>
      <c r="D13" s="6"/>
      <c r="E13" s="6"/>
      <c r="F13" s="5">
        <f t="shared" si="0"/>
        <v>0</v>
      </c>
      <c r="G13" s="5">
        <f t="shared" si="1"/>
        <v>0</v>
      </c>
      <c r="H13" s="6"/>
      <c r="I13" s="6">
        <v>1</v>
      </c>
      <c r="J13" s="5">
        <f t="shared" si="3"/>
        <v>0</v>
      </c>
    </row>
    <row r="14" spans="1:10" x14ac:dyDescent="0.4">
      <c r="A14" s="6"/>
      <c r="B14" s="6"/>
      <c r="C14" s="6"/>
      <c r="D14" s="6"/>
      <c r="E14" s="6"/>
      <c r="F14" s="5">
        <f t="shared" si="0"/>
        <v>0</v>
      </c>
      <c r="G14" s="5">
        <f t="shared" si="1"/>
        <v>0</v>
      </c>
      <c r="H14" s="6"/>
      <c r="I14" s="6">
        <v>1</v>
      </c>
      <c r="J14" s="5">
        <f t="shared" si="3"/>
        <v>0</v>
      </c>
    </row>
    <row r="15" spans="1:10" x14ac:dyDescent="0.4">
      <c r="A15" s="6"/>
      <c r="B15" s="6"/>
      <c r="C15" s="6"/>
      <c r="D15" s="6"/>
      <c r="E15" s="6"/>
      <c r="F15" s="5">
        <f t="shared" ref="F15:F29" si="4">IF(C15="REG",0,IF(E15&lt;=0,0,IF(E15=1,3,IF(E15&lt;5,4,IF(E15&lt;12,5,IF(E15&lt;27,6,IF(E15&lt;58,7,IF(E15&lt;121,8,IF(E15&lt;248,9,IF(E15&lt;503,10,IF(E15&lt;1014,11,IF(E15&lt;2037,12,IF(E15&lt;4084,13,"OF")))))))))))))</f>
        <v>0</v>
      </c>
      <c r="G15" s="5">
        <f t="shared" ref="G15:G29" si="5">E15+F15</f>
        <v>0</v>
      </c>
      <c r="H15" s="6"/>
      <c r="I15" s="6">
        <v>1</v>
      </c>
      <c r="J15" s="5">
        <f t="shared" ref="J15:J29" si="6">E15*H15*I15</f>
        <v>0</v>
      </c>
    </row>
    <row r="16" spans="1:10" x14ac:dyDescent="0.4">
      <c r="A16" s="6"/>
      <c r="B16" s="6"/>
      <c r="C16" s="6"/>
      <c r="D16" s="6"/>
      <c r="E16" s="6"/>
      <c r="F16" s="5">
        <f t="shared" si="4"/>
        <v>0</v>
      </c>
      <c r="G16" s="5">
        <f t="shared" si="5"/>
        <v>0</v>
      </c>
      <c r="H16" s="6"/>
      <c r="I16" s="6">
        <v>1</v>
      </c>
      <c r="J16" s="5">
        <f t="shared" si="6"/>
        <v>0</v>
      </c>
    </row>
    <row r="17" spans="1:10" x14ac:dyDescent="0.4">
      <c r="A17" s="6"/>
      <c r="B17" s="6"/>
      <c r="C17" s="6"/>
      <c r="D17" s="6"/>
      <c r="E17" s="6"/>
      <c r="F17" s="5">
        <f t="shared" si="4"/>
        <v>0</v>
      </c>
      <c r="G17" s="5">
        <f t="shared" si="5"/>
        <v>0</v>
      </c>
      <c r="H17" s="6"/>
      <c r="I17" s="6">
        <v>1</v>
      </c>
      <c r="J17" s="5">
        <f t="shared" si="6"/>
        <v>0</v>
      </c>
    </row>
    <row r="18" spans="1:10" x14ac:dyDescent="0.4">
      <c r="A18" s="6"/>
      <c r="B18" s="6"/>
      <c r="C18" s="6"/>
      <c r="D18" s="6"/>
      <c r="E18" s="6"/>
      <c r="F18" s="5">
        <f t="shared" si="4"/>
        <v>0</v>
      </c>
      <c r="G18" s="5">
        <f t="shared" si="5"/>
        <v>0</v>
      </c>
      <c r="H18" s="6"/>
      <c r="I18" s="6">
        <v>1</v>
      </c>
      <c r="J18" s="5">
        <f t="shared" si="6"/>
        <v>0</v>
      </c>
    </row>
    <row r="19" spans="1:10" x14ac:dyDescent="0.4">
      <c r="A19" s="6"/>
      <c r="B19" s="6"/>
      <c r="C19" s="6"/>
      <c r="D19" s="6"/>
      <c r="E19" s="6"/>
      <c r="F19" s="5">
        <f t="shared" si="4"/>
        <v>0</v>
      </c>
      <c r="G19" s="5">
        <f t="shared" si="5"/>
        <v>0</v>
      </c>
      <c r="H19" s="6"/>
      <c r="I19" s="6">
        <v>1</v>
      </c>
      <c r="J19" s="5">
        <f t="shared" si="6"/>
        <v>0</v>
      </c>
    </row>
    <row r="20" spans="1:10" x14ac:dyDescent="0.4">
      <c r="A20" s="6"/>
      <c r="B20" s="6"/>
      <c r="C20" s="6"/>
      <c r="D20" s="6"/>
      <c r="E20" s="6"/>
      <c r="F20" s="5">
        <f t="shared" si="4"/>
        <v>0</v>
      </c>
      <c r="G20" s="5">
        <f t="shared" si="5"/>
        <v>0</v>
      </c>
      <c r="H20" s="6"/>
      <c r="I20" s="6">
        <v>1</v>
      </c>
      <c r="J20" s="5">
        <f t="shared" si="6"/>
        <v>0</v>
      </c>
    </row>
    <row r="21" spans="1:10" x14ac:dyDescent="0.4">
      <c r="A21" s="6"/>
      <c r="B21" s="6"/>
      <c r="C21" s="6"/>
      <c r="D21" s="6"/>
      <c r="E21" s="6"/>
      <c r="F21" s="5">
        <f t="shared" si="4"/>
        <v>0</v>
      </c>
      <c r="G21" s="5">
        <f t="shared" si="5"/>
        <v>0</v>
      </c>
      <c r="H21" s="6"/>
      <c r="I21" s="6">
        <v>1</v>
      </c>
      <c r="J21" s="5">
        <f t="shared" si="6"/>
        <v>0</v>
      </c>
    </row>
    <row r="22" spans="1:10" x14ac:dyDescent="0.4">
      <c r="A22" s="6"/>
      <c r="B22" s="6"/>
      <c r="C22" s="6"/>
      <c r="D22" s="6"/>
      <c r="E22" s="6"/>
      <c r="F22" s="5">
        <f t="shared" si="4"/>
        <v>0</v>
      </c>
      <c r="G22" s="5">
        <f t="shared" si="5"/>
        <v>0</v>
      </c>
      <c r="H22" s="6"/>
      <c r="I22" s="6">
        <v>1</v>
      </c>
      <c r="J22" s="5">
        <f t="shared" si="6"/>
        <v>0</v>
      </c>
    </row>
    <row r="23" spans="1:10" x14ac:dyDescent="0.4">
      <c r="A23" s="6"/>
      <c r="B23" s="6"/>
      <c r="C23" s="6"/>
      <c r="D23" s="6"/>
      <c r="E23" s="6"/>
      <c r="F23" s="5">
        <f t="shared" si="4"/>
        <v>0</v>
      </c>
      <c r="G23" s="5">
        <f t="shared" si="5"/>
        <v>0</v>
      </c>
      <c r="H23" s="6"/>
      <c r="I23" s="6">
        <v>1</v>
      </c>
      <c r="J23" s="5">
        <f t="shared" si="6"/>
        <v>0</v>
      </c>
    </row>
    <row r="24" spans="1:10" x14ac:dyDescent="0.4">
      <c r="A24" s="6"/>
      <c r="B24" s="6"/>
      <c r="C24" s="6"/>
      <c r="D24" s="6"/>
      <c r="E24" s="6"/>
      <c r="F24" s="5">
        <f t="shared" si="4"/>
        <v>0</v>
      </c>
      <c r="G24" s="5">
        <f t="shared" si="5"/>
        <v>0</v>
      </c>
      <c r="H24" s="6"/>
      <c r="I24" s="6">
        <v>1</v>
      </c>
      <c r="J24" s="5">
        <f t="shared" si="6"/>
        <v>0</v>
      </c>
    </row>
    <row r="25" spans="1:10" x14ac:dyDescent="0.4">
      <c r="A25" s="6"/>
      <c r="B25" s="6"/>
      <c r="C25" s="6"/>
      <c r="D25" s="6"/>
      <c r="E25" s="6"/>
      <c r="F25" s="5">
        <f t="shared" si="4"/>
        <v>0</v>
      </c>
      <c r="G25" s="5">
        <f t="shared" si="5"/>
        <v>0</v>
      </c>
      <c r="H25" s="6"/>
      <c r="I25" s="6">
        <v>1</v>
      </c>
      <c r="J25" s="5">
        <f t="shared" si="6"/>
        <v>0</v>
      </c>
    </row>
    <row r="26" spans="1:10" x14ac:dyDescent="0.4">
      <c r="A26" s="6"/>
      <c r="B26" s="6"/>
      <c r="C26" s="6"/>
      <c r="D26" s="6"/>
      <c r="E26" s="6"/>
      <c r="F26" s="5">
        <f t="shared" si="4"/>
        <v>0</v>
      </c>
      <c r="G26" s="5">
        <f t="shared" si="5"/>
        <v>0</v>
      </c>
      <c r="H26" s="6"/>
      <c r="I26" s="6">
        <v>1</v>
      </c>
      <c r="J26" s="5">
        <f t="shared" si="6"/>
        <v>0</v>
      </c>
    </row>
    <row r="27" spans="1:10" x14ac:dyDescent="0.4">
      <c r="A27" s="6"/>
      <c r="B27" s="6"/>
      <c r="C27" s="6"/>
      <c r="D27" s="6"/>
      <c r="E27" s="6"/>
      <c r="F27" s="5">
        <f t="shared" si="4"/>
        <v>0</v>
      </c>
      <c r="G27" s="5">
        <f t="shared" si="5"/>
        <v>0</v>
      </c>
      <c r="H27" s="6"/>
      <c r="I27" s="6">
        <v>1</v>
      </c>
      <c r="J27" s="5">
        <f t="shared" si="6"/>
        <v>0</v>
      </c>
    </row>
    <row r="28" spans="1:10" x14ac:dyDescent="0.4">
      <c r="A28" s="6"/>
      <c r="B28" s="6"/>
      <c r="C28" s="6"/>
      <c r="D28" s="6"/>
      <c r="E28" s="6"/>
      <c r="F28" s="5">
        <f t="shared" si="4"/>
        <v>0</v>
      </c>
      <c r="G28" s="5">
        <f t="shared" si="5"/>
        <v>0</v>
      </c>
      <c r="H28" s="6"/>
      <c r="I28" s="6">
        <v>1</v>
      </c>
      <c r="J28" s="5">
        <f t="shared" si="6"/>
        <v>0</v>
      </c>
    </row>
    <row r="29" spans="1:10" x14ac:dyDescent="0.4">
      <c r="A29" s="6"/>
      <c r="B29" s="6"/>
      <c r="C29" s="6"/>
      <c r="D29" s="6"/>
      <c r="E29" s="6"/>
      <c r="F29" s="5">
        <f t="shared" si="4"/>
        <v>0</v>
      </c>
      <c r="G29" s="5">
        <f t="shared" si="5"/>
        <v>0</v>
      </c>
      <c r="H29" s="6"/>
      <c r="I29" s="6">
        <v>1</v>
      </c>
      <c r="J29" s="5">
        <f t="shared" si="6"/>
        <v>0</v>
      </c>
    </row>
    <row r="30" spans="1:10" ht="5.25" customHeight="1" x14ac:dyDescent="0.4">
      <c r="A30" s="10"/>
      <c r="B30" s="10"/>
      <c r="C30" s="10"/>
      <c r="D30" s="10"/>
      <c r="E30" s="10"/>
      <c r="F30" s="10"/>
      <c r="G30" s="10"/>
      <c r="H30" s="10"/>
      <c r="I30" s="10"/>
      <c r="J30" s="10"/>
    </row>
    <row r="31" spans="1:10" x14ac:dyDescent="0.4">
      <c r="G31" s="11" t="s">
        <v>54</v>
      </c>
      <c r="H31" s="12">
        <f>SUM(J3:J29)-J31</f>
        <v>163840</v>
      </c>
      <c r="I31" s="11" t="s">
        <v>55</v>
      </c>
      <c r="J31" s="13">
        <f>SUMIF(C3:C29,"REG",J3:J29)</f>
        <v>2128</v>
      </c>
    </row>
  </sheetData>
  <mergeCells count="8">
    <mergeCell ref="I1:I2"/>
    <mergeCell ref="J1:J2"/>
    <mergeCell ref="A1:A2"/>
    <mergeCell ref="B1:B2"/>
    <mergeCell ref="C1:C2"/>
    <mergeCell ref="D1:D2"/>
    <mergeCell ref="E1:G1"/>
    <mergeCell ref="H1:H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CEACA-D301-43AE-920B-EDC985C437F3}">
  <sheetPr codeName="Sheet2"/>
  <dimension ref="A1:P36"/>
  <sheetViews>
    <sheetView tabSelected="1" workbookViewId="0">
      <pane xSplit="1" ySplit="3" topLeftCell="C16" activePane="bottomRight" state="frozen"/>
      <selection pane="topRight" activeCell="B1" sqref="B1"/>
      <selection pane="bottomLeft" activeCell="A4" sqref="A4"/>
      <selection pane="bottomRight" activeCell="Q34" sqref="Q34"/>
    </sheetView>
  </sheetViews>
  <sheetFormatPr defaultRowHeight="13.9" x14ac:dyDescent="0.4"/>
  <cols>
    <col min="1" max="1" width="11.6640625" customWidth="1"/>
    <col min="2" max="2" width="18.73046875" customWidth="1"/>
    <col min="3" max="4" width="12.6640625" customWidth="1"/>
    <col min="5" max="5" width="11.1328125" customWidth="1"/>
    <col min="6" max="6" width="10.53125" customWidth="1"/>
    <col min="7" max="7" width="12.19921875" customWidth="1"/>
    <col min="8" max="8" width="10.33203125" customWidth="1"/>
  </cols>
  <sheetData>
    <row r="1" spans="1:13" x14ac:dyDescent="0.4">
      <c r="B1" s="1" t="s">
        <v>38</v>
      </c>
      <c r="C1" s="2" t="s">
        <v>39</v>
      </c>
      <c r="D1" s="7"/>
      <c r="M1" s="9" t="s">
        <v>52</v>
      </c>
    </row>
    <row r="2" spans="1:13" x14ac:dyDescent="0.4">
      <c r="C2" s="7"/>
      <c r="D2" s="7"/>
    </row>
    <row r="3" spans="1:13" x14ac:dyDescent="0.4">
      <c r="C3" s="7"/>
      <c r="D3" s="7"/>
    </row>
    <row r="4" spans="1:13" ht="17.649999999999999" x14ac:dyDescent="0.4">
      <c r="A4" s="4" t="s">
        <v>25</v>
      </c>
    </row>
    <row r="5" spans="1:13" x14ac:dyDescent="0.4">
      <c r="B5" s="1" t="s">
        <v>4</v>
      </c>
      <c r="C5" s="1" t="s">
        <v>22</v>
      </c>
      <c r="D5" s="1" t="s">
        <v>32</v>
      </c>
      <c r="E5" s="1" t="s">
        <v>11</v>
      </c>
      <c r="F5" s="1" t="s">
        <v>40</v>
      </c>
      <c r="G5" s="1"/>
      <c r="H5" s="1"/>
      <c r="I5" s="1"/>
      <c r="J5" s="1"/>
      <c r="K5" s="1"/>
      <c r="L5" s="1"/>
      <c r="M5" s="1"/>
    </row>
    <row r="6" spans="1:13" x14ac:dyDescent="0.4">
      <c r="B6" s="2"/>
      <c r="C6" s="2">
        <v>3</v>
      </c>
      <c r="D6" s="2">
        <v>1</v>
      </c>
      <c r="E6" s="2">
        <v>512</v>
      </c>
      <c r="F6" s="2">
        <v>1</v>
      </c>
      <c r="G6" s="2"/>
      <c r="H6" s="2"/>
      <c r="I6" s="2"/>
      <c r="J6" s="2"/>
      <c r="K6" s="2"/>
      <c r="L6" s="2"/>
      <c r="M6" s="2"/>
    </row>
    <row r="9" spans="1:13" ht="17.649999999999999" x14ac:dyDescent="0.4">
      <c r="A9" s="4" t="s">
        <v>56</v>
      </c>
    </row>
    <row r="10" spans="1:13" x14ac:dyDescent="0.4">
      <c r="B10" s="1" t="s">
        <v>4</v>
      </c>
      <c r="C10" s="1" t="s">
        <v>22</v>
      </c>
      <c r="D10" s="1" t="s">
        <v>10</v>
      </c>
      <c r="E10" s="1" t="s">
        <v>11</v>
      </c>
      <c r="F10" s="1" t="s">
        <v>40</v>
      </c>
      <c r="G10" s="1" t="s">
        <v>57</v>
      </c>
      <c r="H10" s="1" t="s">
        <v>58</v>
      </c>
      <c r="I10" s="1" t="s">
        <v>59</v>
      </c>
      <c r="J10" s="15" t="s">
        <v>5</v>
      </c>
      <c r="K10" s="1"/>
      <c r="L10" s="1"/>
      <c r="M10" s="1"/>
    </row>
    <row r="11" spans="1:13" x14ac:dyDescent="0.4">
      <c r="B11" s="2"/>
      <c r="C11" s="2">
        <v>4</v>
      </c>
      <c r="D11" s="2">
        <v>1</v>
      </c>
      <c r="E11" s="2">
        <v>512</v>
      </c>
      <c r="F11" s="2">
        <v>1</v>
      </c>
      <c r="G11" s="2">
        <v>1</v>
      </c>
      <c r="H11" s="2">
        <v>2</v>
      </c>
      <c r="I11" s="2">
        <v>3</v>
      </c>
      <c r="J11" s="14" t="s">
        <v>60</v>
      </c>
      <c r="K11" s="2"/>
      <c r="L11" s="2"/>
      <c r="M11" s="2"/>
    </row>
    <row r="14" spans="1:13" ht="17.649999999999999" x14ac:dyDescent="0.4">
      <c r="A14" s="4" t="s">
        <v>35</v>
      </c>
    </row>
    <row r="15" spans="1:13" x14ac:dyDescent="0.4">
      <c r="B15" s="1" t="s">
        <v>4</v>
      </c>
      <c r="C15" s="1" t="s">
        <v>22</v>
      </c>
      <c r="D15" s="1" t="s">
        <v>32</v>
      </c>
      <c r="E15" s="1" t="s">
        <v>11</v>
      </c>
      <c r="F15" s="1" t="s">
        <v>16</v>
      </c>
      <c r="G15" s="1" t="s">
        <v>41</v>
      </c>
      <c r="H15" s="1" t="s">
        <v>43</v>
      </c>
      <c r="I15" s="1" t="s">
        <v>25</v>
      </c>
      <c r="J15" s="1" t="s">
        <v>26</v>
      </c>
      <c r="K15" s="1"/>
      <c r="L15" s="1"/>
      <c r="M15" s="1"/>
    </row>
    <row r="16" spans="1:13" x14ac:dyDescent="0.4">
      <c r="B16" s="2" t="s">
        <v>63</v>
      </c>
      <c r="C16" s="2">
        <v>3</v>
      </c>
      <c r="D16" s="2">
        <v>4</v>
      </c>
      <c r="E16" s="2">
        <v>1024</v>
      </c>
      <c r="F16" s="2">
        <v>25</v>
      </c>
      <c r="G16" s="2" t="s">
        <v>42</v>
      </c>
      <c r="H16" s="2">
        <v>4</v>
      </c>
      <c r="I16" s="2">
        <v>1</v>
      </c>
      <c r="J16" s="2" t="b">
        <v>1</v>
      </c>
      <c r="K16" s="2"/>
      <c r="L16" s="2"/>
      <c r="M16" s="2"/>
    </row>
    <row r="19" spans="1:16" ht="17.649999999999999" x14ac:dyDescent="0.4">
      <c r="A19" s="4" t="s">
        <v>33</v>
      </c>
    </row>
    <row r="20" spans="1:16" x14ac:dyDescent="0.4">
      <c r="B20" s="1" t="s">
        <v>4</v>
      </c>
      <c r="C20" s="1" t="s">
        <v>22</v>
      </c>
      <c r="D20" s="1" t="s">
        <v>32</v>
      </c>
      <c r="E20" s="1" t="s">
        <v>11</v>
      </c>
      <c r="F20" s="1" t="s">
        <v>16</v>
      </c>
      <c r="G20" s="1" t="s">
        <v>12</v>
      </c>
      <c r="H20" s="1" t="s">
        <v>47</v>
      </c>
      <c r="I20" s="1"/>
      <c r="J20" s="1"/>
      <c r="K20" s="1"/>
      <c r="L20" s="1"/>
      <c r="M20" s="1"/>
    </row>
    <row r="21" spans="1:16" x14ac:dyDescent="0.4">
      <c r="B21" s="2" t="s">
        <v>65</v>
      </c>
      <c r="C21" s="2">
        <v>3</v>
      </c>
      <c r="D21" s="2">
        <v>2</v>
      </c>
      <c r="E21" s="2">
        <v>2048</v>
      </c>
      <c r="F21" s="2">
        <v>25</v>
      </c>
      <c r="G21" s="2">
        <v>8</v>
      </c>
      <c r="H21" s="2">
        <v>4</v>
      </c>
      <c r="I21" s="2"/>
      <c r="J21" s="2"/>
      <c r="K21" s="2"/>
      <c r="L21" s="2"/>
      <c r="M21" s="2"/>
    </row>
    <row r="24" spans="1:16" ht="17.649999999999999" x14ac:dyDescent="0.4">
      <c r="A24" s="4" t="s">
        <v>34</v>
      </c>
    </row>
    <row r="25" spans="1:16" x14ac:dyDescent="0.4">
      <c r="B25" s="1" t="s">
        <v>4</v>
      </c>
      <c r="C25" s="1" t="s">
        <v>22</v>
      </c>
      <c r="D25" s="1" t="s">
        <v>32</v>
      </c>
      <c r="E25" s="1" t="s">
        <v>11</v>
      </c>
      <c r="F25" s="1" t="s">
        <v>12</v>
      </c>
      <c r="G25" s="1" t="s">
        <v>53</v>
      </c>
      <c r="H25" s="1" t="s">
        <v>24</v>
      </c>
      <c r="I25" s="1" t="s">
        <v>13</v>
      </c>
      <c r="J25" s="1" t="s">
        <v>23</v>
      </c>
      <c r="K25" s="1"/>
      <c r="L25" s="1"/>
      <c r="M25" s="1"/>
    </row>
    <row r="26" spans="1:16" x14ac:dyDescent="0.4">
      <c r="B26" s="2"/>
      <c r="C26" s="2">
        <v>3</v>
      </c>
      <c r="D26" s="2">
        <v>2</v>
      </c>
      <c r="E26" s="2">
        <v>2048</v>
      </c>
      <c r="F26" s="2">
        <v>16</v>
      </c>
      <c r="G26" s="2" t="s">
        <v>42</v>
      </c>
      <c r="H26" s="2">
        <v>32</v>
      </c>
      <c r="I26" s="2" t="b">
        <v>1</v>
      </c>
      <c r="J26" s="2">
        <v>1</v>
      </c>
      <c r="K26" s="2"/>
      <c r="L26" s="2"/>
      <c r="M26" s="2"/>
    </row>
    <row r="29" spans="1:16" ht="17.649999999999999" x14ac:dyDescent="0.4">
      <c r="A29" s="4" t="s">
        <v>36</v>
      </c>
    </row>
    <row r="30" spans="1:16" x14ac:dyDescent="0.4">
      <c r="B30" s="1" t="s">
        <v>4</v>
      </c>
      <c r="C30" s="1" t="s">
        <v>28</v>
      </c>
      <c r="D30" s="1" t="s">
        <v>32</v>
      </c>
      <c r="E30" s="1" t="s">
        <v>5</v>
      </c>
      <c r="F30" s="1" t="s">
        <v>1</v>
      </c>
      <c r="G30" s="1" t="s">
        <v>27</v>
      </c>
      <c r="H30" s="1" t="s">
        <v>2</v>
      </c>
      <c r="I30" s="1" t="s">
        <v>0</v>
      </c>
      <c r="J30" s="1" t="s">
        <v>3</v>
      </c>
      <c r="K30" s="1" t="s">
        <v>6</v>
      </c>
      <c r="L30" s="1" t="s">
        <v>7</v>
      </c>
      <c r="M30" s="1" t="s">
        <v>8</v>
      </c>
      <c r="N30" s="1" t="s">
        <v>10</v>
      </c>
      <c r="O30" s="1" t="s">
        <v>9</v>
      </c>
      <c r="P30" s="1" t="s">
        <v>68</v>
      </c>
    </row>
    <row r="31" spans="1:16" x14ac:dyDescent="0.4">
      <c r="B31" s="2" t="s">
        <v>67</v>
      </c>
      <c r="C31" s="2">
        <v>6</v>
      </c>
      <c r="D31" s="2">
        <v>6</v>
      </c>
      <c r="E31" s="2" t="s">
        <v>62</v>
      </c>
      <c r="F31" s="2">
        <v>8</v>
      </c>
      <c r="G31" s="2">
        <v>1024</v>
      </c>
      <c r="H31" s="2">
        <v>6</v>
      </c>
      <c r="I31" s="2">
        <v>2</v>
      </c>
      <c r="J31" s="2">
        <v>2</v>
      </c>
      <c r="K31" s="3">
        <f>F31*H31*I31*(J31+1)</f>
        <v>288</v>
      </c>
      <c r="L31" s="3">
        <f>H31*(J31+1)</f>
        <v>18</v>
      </c>
      <c r="M31" s="3">
        <f>IF(E31="RRDPA",CEILING(LOG(MAX(F31,H31),2),1)*I31*J31,IF(E31="BDPA",(CEILING(LOG(F31,2),1)+F31*CEILING(LOG(H31,2),1))*I31*J31,IF(E31="EIAA",(H31*CEILING(LOG(F31,2),1)+F31*CEILING(LOG(H31,2),1))*I31*J31,0)))</f>
        <v>108</v>
      </c>
      <c r="N31" s="2">
        <v>1</v>
      </c>
      <c r="O31" s="3">
        <f>(K31+L31+M31+IF(P31&gt;0,CEILING(LOG(P31,2),1),0)*F31*H31)*N31</f>
        <v>414</v>
      </c>
      <c r="P31" s="2">
        <v>0</v>
      </c>
    </row>
    <row r="34" spans="1:13" ht="17.649999999999999" x14ac:dyDescent="0.4">
      <c r="A34" s="4" t="s">
        <v>37</v>
      </c>
    </row>
    <row r="35" spans="1:13" x14ac:dyDescent="0.4">
      <c r="B35" s="1" t="s">
        <v>4</v>
      </c>
      <c r="C35" s="1" t="s">
        <v>22</v>
      </c>
      <c r="D35" s="1" t="s">
        <v>32</v>
      </c>
      <c r="E35" s="1" t="s">
        <v>29</v>
      </c>
      <c r="F35" s="1" t="s">
        <v>30</v>
      </c>
      <c r="G35" s="1" t="s">
        <v>31</v>
      </c>
      <c r="H35" s="1"/>
      <c r="I35" s="1"/>
      <c r="J35" s="1"/>
      <c r="K35" s="1"/>
      <c r="L35" s="1"/>
      <c r="M35" s="1"/>
    </row>
    <row r="36" spans="1:13" x14ac:dyDescent="0.4">
      <c r="B36" s="2"/>
      <c r="C36" s="2">
        <v>6</v>
      </c>
      <c r="D36" s="2"/>
      <c r="E36" s="2">
        <v>12</v>
      </c>
      <c r="F36" s="2">
        <v>5</v>
      </c>
      <c r="G36" s="2">
        <v>6</v>
      </c>
      <c r="H36" s="2"/>
      <c r="I36" s="2"/>
      <c r="J36" s="2"/>
      <c r="K36" s="2"/>
      <c r="L36" s="2"/>
      <c r="M36" s="2"/>
    </row>
  </sheetData>
  <phoneticPr fontId="1" type="noConversion"/>
  <dataValidations count="9">
    <dataValidation type="list" showInputMessage="1" showErrorMessage="1" sqref="E31" xr:uid="{9F40F0B9-21A3-400A-8238-8B96C7F869A1}">
      <formula1>"SPDPA,RRDPA,BDPA,EIAA"</formula1>
    </dataValidation>
    <dataValidation type="whole" showInputMessage="1" showErrorMessage="1" sqref="F31:J31 N31" xr:uid="{4E2318B6-493B-45F0-989C-60D9F76C3EA4}">
      <formula1>1</formula1>
      <formula2>1024</formula2>
    </dataValidation>
    <dataValidation type="whole" operator="greaterThanOrEqual" allowBlank="1" showInputMessage="1" showErrorMessage="1" sqref="C6:F6 C31:D31 C21:G21 C26:F26 C16:F16 H16 H26 C11:I11" xr:uid="{DFB266BC-50B3-4AD8-9736-2F6E173EB946}">
      <formula1>1</formula1>
    </dataValidation>
    <dataValidation type="whole" operator="greaterThanOrEqual" allowBlank="1" showInputMessage="1" showErrorMessage="1" sqref="I16 H21 J26" xr:uid="{27AEC03D-837E-47D9-85C1-CF0CE3D2284A}">
      <formula1>0</formula1>
    </dataValidation>
    <dataValidation type="list" allowBlank="1" showInputMessage="1" showErrorMessage="1" sqref="G16" xr:uid="{9AD5CDC8-46A2-44C5-BDD4-F691DE87678D}">
      <formula1>"SP,TP"</formula1>
    </dataValidation>
    <dataValidation type="list" allowBlank="1" showInputMessage="1" showErrorMessage="1" sqref="J16 I26" xr:uid="{98F56995-F533-4235-B8AE-A3F40AC386D7}">
      <formula1>"TRUE,FALSE"</formula1>
    </dataValidation>
    <dataValidation type="list" allowBlank="1" showInputMessage="1" showErrorMessage="1" sqref="G26" xr:uid="{6E4119CC-6A3A-4891-8831-413BA47AA4BA}">
      <formula1>"SP,TP,REG"</formula1>
    </dataValidation>
    <dataValidation type="list" allowBlank="1" showInputMessage="1" showErrorMessage="1" sqref="J11" xr:uid="{D4716A4B-4A2B-45DE-AB90-E9D8E084CF34}">
      <formula1>"REG,TP,DP"</formula1>
    </dataValidation>
    <dataValidation type="whole" showInputMessage="1" showErrorMessage="1" sqref="P31" xr:uid="{EF164968-FBE2-4D55-B994-22A7B4BA2F43}">
      <formula1>0</formula1>
      <formula2>1024</formula2>
    </dataValidation>
  </dataValidations>
  <hyperlinks>
    <hyperlink ref="M1" location="ScriptHelp!A1" display="HELP" xr:uid="{8E4C87D3-82C9-42C5-85FC-7C1A49793B1E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2.AddQMStructure">
                <anchor moveWithCells="1" sizeWithCells="1">
                  <from>
                    <xdr:col>0</xdr:col>
                    <xdr:colOff>38100</xdr:colOff>
                    <xdr:row>25</xdr:row>
                    <xdr:rowOff>4763</xdr:rowOff>
                  </from>
                  <to>
                    <xdr:col>0</xdr:col>
                    <xdr:colOff>495300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2.AddBufferStructure">
                <anchor moveWithCells="1" sizeWithCells="1">
                  <from>
                    <xdr:col>0</xdr:col>
                    <xdr:colOff>38100</xdr:colOff>
                    <xdr:row>15</xdr:row>
                    <xdr:rowOff>4763</xdr:rowOff>
                  </from>
                  <to>
                    <xdr:col>0</xdr:col>
                    <xdr:colOff>495300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eet2.AddArbiterStructure">
                <anchor moveWithCells="1" sizeWithCells="1">
                  <from>
                    <xdr:col>0</xdr:col>
                    <xdr:colOff>23813</xdr:colOff>
                    <xdr:row>30</xdr:row>
                    <xdr:rowOff>19050</xdr:rowOff>
                  </from>
                  <to>
                    <xdr:col>0</xdr:col>
                    <xdr:colOff>447675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heet2.AddScheduleStructure">
                <anchor moveWithCells="1" sizeWithCells="1">
                  <from>
                    <xdr:col>0</xdr:col>
                    <xdr:colOff>38100</xdr:colOff>
                    <xdr:row>35</xdr:row>
                    <xdr:rowOff>4763</xdr:rowOff>
                  </from>
                  <to>
                    <xdr:col>0</xdr:col>
                    <xdr:colOff>495300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Sheet2.AddFlagStructure">
                <anchor moveWithCells="1" sizeWithCells="1">
                  <from>
                    <xdr:col>0</xdr:col>
                    <xdr:colOff>38100</xdr:colOff>
                    <xdr:row>5</xdr:row>
                    <xdr:rowOff>4763</xdr:rowOff>
                  </from>
                  <to>
                    <xdr:col>0</xdr:col>
                    <xdr:colOff>495300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Sheet2.AddSMFIFOStructure">
                <anchor moveWithCells="1" sizeWithCells="1">
                  <from>
                    <xdr:col>0</xdr:col>
                    <xdr:colOff>38100</xdr:colOff>
                    <xdr:row>20</xdr:row>
                    <xdr:rowOff>4763</xdr:rowOff>
                  </from>
                  <to>
                    <xdr:col>0</xdr:col>
                    <xdr:colOff>495300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0" name="Button 27">
              <controlPr defaultSize="0" print="0" autoFill="0" autoPict="0" macro="[0]!Sheet2.AddCounterStructure">
                <anchor moveWithCells="1" sizeWithCells="1">
                  <from>
                    <xdr:col>0</xdr:col>
                    <xdr:colOff>38100</xdr:colOff>
                    <xdr:row>10</xdr:row>
                    <xdr:rowOff>4763</xdr:rowOff>
                  </from>
                  <to>
                    <xdr:col>0</xdr:col>
                    <xdr:colOff>495300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A7A66-2DF0-4CE9-9CFA-0ECD3760E859}">
  <sheetPr codeName="Sheet4"/>
  <dimension ref="A2"/>
  <sheetViews>
    <sheetView workbookViewId="0">
      <selection activeCell="A14" sqref="A14"/>
    </sheetView>
  </sheetViews>
  <sheetFormatPr defaultRowHeight="13.9" x14ac:dyDescent="0.4"/>
  <cols>
    <col min="1" max="1" width="68.1328125" customWidth="1"/>
  </cols>
  <sheetData>
    <row r="2" spans="1:1" x14ac:dyDescent="0.4">
      <c r="A2" t="s">
        <v>61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C44FB-E4A6-4741-99BB-BFA820DE45D0}">
  <sheetPr codeName="Sheet3"/>
  <dimension ref="A2:B5"/>
  <sheetViews>
    <sheetView workbookViewId="0"/>
  </sheetViews>
  <sheetFormatPr defaultRowHeight="13.9" x14ac:dyDescent="0.4"/>
  <sheetData>
    <row r="2" spans="1:2" x14ac:dyDescent="0.4">
      <c r="A2" t="s">
        <v>51</v>
      </c>
    </row>
    <row r="3" spans="1:2" x14ac:dyDescent="0.4">
      <c r="B3" t="s">
        <v>48</v>
      </c>
    </row>
    <row r="4" spans="1:2" x14ac:dyDescent="0.4">
      <c r="B4" s="8" t="s">
        <v>49</v>
      </c>
    </row>
    <row r="5" spans="1:2" x14ac:dyDescent="0.4">
      <c r="B5" t="s">
        <v>50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32</vt:i4>
      </vt:variant>
    </vt:vector>
  </HeadingPairs>
  <TitlesOfParts>
    <vt:vector size="36" baseType="lpstr">
      <vt:lpstr>DataSummary</vt:lpstr>
      <vt:lpstr>Script</vt:lpstr>
      <vt:lpstr>Rules</vt:lpstr>
      <vt:lpstr>ScriptHelp</vt:lpstr>
      <vt:lpstr>ARB_IPTR</vt:lpstr>
      <vt:lpstr>BUF_BITMAP</vt:lpstr>
      <vt:lpstr>BUF_CACHE</vt:lpstr>
      <vt:lpstr>BUF_PACK_NUM</vt:lpstr>
      <vt:lpstr>BUF_SIZE</vt:lpstr>
      <vt:lpstr>BUF_TYPE</vt:lpstr>
      <vt:lpstr>BUF_WIDTH</vt:lpstr>
      <vt:lpstr>CNT_BITS</vt:lpstr>
      <vt:lpstr>CNT_DEC_NUM</vt:lpstr>
      <vt:lpstr>CNT_INC_NUM</vt:lpstr>
      <vt:lpstr>CNT_SIZE</vt:lpstr>
      <vt:lpstr>CNT_TYPE</vt:lpstr>
      <vt:lpstr>CNT_USE_NUM</vt:lpstr>
      <vt:lpstr>DestSheet</vt:lpstr>
      <vt:lpstr>FLAG_BITS</vt:lpstr>
      <vt:lpstr>FLAG_SIZE</vt:lpstr>
      <vt:lpstr>INST</vt:lpstr>
      <vt:lpstr>NAME</vt:lpstr>
      <vt:lpstr>OFFSET</vt:lpstr>
      <vt:lpstr>QM_DUADIR</vt:lpstr>
      <vt:lpstr>QM_EXTBIT</vt:lpstr>
      <vt:lpstr>QM_HNUM</vt:lpstr>
      <vt:lpstr>QM_QNUM</vt:lpstr>
      <vt:lpstr>QM_SIZE</vt:lpstr>
      <vt:lpstr>QM_TAIL_TYPE</vt:lpstr>
      <vt:lpstr>SC_G2C</vt:lpstr>
      <vt:lpstr>SC_RNUM</vt:lpstr>
      <vt:lpstr>SC_RSIZE</vt:lpstr>
      <vt:lpstr>SM_CACHE</vt:lpstr>
      <vt:lpstr>SM_QNUM</vt:lpstr>
      <vt:lpstr>SM_SIZE</vt:lpstr>
      <vt:lpstr>SM_WIDTH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xwHan</dc:creator>
  <cp:lastModifiedBy>xwHan</cp:lastModifiedBy>
  <dcterms:created xsi:type="dcterms:W3CDTF">2019-07-29T13:44:49Z</dcterms:created>
  <dcterms:modified xsi:type="dcterms:W3CDTF">2019-10-30T13:42:24Z</dcterms:modified>
</cp:coreProperties>
</file>