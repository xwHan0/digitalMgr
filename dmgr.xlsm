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FD851292-9431-4929-88C0-3463EA6608BA}" xr6:coauthVersionLast="45" xr6:coauthVersionMax="45" xr10:uidLastSave="{00000000-0000-0000-0000-000000000000}"/>
  <bookViews>
    <workbookView xWindow="-98" yWindow="-98" windowWidth="20715" windowHeight="13276" tabRatio="684" activeTab="7" xr2:uid="{2CE4B1C9-8906-421A-B932-A2C3F5D0AC6B}"/>
  </bookViews>
  <sheets>
    <sheet name="DataSummary" sheetId="2" r:id="rId1"/>
    <sheet name="Script" sheetId="1" r:id="rId2"/>
    <sheet name="Fileds" sheetId="10" r:id="rId3"/>
    <sheet name="Multicast" sheetId="5" r:id="rId4"/>
    <sheet name="Process" sheetId="6" r:id="rId5"/>
    <sheet name="Backpress" sheetId="9" r:id="rId6"/>
    <sheet name="Latency" sheetId="7" r:id="rId7"/>
    <sheet name="Performance" sheetId="8" r:id="rId8"/>
    <sheet name="DFx" sheetId="4" r:id="rId9"/>
    <sheet name="ScriptHelp" sheetId="3" r:id="rId10"/>
  </sheets>
  <functionGroups builtInGroupCount="19"/>
  <definedNames>
    <definedName name="_xlnm._FilterDatabase" localSheetId="6" hidden="1">Latency!#REF!</definedName>
    <definedName name="_xlnm._FilterDatabase" localSheetId="1" hidden="1">Script!#REF!</definedName>
    <definedName name="ARB_IN">Script!$F$35</definedName>
    <definedName name="ARB_IPTR">Script!$G$35</definedName>
    <definedName name="ARB_ONUM">Script!$H$35</definedName>
    <definedName name="ARB_REG">Script!$O$35</definedName>
    <definedName name="BUF_BITMAP">Script!$J$6</definedName>
    <definedName name="BUF_CACHE">Script!$I$6</definedName>
    <definedName name="BUF_PACK_NUM">Script!$H$6</definedName>
    <definedName name="BUF_SIZE">Script!$E$6</definedName>
    <definedName name="BUF_TYPE">Script!$G$6</definedName>
    <definedName name="BUF_WIDTH">Script!$F$6</definedName>
    <definedName name="CNT_BITS">Script!#REF!</definedName>
    <definedName name="CNT_DEC_NUM">Script!#REF!</definedName>
    <definedName name="CNT_INC_NUM">Script!#REF!</definedName>
    <definedName name="CNT_SIZE">Script!#REF!</definedName>
    <definedName name="CNT_TYPE">Script!#REF!</definedName>
    <definedName name="CNT_USE_NUM">Script!#REF!</definedName>
    <definedName name="CPY_NUM_RNG">Multicast!$E$3:$E$25</definedName>
    <definedName name="DATA_DEPTH">Script!$E$1</definedName>
    <definedName name="DATA_INST">Script!$E$2</definedName>
    <definedName name="DestSheet">Script!$C$1</definedName>
    <definedName name="END_TREE">Latency!$A$36</definedName>
    <definedName name="FLAG_BITS">Script!#REF!</definedName>
    <definedName name="FLAG_SIZE">Script!#REF!</definedName>
    <definedName name="INST">Script!#REF!</definedName>
    <definedName name="NAME">Script!#REF!</definedName>
    <definedName name="OFFSET">Script!#REF!</definedName>
    <definedName name="PID_RNG">Multicast!$B$3:$B$25</definedName>
    <definedName name="QM_DUADIR">Script!$I$16</definedName>
    <definedName name="QM_EXTBIT">Script!$J$16</definedName>
    <definedName name="QM_HNUM">Script!$H$16</definedName>
    <definedName name="QM_QNUM">Script!$F$16</definedName>
    <definedName name="QM_SIZE">Script!$E$16</definedName>
    <definedName name="QM_TAIL_TYPE">Script!$G$16</definedName>
    <definedName name="SC_G2C">Script!$G$40</definedName>
    <definedName name="SC_RNUM">Script!$E$40</definedName>
    <definedName name="SC_RSIZE">Script!$F$40</definedName>
    <definedName name="SM_CACHE">Script!$H$11</definedName>
    <definedName name="SM_QNUM">Script!$G$11</definedName>
    <definedName name="SM_SIZE">Script!$E$11</definedName>
    <definedName name="SM_WIDTH">Script!$F$11</definedName>
    <definedName name="STAGE_RNG">Multicast!$D$3:$D$25</definedName>
    <definedName name="START_TREE">Latency!$A$22</definedName>
    <definedName name="TEST">DataSummary!$D$1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0" i="7" l="1"/>
  <c r="E2" i="1"/>
  <c r="E1" i="1"/>
  <c r="G42" i="7" a="1"/>
  <c r="G46" i="7" a="1"/>
  <c r="G46" i="7" l="1"/>
  <c r="G42" i="7"/>
  <c r="V16" i="7"/>
  <c r="U16" i="7"/>
  <c r="T16" i="7"/>
  <c r="S16" i="7"/>
  <c r="R16" i="7"/>
  <c r="Q16" i="7"/>
  <c r="F16" i="7"/>
  <c r="D16" i="7"/>
  <c r="V15" i="7"/>
  <c r="U15" i="7"/>
  <c r="T15" i="7"/>
  <c r="S15" i="7"/>
  <c r="R15" i="7"/>
  <c r="Q15" i="7"/>
  <c r="F15" i="7"/>
  <c r="D15" i="7"/>
  <c r="F14" i="7"/>
  <c r="D14" i="7" s="1"/>
  <c r="V14" i="7"/>
  <c r="U14" i="7"/>
  <c r="T14" i="7"/>
  <c r="S14" i="7"/>
  <c r="R14" i="7"/>
  <c r="Q14" i="7"/>
  <c r="E34" i="7"/>
  <c r="E35" i="7"/>
  <c r="E33" i="7"/>
  <c r="E27" i="7"/>
  <c r="E28" i="7"/>
  <c r="E29" i="7"/>
  <c r="E30" i="7"/>
  <c r="E31" i="7"/>
  <c r="E26" i="7"/>
  <c r="V8" i="7"/>
  <c r="U8" i="7"/>
  <c r="T8" i="7"/>
  <c r="S8" i="7"/>
  <c r="R8" i="7"/>
  <c r="Q8" i="7"/>
  <c r="D8" i="7"/>
  <c r="V7" i="7"/>
  <c r="U7" i="7"/>
  <c r="T7" i="7"/>
  <c r="S7" i="7"/>
  <c r="R7" i="7"/>
  <c r="Q7" i="7"/>
  <c r="D7" i="7"/>
  <c r="G31" i="7" l="1"/>
  <c r="G35" i="7"/>
  <c r="G34" i="7"/>
  <c r="G33" i="7"/>
  <c r="G26" i="7"/>
  <c r="F38" i="10"/>
  <c r="G38" i="10"/>
  <c r="H38" i="10"/>
  <c r="I38" i="10"/>
  <c r="E38" i="10"/>
  <c r="H17" i="1" l="1"/>
  <c r="AF5" i="2" l="1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F5" i="2"/>
  <c r="F6" i="2"/>
  <c r="F7" i="2"/>
  <c r="F8" i="2"/>
  <c r="F9" i="2"/>
  <c r="F10" i="2"/>
  <c r="F11" i="2"/>
  <c r="F12" i="2"/>
  <c r="F13" i="2"/>
  <c r="F14" i="2"/>
  <c r="H14" i="2" s="1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H23" i="2"/>
  <c r="H7" i="2" l="1"/>
  <c r="H30" i="2"/>
  <c r="AE28" i="2"/>
  <c r="AE24" i="2"/>
  <c r="AE20" i="2"/>
  <c r="AE16" i="2"/>
  <c r="AE12" i="2"/>
  <c r="AE8" i="2"/>
  <c r="H27" i="2"/>
  <c r="H19" i="2"/>
  <c r="H15" i="2"/>
  <c r="H11" i="2"/>
  <c r="H29" i="2"/>
  <c r="H25" i="2"/>
  <c r="H21" i="2"/>
  <c r="H17" i="2"/>
  <c r="H13" i="2"/>
  <c r="H9" i="2"/>
  <c r="H5" i="2"/>
  <c r="AE27" i="2"/>
  <c r="AE23" i="2"/>
  <c r="AE19" i="2"/>
  <c r="AE15" i="2"/>
  <c r="AE11" i="2"/>
  <c r="AE7" i="2"/>
  <c r="AE30" i="2"/>
  <c r="AE26" i="2"/>
  <c r="AE22" i="2"/>
  <c r="AE18" i="2"/>
  <c r="AE14" i="2"/>
  <c r="AE10" i="2"/>
  <c r="AE29" i="2"/>
  <c r="AE25" i="2"/>
  <c r="AE21" i="2"/>
  <c r="AE17" i="2"/>
  <c r="AE13" i="2"/>
  <c r="AE9" i="2"/>
  <c r="AE5" i="2"/>
  <c r="H26" i="2"/>
  <c r="H22" i="2"/>
  <c r="H18" i="2"/>
  <c r="H10" i="2"/>
  <c r="H6" i="2"/>
  <c r="H28" i="2"/>
  <c r="H24" i="2"/>
  <c r="H20" i="2"/>
  <c r="H16" i="2"/>
  <c r="H12" i="2"/>
  <c r="H8" i="2"/>
  <c r="J6" i="9"/>
  <c r="Z5" i="2" l="1"/>
  <c r="AA5" i="2" s="1"/>
  <c r="AC5" i="2"/>
  <c r="Z6" i="2"/>
  <c r="AA6" i="2" s="1"/>
  <c r="AC6" i="2"/>
  <c r="Z7" i="2"/>
  <c r="AA7" i="2" s="1"/>
  <c r="AC7" i="2"/>
  <c r="Z8" i="2"/>
  <c r="AA8" i="2" s="1"/>
  <c r="AC8" i="2"/>
  <c r="Z9" i="2"/>
  <c r="AA9" i="2" s="1"/>
  <c r="AC9" i="2"/>
  <c r="Z10" i="2"/>
  <c r="AA10" i="2" s="1"/>
  <c r="AC10" i="2"/>
  <c r="Z11" i="2"/>
  <c r="AA11" i="2" s="1"/>
  <c r="AC11" i="2"/>
  <c r="Z12" i="2"/>
  <c r="AA12" i="2" s="1"/>
  <c r="AC12" i="2"/>
  <c r="Z13" i="2"/>
  <c r="AA13" i="2" s="1"/>
  <c r="AC13" i="2"/>
  <c r="Z14" i="2"/>
  <c r="AA14" i="2" s="1"/>
  <c r="AC14" i="2"/>
  <c r="Z15" i="2"/>
  <c r="AA15" i="2" s="1"/>
  <c r="AC15" i="2"/>
  <c r="Z16" i="2"/>
  <c r="AA16" i="2" s="1"/>
  <c r="AC16" i="2"/>
  <c r="Z17" i="2"/>
  <c r="AA17" i="2" s="1"/>
  <c r="AC17" i="2"/>
  <c r="Z18" i="2"/>
  <c r="AA18" i="2" s="1"/>
  <c r="AC18" i="2"/>
  <c r="Z19" i="2"/>
  <c r="AA19" i="2" s="1"/>
  <c r="AC19" i="2"/>
  <c r="Z20" i="2"/>
  <c r="AA20" i="2" s="1"/>
  <c r="AC20" i="2"/>
  <c r="Z21" i="2"/>
  <c r="AA21" i="2" s="1"/>
  <c r="AC21" i="2"/>
  <c r="Z22" i="2"/>
  <c r="AA22" i="2" s="1"/>
  <c r="AC22" i="2"/>
  <c r="Z23" i="2"/>
  <c r="AA23" i="2" s="1"/>
  <c r="AC23" i="2"/>
  <c r="Z24" i="2"/>
  <c r="AA24" i="2" s="1"/>
  <c r="AC24" i="2"/>
  <c r="Z25" i="2"/>
  <c r="AA25" i="2" s="1"/>
  <c r="AC25" i="2"/>
  <c r="Z26" i="2"/>
  <c r="AA26" i="2" s="1"/>
  <c r="AC26" i="2"/>
  <c r="Z27" i="2"/>
  <c r="AA27" i="2" s="1"/>
  <c r="AC27" i="2"/>
  <c r="Z28" i="2"/>
  <c r="AA28" i="2" s="1"/>
  <c r="AC28" i="2"/>
  <c r="Z29" i="2"/>
  <c r="AA29" i="2" s="1"/>
  <c r="AC29" i="2"/>
  <c r="Z30" i="2"/>
  <c r="AA30" i="2" s="1"/>
  <c r="AC30" i="2"/>
  <c r="AB7" i="2" l="1"/>
  <c r="AB5" i="2"/>
  <c r="AB8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AB6" i="2"/>
  <c r="AE6" i="2" s="1"/>
  <c r="E6" i="8"/>
  <c r="C11" i="8" s="1"/>
  <c r="A12" i="8"/>
  <c r="B11" i="8"/>
  <c r="E11" i="8" l="1"/>
  <c r="D11" i="8"/>
  <c r="F11" i="8" s="1"/>
  <c r="A13" i="8"/>
  <c r="C12" i="8"/>
  <c r="B12" i="8"/>
  <c r="AD4" i="2"/>
  <c r="X4" i="2"/>
  <c r="I4" i="2"/>
  <c r="Z4" i="2" s="1"/>
  <c r="C4" i="2"/>
  <c r="E12" i="8" l="1"/>
  <c r="D12" i="8"/>
  <c r="F12" i="8" s="1"/>
  <c r="AC4" i="2"/>
  <c r="Q4" i="2" s="1"/>
  <c r="F4" i="2"/>
  <c r="G4" i="2"/>
  <c r="AA4" i="2"/>
  <c r="AB4" i="2" s="1"/>
  <c r="A14" i="8"/>
  <c r="C13" i="8"/>
  <c r="B13" i="8"/>
  <c r="D10" i="7"/>
  <c r="G28" i="7" s="1"/>
  <c r="D11" i="7"/>
  <c r="G27" i="7" s="1"/>
  <c r="D12" i="7"/>
  <c r="G29" i="7" s="1"/>
  <c r="D13" i="7"/>
  <c r="D17" i="7"/>
  <c r="D9" i="7"/>
  <c r="G30" i="7" s="1"/>
  <c r="V17" i="7"/>
  <c r="U17" i="7"/>
  <c r="T17" i="7"/>
  <c r="S17" i="7"/>
  <c r="R17" i="7"/>
  <c r="Q17" i="7"/>
  <c r="V13" i="7"/>
  <c r="U13" i="7"/>
  <c r="T13" i="7"/>
  <c r="S13" i="7"/>
  <c r="R13" i="7"/>
  <c r="Q13" i="7"/>
  <c r="V12" i="7"/>
  <c r="U12" i="7"/>
  <c r="T12" i="7"/>
  <c r="S12" i="7"/>
  <c r="R12" i="7"/>
  <c r="Q12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E13" i="8" l="1"/>
  <c r="D13" i="8"/>
  <c r="F13" i="8" s="1"/>
  <c r="M4" i="2"/>
  <c r="AF4" i="2"/>
  <c r="AF3" i="2" s="1"/>
  <c r="O4" i="2"/>
  <c r="H4" i="2"/>
  <c r="A15" i="8"/>
  <c r="C14" i="8"/>
  <c r="B14" i="8"/>
  <c r="J32" i="5"/>
  <c r="J33" i="5"/>
  <c r="J34" i="5"/>
  <c r="J35" i="5"/>
  <c r="J36" i="5"/>
  <c r="J31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3" i="5"/>
  <c r="E10" i="5"/>
  <c r="D25" i="7" a="1"/>
  <c r="D32" i="7" a="1"/>
  <c r="E14" i="8" l="1"/>
  <c r="D14" i="8"/>
  <c r="AE4" i="2"/>
  <c r="AE3" i="2" s="1"/>
  <c r="A16" i="8"/>
  <c r="C15" i="8"/>
  <c r="B15" i="8"/>
  <c r="D32" i="7"/>
  <c r="D25" i="7"/>
  <c r="C24" i="7" a="1"/>
  <c r="F14" i="8" l="1"/>
  <c r="E15" i="8"/>
  <c r="D15" i="8"/>
  <c r="F15" i="8" s="1"/>
  <c r="A17" i="8"/>
  <c r="C16" i="8"/>
  <c r="B16" i="8"/>
  <c r="C24" i="7"/>
  <c r="C36" i="7" s="1"/>
  <c r="J16" i="2"/>
  <c r="K16" i="2" s="1"/>
  <c r="J17" i="2"/>
  <c r="K17" i="2" s="1"/>
  <c r="J18" i="2"/>
  <c r="K18" i="2" s="1"/>
  <c r="J19" i="2"/>
  <c r="J20" i="2"/>
  <c r="K20" i="2" s="1"/>
  <c r="J21" i="2"/>
  <c r="K21" i="2" s="1"/>
  <c r="J22" i="2"/>
  <c r="K22" i="2" s="1"/>
  <c r="J23" i="2"/>
  <c r="J24" i="2"/>
  <c r="K24" i="2" s="1"/>
  <c r="J25" i="2"/>
  <c r="K25" i="2" s="1"/>
  <c r="J26" i="2"/>
  <c r="K26" i="2" s="1"/>
  <c r="J27" i="2"/>
  <c r="J28" i="2"/>
  <c r="K28" i="2" s="1"/>
  <c r="J29" i="2"/>
  <c r="K29" i="2" s="1"/>
  <c r="J30" i="2"/>
  <c r="K30" i="2" s="1"/>
  <c r="E16" i="8" l="1"/>
  <c r="D16" i="8"/>
  <c r="F16" i="8" s="1"/>
  <c r="A18" i="8"/>
  <c r="C17" i="8"/>
  <c r="B17" i="8"/>
  <c r="F25" i="7"/>
  <c r="F32" i="7"/>
  <c r="K27" i="2"/>
  <c r="K23" i="2"/>
  <c r="K19" i="2"/>
  <c r="E17" i="8" l="1"/>
  <c r="D17" i="8"/>
  <c r="A19" i="8"/>
  <c r="C18" i="8"/>
  <c r="B18" i="8"/>
  <c r="J15" i="2"/>
  <c r="K15" i="2" s="1"/>
  <c r="J12" i="2"/>
  <c r="K12" i="2" s="1"/>
  <c r="M36" i="1"/>
  <c r="J8" i="2"/>
  <c r="K8" i="2" s="1"/>
  <c r="J7" i="2"/>
  <c r="K7" i="2" s="1"/>
  <c r="J6" i="2"/>
  <c r="K6" i="2" s="1"/>
  <c r="J5" i="2"/>
  <c r="K5" i="2" s="1"/>
  <c r="J9" i="2"/>
  <c r="K9" i="2" s="1"/>
  <c r="J10" i="2"/>
  <c r="J11" i="2"/>
  <c r="K11" i="2" s="1"/>
  <c r="J13" i="2"/>
  <c r="K13" i="2" s="1"/>
  <c r="J14" i="2"/>
  <c r="K14" i="2" s="1"/>
  <c r="J4" i="2"/>
  <c r="F17" i="8" l="1"/>
  <c r="E18" i="8"/>
  <c r="D18" i="8"/>
  <c r="F18" i="8" s="1"/>
  <c r="K4" i="2"/>
  <c r="A20" i="8"/>
  <c r="C19" i="8"/>
  <c r="B19" i="8"/>
  <c r="K10" i="2"/>
  <c r="L36" i="1"/>
  <c r="K36" i="1"/>
  <c r="O36" i="1" s="1"/>
  <c r="E19" i="8" l="1"/>
  <c r="D19" i="8"/>
  <c r="F19" i="8" s="1"/>
  <c r="A21" i="8"/>
  <c r="C20" i="8"/>
  <c r="B20" i="8"/>
  <c r="E20" i="8" l="1"/>
  <c r="D20" i="8"/>
  <c r="F20" i="8" s="1"/>
  <c r="A22" i="8"/>
  <c r="C21" i="8"/>
  <c r="B21" i="8"/>
  <c r="E21" i="8" l="1"/>
  <c r="D21" i="8"/>
  <c r="A23" i="8"/>
  <c r="C22" i="8"/>
  <c r="B22" i="8"/>
  <c r="E22" i="8" l="1"/>
  <c r="D22" i="8"/>
  <c r="F22" i="8" s="1"/>
  <c r="F21" i="8"/>
  <c r="A24" i="8"/>
  <c r="C23" i="8"/>
  <c r="B23" i="8"/>
  <c r="E23" i="8" l="1"/>
  <c r="D23" i="8"/>
  <c r="A25" i="8"/>
  <c r="C24" i="8"/>
  <c r="B24" i="8"/>
  <c r="F23" i="8" l="1"/>
  <c r="E24" i="8"/>
  <c r="D24" i="8"/>
  <c r="F24" i="8" s="1"/>
  <c r="A26" i="8"/>
  <c r="C25" i="8"/>
  <c r="B25" i="8"/>
  <c r="E25" i="8" l="1"/>
  <c r="D25" i="8"/>
  <c r="F25" i="8" s="1"/>
  <c r="A27" i="8"/>
  <c r="C26" i="8"/>
  <c r="B26" i="8"/>
  <c r="E26" i="8" l="1"/>
  <c r="D26" i="8"/>
  <c r="F26" i="8" s="1"/>
  <c r="A28" i="8"/>
  <c r="C27" i="8"/>
  <c r="B27" i="8"/>
  <c r="E27" i="8" l="1"/>
  <c r="D27" i="8"/>
  <c r="A29" i="8"/>
  <c r="C28" i="8"/>
  <c r="B28" i="8"/>
  <c r="F27" i="8" l="1"/>
  <c r="E28" i="8"/>
  <c r="D28" i="8"/>
  <c r="F28" i="8" s="1"/>
  <c r="A30" i="8"/>
  <c r="C29" i="8"/>
  <c r="B29" i="8"/>
  <c r="E29" i="8" l="1"/>
  <c r="D29" i="8"/>
  <c r="A31" i="8"/>
  <c r="C30" i="8"/>
  <c r="B30" i="8"/>
  <c r="F29" i="8" l="1"/>
  <c r="E30" i="8"/>
  <c r="D30" i="8"/>
  <c r="F30" i="8" s="1"/>
  <c r="A32" i="8"/>
  <c r="C31" i="8"/>
  <c r="B31" i="8"/>
  <c r="E31" i="8" l="1"/>
  <c r="D31" i="8"/>
  <c r="F31" i="8" s="1"/>
  <c r="A33" i="8"/>
  <c r="C32" i="8"/>
  <c r="B32" i="8"/>
  <c r="E32" i="8" l="1"/>
  <c r="D32" i="8"/>
  <c r="F32" i="8" s="1"/>
  <c r="A34" i="8"/>
  <c r="C33" i="8"/>
  <c r="B33" i="8"/>
  <c r="E33" i="8" l="1"/>
  <c r="D33" i="8"/>
  <c r="F33" i="8" s="1"/>
  <c r="A35" i="8"/>
  <c r="C34" i="8"/>
  <c r="B34" i="8"/>
  <c r="E34" i="8" l="1"/>
  <c r="D34" i="8"/>
  <c r="F34" i="8" s="1"/>
  <c r="A36" i="8"/>
  <c r="C35" i="8"/>
  <c r="B35" i="8"/>
  <c r="E35" i="8" l="1"/>
  <c r="D35" i="8"/>
  <c r="A37" i="8"/>
  <c r="C36" i="8"/>
  <c r="B36" i="8"/>
  <c r="E36" i="8" l="1"/>
  <c r="D36" i="8"/>
  <c r="F36" i="8" s="1"/>
  <c r="F35" i="8"/>
  <c r="A38" i="8"/>
  <c r="C37" i="8"/>
  <c r="B37" i="8"/>
  <c r="E37" i="8" l="1"/>
  <c r="D37" i="8"/>
  <c r="F37" i="8" s="1"/>
  <c r="A39" i="8"/>
  <c r="C38" i="8"/>
  <c r="B38" i="8"/>
  <c r="E38" i="8" l="1"/>
  <c r="D38" i="8"/>
  <c r="A40" i="8"/>
  <c r="C39" i="8"/>
  <c r="B39" i="8"/>
  <c r="E39" i="8" l="1"/>
  <c r="D39" i="8"/>
  <c r="F39" i="8" s="1"/>
  <c r="F38" i="8"/>
  <c r="A41" i="8"/>
  <c r="C40" i="8"/>
  <c r="B40" i="8"/>
  <c r="E40" i="8" l="1"/>
  <c r="D40" i="8"/>
  <c r="F40" i="8" s="1"/>
  <c r="A42" i="8"/>
  <c r="C41" i="8"/>
  <c r="B41" i="8"/>
  <c r="E41" i="8" l="1"/>
  <c r="D41" i="8"/>
  <c r="A43" i="8"/>
  <c r="C42" i="8"/>
  <c r="B42" i="8"/>
  <c r="F41" i="8" l="1"/>
  <c r="E42" i="8"/>
  <c r="D42" i="8"/>
  <c r="F42" i="8" s="1"/>
  <c r="A44" i="8"/>
  <c r="C43" i="8"/>
  <c r="B43" i="8"/>
  <c r="E43" i="8" l="1"/>
  <c r="D43" i="8"/>
  <c r="A45" i="8"/>
  <c r="C44" i="8"/>
  <c r="B44" i="8"/>
  <c r="E44" i="8" l="1"/>
  <c r="D44" i="8"/>
  <c r="F43" i="8"/>
  <c r="A46" i="8"/>
  <c r="C45" i="8"/>
  <c r="B45" i="8"/>
  <c r="F44" i="8" l="1"/>
  <c r="E45" i="8"/>
  <c r="D45" i="8"/>
  <c r="A47" i="8"/>
  <c r="C46" i="8"/>
  <c r="B46" i="8"/>
  <c r="F45" i="8" l="1"/>
  <c r="E46" i="8"/>
  <c r="D46" i="8"/>
  <c r="F46" i="8" s="1"/>
  <c r="A48" i="8"/>
  <c r="C47" i="8"/>
  <c r="B47" i="8"/>
  <c r="E47" i="8" l="1"/>
  <c r="D47" i="8"/>
  <c r="F47" i="8" s="1"/>
  <c r="A49" i="8"/>
  <c r="C48" i="8"/>
  <c r="B48" i="8"/>
  <c r="E48" i="8" l="1"/>
  <c r="D48" i="8"/>
  <c r="A50" i="8"/>
  <c r="C49" i="8"/>
  <c r="B49" i="8"/>
  <c r="E49" i="8" l="1"/>
  <c r="D49" i="8"/>
  <c r="F49" i="8" s="1"/>
  <c r="F48" i="8"/>
  <c r="A51" i="8"/>
  <c r="C50" i="8"/>
  <c r="B50" i="8"/>
  <c r="E50" i="8" l="1"/>
  <c r="D50" i="8"/>
  <c r="F50" i="8" s="1"/>
  <c r="A52" i="8"/>
  <c r="C51" i="8"/>
  <c r="B51" i="8"/>
  <c r="E51" i="8" l="1"/>
  <c r="D51" i="8"/>
  <c r="F51" i="8" s="1"/>
  <c r="A53" i="8"/>
  <c r="C52" i="8"/>
  <c r="B52" i="8"/>
  <c r="E52" i="8" l="1"/>
  <c r="D52" i="8"/>
  <c r="F52" i="8" s="1"/>
  <c r="A54" i="8"/>
  <c r="C53" i="8"/>
  <c r="B53" i="8"/>
  <c r="E53" i="8" l="1"/>
  <c r="D53" i="8"/>
  <c r="A55" i="8"/>
  <c r="C54" i="8"/>
  <c r="B54" i="8"/>
  <c r="F53" i="8" l="1"/>
  <c r="E54" i="8"/>
  <c r="D54" i="8"/>
  <c r="F54" i="8" s="1"/>
  <c r="A56" i="8"/>
  <c r="C55" i="8"/>
  <c r="B55" i="8"/>
  <c r="E55" i="8" l="1"/>
  <c r="D55" i="8"/>
  <c r="F55" i="8" s="1"/>
  <c r="A57" i="8"/>
  <c r="C56" i="8"/>
  <c r="B56" i="8"/>
  <c r="E56" i="8" l="1"/>
  <c r="D56" i="8"/>
  <c r="A58" i="8"/>
  <c r="C57" i="8"/>
  <c r="B57" i="8"/>
  <c r="E57" i="8" l="1"/>
  <c r="D57" i="8"/>
  <c r="F56" i="8"/>
  <c r="A59" i="8"/>
  <c r="C58" i="8"/>
  <c r="B58" i="8"/>
  <c r="F57" i="8" l="1"/>
  <c r="E58" i="8"/>
  <c r="D58" i="8"/>
  <c r="F58" i="8" s="1"/>
  <c r="A60" i="8"/>
  <c r="C59" i="8"/>
  <c r="B59" i="8"/>
  <c r="E59" i="8" l="1"/>
  <c r="D59" i="8"/>
  <c r="A61" i="8"/>
  <c r="C60" i="8"/>
  <c r="B60" i="8"/>
  <c r="E60" i="8" l="1"/>
  <c r="D60" i="8"/>
  <c r="F59" i="8"/>
  <c r="A62" i="8"/>
  <c r="C61" i="8"/>
  <c r="B61" i="8"/>
  <c r="F60" i="8" l="1"/>
  <c r="E61" i="8"/>
  <c r="D61" i="8"/>
  <c r="F61" i="8" s="1"/>
  <c r="A63" i="8"/>
  <c r="C62" i="8"/>
  <c r="B62" i="8"/>
  <c r="E62" i="8" l="1"/>
  <c r="D62" i="8"/>
  <c r="F62" i="8" s="1"/>
  <c r="A64" i="8"/>
  <c r="C63" i="8"/>
  <c r="B63" i="8"/>
  <c r="E63" i="8" l="1"/>
  <c r="D63" i="8"/>
  <c r="F63" i="8" s="1"/>
  <c r="A65" i="8"/>
  <c r="C64" i="8"/>
  <c r="B64" i="8"/>
  <c r="E64" i="8" l="1"/>
  <c r="D64" i="8"/>
  <c r="F64" i="8" s="1"/>
  <c r="A66" i="8"/>
  <c r="C65" i="8"/>
  <c r="B65" i="8"/>
  <c r="E65" i="8" l="1"/>
  <c r="D65" i="8"/>
  <c r="F65" i="8" s="1"/>
  <c r="A67" i="8"/>
  <c r="C66" i="8"/>
  <c r="B66" i="8"/>
  <c r="E66" i="8" l="1"/>
  <c r="D66" i="8"/>
  <c r="F66" i="8" s="1"/>
  <c r="A68" i="8"/>
  <c r="C67" i="8"/>
  <c r="B67" i="8"/>
  <c r="E67" i="8" l="1"/>
  <c r="D67" i="8"/>
  <c r="A69" i="8"/>
  <c r="C68" i="8"/>
  <c r="B68" i="8"/>
  <c r="F67" i="8" l="1"/>
  <c r="E68" i="8"/>
  <c r="D68" i="8"/>
  <c r="F68" i="8" s="1"/>
  <c r="A70" i="8"/>
  <c r="C69" i="8"/>
  <c r="B69" i="8"/>
  <c r="E69" i="8" l="1"/>
  <c r="D69" i="8"/>
  <c r="F69" i="8" s="1"/>
  <c r="A71" i="8"/>
  <c r="C70" i="8"/>
  <c r="B70" i="8"/>
  <c r="E70" i="8" l="1"/>
  <c r="D70" i="8"/>
  <c r="F70" i="8" s="1"/>
  <c r="A72" i="8"/>
  <c r="C71" i="8"/>
  <c r="B71" i="8"/>
  <c r="E71" i="8" l="1"/>
  <c r="D71" i="8"/>
  <c r="F71" i="8" s="1"/>
  <c r="A73" i="8"/>
  <c r="C72" i="8"/>
  <c r="B72" i="8"/>
  <c r="E72" i="8" l="1"/>
  <c r="D72" i="8"/>
  <c r="F72" i="8" s="1"/>
  <c r="A74" i="8"/>
  <c r="C73" i="8"/>
  <c r="B73" i="8"/>
  <c r="E73" i="8" l="1"/>
  <c r="D73" i="8"/>
  <c r="F73" i="8" s="1"/>
  <c r="A75" i="8"/>
  <c r="C74" i="8"/>
  <c r="B74" i="8"/>
  <c r="E74" i="8" l="1"/>
  <c r="D74" i="8"/>
  <c r="A76" i="8"/>
  <c r="C75" i="8"/>
  <c r="B75" i="8"/>
  <c r="E75" i="8" l="1"/>
  <c r="D75" i="8"/>
  <c r="F75" i="8" s="1"/>
  <c r="F74" i="8"/>
  <c r="A77" i="8"/>
  <c r="C76" i="8"/>
  <c r="B76" i="8"/>
  <c r="E76" i="8" l="1"/>
  <c r="D76" i="8"/>
  <c r="F76" i="8" s="1"/>
  <c r="A78" i="8"/>
  <c r="C77" i="8"/>
  <c r="B77" i="8"/>
  <c r="E77" i="8" l="1"/>
  <c r="D77" i="8"/>
  <c r="F77" i="8" s="1"/>
  <c r="A79" i="8"/>
  <c r="C78" i="8"/>
  <c r="B78" i="8"/>
  <c r="E78" i="8" l="1"/>
  <c r="D78" i="8"/>
  <c r="A80" i="8"/>
  <c r="C79" i="8"/>
  <c r="B79" i="8"/>
  <c r="F78" i="8" l="1"/>
  <c r="E79" i="8"/>
  <c r="D79" i="8"/>
  <c r="F79" i="8" s="1"/>
  <c r="A81" i="8"/>
  <c r="C80" i="8"/>
  <c r="B80" i="8"/>
  <c r="E80" i="8" l="1"/>
  <c r="D80" i="8"/>
  <c r="F80" i="8" s="1"/>
  <c r="A82" i="8"/>
  <c r="C81" i="8"/>
  <c r="B81" i="8"/>
  <c r="E81" i="8" l="1"/>
  <c r="D81" i="8"/>
  <c r="F81" i="8" s="1"/>
  <c r="A83" i="8"/>
  <c r="C82" i="8"/>
  <c r="B82" i="8"/>
  <c r="E82" i="8" l="1"/>
  <c r="D82" i="8"/>
  <c r="A84" i="8"/>
  <c r="C83" i="8"/>
  <c r="B83" i="8"/>
  <c r="F82" i="8" l="1"/>
  <c r="E83" i="8"/>
  <c r="D83" i="8"/>
  <c r="F83" i="8" s="1"/>
  <c r="A85" i="8"/>
  <c r="C84" i="8"/>
  <c r="B84" i="8"/>
  <c r="E84" i="8" l="1"/>
  <c r="D84" i="8"/>
  <c r="A86" i="8"/>
  <c r="C85" i="8"/>
  <c r="B85" i="8"/>
  <c r="F84" i="8" l="1"/>
  <c r="E85" i="8"/>
  <c r="D85" i="8"/>
  <c r="F85" i="8" s="1"/>
  <c r="A87" i="8"/>
  <c r="C86" i="8"/>
  <c r="B86" i="8"/>
  <c r="E86" i="8" l="1"/>
  <c r="D86" i="8"/>
  <c r="F86" i="8" s="1"/>
  <c r="A88" i="8"/>
  <c r="C87" i="8"/>
  <c r="B87" i="8"/>
  <c r="E87" i="8" l="1"/>
  <c r="D87" i="8"/>
  <c r="F87" i="8" s="1"/>
  <c r="A89" i="8"/>
  <c r="C88" i="8"/>
  <c r="B88" i="8"/>
  <c r="E88" i="8" l="1"/>
  <c r="D88" i="8"/>
  <c r="F88" i="8" s="1"/>
  <c r="A90" i="8"/>
  <c r="C89" i="8"/>
  <c r="B89" i="8"/>
  <c r="E89" i="8" l="1"/>
  <c r="D89" i="8"/>
  <c r="F89" i="8" s="1"/>
  <c r="A91" i="8"/>
  <c r="C90" i="8"/>
  <c r="B90" i="8"/>
  <c r="E90" i="8" l="1"/>
  <c r="D90" i="8"/>
  <c r="F90" i="8" s="1"/>
  <c r="A92" i="8"/>
  <c r="C91" i="8"/>
  <c r="B91" i="8"/>
  <c r="E91" i="8" l="1"/>
  <c r="D91" i="8"/>
  <c r="F91" i="8" s="1"/>
  <c r="A93" i="8"/>
  <c r="C92" i="8"/>
  <c r="B92" i="8"/>
  <c r="E92" i="8" l="1"/>
  <c r="D92" i="8"/>
  <c r="F92" i="8" s="1"/>
  <c r="A94" i="8"/>
  <c r="C93" i="8"/>
  <c r="B93" i="8"/>
  <c r="E93" i="8" l="1"/>
  <c r="D93" i="8"/>
  <c r="F93" i="8" s="1"/>
  <c r="A95" i="8"/>
  <c r="C94" i="8"/>
  <c r="B94" i="8"/>
  <c r="E94" i="8" l="1"/>
  <c r="D94" i="8"/>
  <c r="F94" i="8" s="1"/>
  <c r="A96" i="8"/>
  <c r="C95" i="8"/>
  <c r="B95" i="8"/>
  <c r="E95" i="8" l="1"/>
  <c r="D95" i="8"/>
  <c r="F95" i="8" s="1"/>
  <c r="A97" i="8"/>
  <c r="C96" i="8"/>
  <c r="B96" i="8"/>
  <c r="E96" i="8" l="1"/>
  <c r="D96" i="8"/>
  <c r="F96" i="8" s="1"/>
  <c r="A98" i="8"/>
  <c r="C97" i="8"/>
  <c r="B97" i="8"/>
  <c r="E97" i="8" l="1"/>
  <c r="D97" i="8"/>
  <c r="F97" i="8" s="1"/>
  <c r="A99" i="8"/>
  <c r="C98" i="8"/>
  <c r="B98" i="8"/>
  <c r="E98" i="8" l="1"/>
  <c r="D98" i="8"/>
  <c r="F98" i="8" s="1"/>
  <c r="A100" i="8"/>
  <c r="C99" i="8"/>
  <c r="B99" i="8"/>
  <c r="E99" i="8" l="1"/>
  <c r="D99" i="8"/>
  <c r="F99" i="8" s="1"/>
  <c r="A101" i="8"/>
  <c r="C100" i="8"/>
  <c r="B100" i="8"/>
  <c r="E100" i="8" l="1"/>
  <c r="D100" i="8"/>
  <c r="F100" i="8" s="1"/>
  <c r="A102" i="8"/>
  <c r="C101" i="8"/>
  <c r="B101" i="8"/>
  <c r="E101" i="8" l="1"/>
  <c r="D101" i="8"/>
  <c r="F101" i="8" s="1"/>
  <c r="A103" i="8"/>
  <c r="C102" i="8"/>
  <c r="B102" i="8"/>
  <c r="E102" i="8" l="1"/>
  <c r="D102" i="8"/>
  <c r="F102" i="8" s="1"/>
  <c r="A104" i="8"/>
  <c r="C103" i="8"/>
  <c r="B103" i="8"/>
  <c r="E103" i="8" l="1"/>
  <c r="D103" i="8"/>
  <c r="F103" i="8" s="1"/>
  <c r="A105" i="8"/>
  <c r="C104" i="8"/>
  <c r="B104" i="8"/>
  <c r="E104" i="8" l="1"/>
  <c r="D104" i="8"/>
  <c r="F104" i="8" s="1"/>
  <c r="A106" i="8"/>
  <c r="C105" i="8"/>
  <c r="B105" i="8"/>
  <c r="E105" i="8" l="1"/>
  <c r="D105" i="8"/>
  <c r="F105" i="8" s="1"/>
  <c r="A107" i="8"/>
  <c r="C106" i="8"/>
  <c r="B106" i="8"/>
  <c r="E106" i="8" l="1"/>
  <c r="D106" i="8"/>
  <c r="F106" i="8" s="1"/>
  <c r="A108" i="8"/>
  <c r="C107" i="8"/>
  <c r="B107" i="8"/>
  <c r="E107" i="8" l="1"/>
  <c r="D107" i="8"/>
  <c r="F107" i="8" s="1"/>
  <c r="A109" i="8"/>
  <c r="C108" i="8"/>
  <c r="B108" i="8"/>
  <c r="E108" i="8" l="1"/>
  <c r="D108" i="8"/>
  <c r="F108" i="8" s="1"/>
  <c r="A110" i="8"/>
  <c r="C109" i="8"/>
  <c r="B109" i="8"/>
  <c r="E109" i="8" l="1"/>
  <c r="D109" i="8"/>
  <c r="F109" i="8" s="1"/>
  <c r="A111" i="8"/>
  <c r="C110" i="8"/>
  <c r="B110" i="8"/>
  <c r="E110" i="8" l="1"/>
  <c r="D110" i="8"/>
  <c r="F110" i="8" s="1"/>
  <c r="A112" i="8"/>
  <c r="C111" i="8"/>
  <c r="B111" i="8"/>
  <c r="E111" i="8" l="1"/>
  <c r="D111" i="8"/>
  <c r="F111" i="8" s="1"/>
  <c r="A113" i="8"/>
  <c r="C112" i="8"/>
  <c r="B112" i="8"/>
  <c r="E112" i="8" l="1"/>
  <c r="D112" i="8"/>
  <c r="F112" i="8" s="1"/>
  <c r="A114" i="8"/>
  <c r="C113" i="8"/>
  <c r="B113" i="8"/>
  <c r="E113" i="8" l="1"/>
  <c r="D113" i="8"/>
  <c r="F113" i="8" s="1"/>
  <c r="A115" i="8"/>
  <c r="C114" i="8"/>
  <c r="B114" i="8"/>
  <c r="E114" i="8" l="1"/>
  <c r="D114" i="8"/>
  <c r="F114" i="8" s="1"/>
  <c r="A116" i="8"/>
  <c r="C115" i="8"/>
  <c r="B115" i="8"/>
  <c r="E115" i="8" l="1"/>
  <c r="D115" i="8"/>
  <c r="F115" i="8" s="1"/>
  <c r="A117" i="8"/>
  <c r="C116" i="8"/>
  <c r="B116" i="8"/>
  <c r="E116" i="8" l="1"/>
  <c r="D116" i="8"/>
  <c r="F116" i="8" s="1"/>
  <c r="A118" i="8"/>
  <c r="C117" i="8"/>
  <c r="B117" i="8"/>
  <c r="E117" i="8" l="1"/>
  <c r="D117" i="8"/>
  <c r="F117" i="8" s="1"/>
  <c r="A119" i="8"/>
  <c r="C118" i="8"/>
  <c r="B118" i="8"/>
  <c r="E118" i="8" l="1"/>
  <c r="D118" i="8"/>
  <c r="F118" i="8" s="1"/>
  <c r="A120" i="8"/>
  <c r="C119" i="8"/>
  <c r="B119" i="8"/>
  <c r="E119" i="8" l="1"/>
  <c r="D119" i="8"/>
  <c r="A121" i="8"/>
  <c r="C120" i="8"/>
  <c r="B120" i="8"/>
  <c r="F119" i="8" l="1"/>
  <c r="E120" i="8"/>
  <c r="D120" i="8"/>
  <c r="F120" i="8" s="1"/>
  <c r="A122" i="8"/>
  <c r="C121" i="8"/>
  <c r="B121" i="8"/>
  <c r="E121" i="8" l="1"/>
  <c r="D121" i="8"/>
  <c r="F121" i="8" s="1"/>
  <c r="A123" i="8"/>
  <c r="C122" i="8"/>
  <c r="B122" i="8"/>
  <c r="E122" i="8" l="1"/>
  <c r="D122" i="8"/>
  <c r="F122" i="8" s="1"/>
  <c r="A124" i="8"/>
  <c r="C123" i="8"/>
  <c r="B123" i="8"/>
  <c r="E123" i="8" l="1"/>
  <c r="D123" i="8"/>
  <c r="F123" i="8" s="1"/>
  <c r="A125" i="8"/>
  <c r="C124" i="8"/>
  <c r="B124" i="8"/>
  <c r="E124" i="8" l="1"/>
  <c r="D124" i="8"/>
  <c r="F124" i="8" s="1"/>
  <c r="A126" i="8"/>
  <c r="C125" i="8"/>
  <c r="B125" i="8"/>
  <c r="E125" i="8" l="1"/>
  <c r="D125" i="8"/>
  <c r="F125" i="8" s="1"/>
  <c r="A127" i="8"/>
  <c r="C126" i="8"/>
  <c r="B126" i="8"/>
  <c r="E126" i="8" l="1"/>
  <c r="D126" i="8"/>
  <c r="F126" i="8" s="1"/>
  <c r="A128" i="8"/>
  <c r="C127" i="8"/>
  <c r="B127" i="8"/>
  <c r="E127" i="8" l="1"/>
  <c r="D127" i="8"/>
  <c r="A129" i="8"/>
  <c r="C128" i="8"/>
  <c r="B128" i="8"/>
  <c r="E128" i="8" l="1"/>
  <c r="D128" i="8"/>
  <c r="F128" i="8" s="1"/>
  <c r="F127" i="8"/>
  <c r="A130" i="8"/>
  <c r="C129" i="8"/>
  <c r="B129" i="8"/>
  <c r="E129" i="8" l="1"/>
  <c r="D129" i="8"/>
  <c r="A131" i="8"/>
  <c r="C130" i="8"/>
  <c r="B130" i="8"/>
  <c r="E130" i="8" l="1"/>
  <c r="D130" i="8"/>
  <c r="F130" i="8" s="1"/>
  <c r="F129" i="8"/>
  <c r="A132" i="8"/>
  <c r="C131" i="8"/>
  <c r="B131" i="8"/>
  <c r="E131" i="8" l="1"/>
  <c r="D131" i="8"/>
  <c r="F131" i="8" s="1"/>
  <c r="A133" i="8"/>
  <c r="C132" i="8"/>
  <c r="B132" i="8"/>
  <c r="E132" i="8" l="1"/>
  <c r="D132" i="8"/>
  <c r="F132" i="8" s="1"/>
  <c r="A134" i="8"/>
  <c r="C133" i="8"/>
  <c r="B133" i="8"/>
  <c r="E133" i="8" l="1"/>
  <c r="D133" i="8"/>
  <c r="F133" i="8" s="1"/>
  <c r="A135" i="8"/>
  <c r="C134" i="8"/>
  <c r="B134" i="8"/>
  <c r="E134" i="8" l="1"/>
  <c r="D134" i="8"/>
  <c r="F134" i="8" s="1"/>
  <c r="A136" i="8"/>
  <c r="C135" i="8"/>
  <c r="B135" i="8"/>
  <c r="E135" i="8" l="1"/>
  <c r="D135" i="8"/>
  <c r="A137" i="8"/>
  <c r="C136" i="8"/>
  <c r="B136" i="8"/>
  <c r="E136" i="8" l="1"/>
  <c r="D136" i="8"/>
  <c r="F135" i="8"/>
  <c r="A138" i="8"/>
  <c r="C137" i="8"/>
  <c r="B137" i="8"/>
  <c r="F136" i="8" l="1"/>
  <c r="E137" i="8"/>
  <c r="D137" i="8"/>
  <c r="F137" i="8" s="1"/>
  <c r="A139" i="8"/>
  <c r="C138" i="8"/>
  <c r="B138" i="8"/>
  <c r="E138" i="8" l="1"/>
  <c r="D138" i="8"/>
  <c r="A140" i="8"/>
  <c r="C139" i="8"/>
  <c r="B139" i="8"/>
  <c r="E139" i="8" l="1"/>
  <c r="D139" i="8"/>
  <c r="F139" i="8" s="1"/>
  <c r="F138" i="8"/>
  <c r="A141" i="8"/>
  <c r="C140" i="8"/>
  <c r="B140" i="8"/>
  <c r="E140" i="8" l="1"/>
  <c r="D140" i="8"/>
  <c r="F140" i="8" s="1"/>
  <c r="A142" i="8"/>
  <c r="C141" i="8"/>
  <c r="B141" i="8"/>
  <c r="E141" i="8" l="1"/>
  <c r="D141" i="8"/>
  <c r="F141" i="8" s="1"/>
  <c r="A143" i="8"/>
  <c r="C142" i="8"/>
  <c r="B142" i="8"/>
  <c r="E142" i="8" l="1"/>
  <c r="D142" i="8"/>
  <c r="A144" i="8"/>
  <c r="C143" i="8"/>
  <c r="B143" i="8"/>
  <c r="E143" i="8" l="1"/>
  <c r="D143" i="8"/>
  <c r="F143" i="8" s="1"/>
  <c r="F142" i="8"/>
  <c r="A145" i="8"/>
  <c r="C144" i="8"/>
  <c r="B144" i="8"/>
  <c r="E144" i="8" l="1"/>
  <c r="D144" i="8"/>
  <c r="F144" i="8" s="1"/>
  <c r="A146" i="8"/>
  <c r="C145" i="8"/>
  <c r="B145" i="8"/>
  <c r="E145" i="8" l="1"/>
  <c r="D145" i="8"/>
  <c r="F145" i="8" s="1"/>
  <c r="A147" i="8"/>
  <c r="C146" i="8"/>
  <c r="B146" i="8"/>
  <c r="E146" i="8" l="1"/>
  <c r="D146" i="8"/>
  <c r="A148" i="8"/>
  <c r="C147" i="8"/>
  <c r="B147" i="8"/>
  <c r="E147" i="8" l="1"/>
  <c r="D147" i="8"/>
  <c r="F147" i="8" s="1"/>
  <c r="F146" i="8"/>
  <c r="A149" i="8"/>
  <c r="C148" i="8"/>
  <c r="B148" i="8"/>
  <c r="E148" i="8" l="1"/>
  <c r="D148" i="8"/>
  <c r="F148" i="8" s="1"/>
  <c r="A150" i="8"/>
  <c r="C149" i="8"/>
  <c r="B149" i="8"/>
  <c r="E149" i="8" l="1"/>
  <c r="D149" i="8"/>
  <c r="F149" i="8" s="1"/>
  <c r="A151" i="8"/>
  <c r="C150" i="8"/>
  <c r="B150" i="8"/>
  <c r="E150" i="8" l="1"/>
  <c r="D150" i="8"/>
  <c r="A152" i="8"/>
  <c r="C151" i="8"/>
  <c r="B151" i="8"/>
  <c r="F150" i="8" l="1"/>
  <c r="E151" i="8"/>
  <c r="D151" i="8"/>
  <c r="F151" i="8" s="1"/>
  <c r="A153" i="8"/>
  <c r="C152" i="8"/>
  <c r="B152" i="8"/>
  <c r="E152" i="8" l="1"/>
  <c r="D152" i="8"/>
  <c r="A154" i="8"/>
  <c r="C153" i="8"/>
  <c r="B153" i="8"/>
  <c r="F152" i="8" l="1"/>
  <c r="E153" i="8"/>
  <c r="D153" i="8"/>
  <c r="F153" i="8" s="1"/>
  <c r="A155" i="8"/>
  <c r="C154" i="8"/>
  <c r="B154" i="8"/>
  <c r="E154" i="8" l="1"/>
  <c r="D154" i="8"/>
  <c r="F154" i="8" s="1"/>
  <c r="A156" i="8"/>
  <c r="C155" i="8"/>
  <c r="B155" i="8"/>
  <c r="E155" i="8" l="1"/>
  <c r="D155" i="8"/>
  <c r="A157" i="8"/>
  <c r="C156" i="8"/>
  <c r="B156" i="8"/>
  <c r="F155" i="8" l="1"/>
  <c r="E156" i="8"/>
  <c r="D156" i="8"/>
  <c r="F156" i="8" s="1"/>
  <c r="A158" i="8"/>
  <c r="C157" i="8"/>
  <c r="B157" i="8"/>
  <c r="E157" i="8" l="1"/>
  <c r="D157" i="8"/>
  <c r="F157" i="8" s="1"/>
  <c r="A159" i="8"/>
  <c r="C158" i="8"/>
  <c r="B158" i="8"/>
  <c r="E158" i="8" l="1"/>
  <c r="D158" i="8"/>
  <c r="F158" i="8" s="1"/>
  <c r="A160" i="8"/>
  <c r="C159" i="8"/>
  <c r="B159" i="8"/>
  <c r="E159" i="8" l="1"/>
  <c r="D159" i="8"/>
  <c r="F159" i="8" s="1"/>
  <c r="A161" i="8"/>
  <c r="C160" i="8"/>
  <c r="B160" i="8"/>
  <c r="E160" i="8" l="1"/>
  <c r="D160" i="8"/>
  <c r="A162" i="8"/>
  <c r="C161" i="8"/>
  <c r="B161" i="8"/>
  <c r="E161" i="8" l="1"/>
  <c r="D161" i="8"/>
  <c r="F161" i="8" s="1"/>
  <c r="F160" i="8"/>
  <c r="A163" i="8"/>
  <c r="C162" i="8"/>
  <c r="B162" i="8"/>
  <c r="E162" i="8" l="1"/>
  <c r="D162" i="8"/>
  <c r="F162" i="8" s="1"/>
  <c r="A164" i="8"/>
  <c r="C163" i="8"/>
  <c r="B163" i="8"/>
  <c r="E163" i="8" l="1"/>
  <c r="D163" i="8"/>
  <c r="A165" i="8"/>
  <c r="C164" i="8"/>
  <c r="B164" i="8"/>
  <c r="F163" i="8" l="1"/>
  <c r="E164" i="8"/>
  <c r="D164" i="8"/>
  <c r="F164" i="8" s="1"/>
  <c r="A166" i="8"/>
  <c r="C165" i="8"/>
  <c r="B165" i="8"/>
  <c r="E165" i="8" l="1"/>
  <c r="D165" i="8"/>
  <c r="A167" i="8"/>
  <c r="C166" i="8"/>
  <c r="B166" i="8"/>
  <c r="F165" i="8" l="1"/>
  <c r="E166" i="8"/>
  <c r="D166" i="8"/>
  <c r="F166" i="8" s="1"/>
  <c r="A168" i="8"/>
  <c r="C167" i="8"/>
  <c r="B167" i="8"/>
  <c r="E167" i="8" l="1"/>
  <c r="D167" i="8"/>
  <c r="F167" i="8" s="1"/>
  <c r="A169" i="8"/>
  <c r="C168" i="8"/>
  <c r="B168" i="8"/>
  <c r="E168" i="8" l="1"/>
  <c r="D168" i="8"/>
  <c r="A170" i="8"/>
  <c r="C169" i="8"/>
  <c r="B169" i="8"/>
  <c r="F168" i="8" l="1"/>
  <c r="E169" i="8"/>
  <c r="D169" i="8"/>
  <c r="A171" i="8"/>
  <c r="C170" i="8"/>
  <c r="B170" i="8"/>
  <c r="F169" i="8" l="1"/>
  <c r="E170" i="8"/>
  <c r="D170" i="8"/>
  <c r="F170" i="8" s="1"/>
  <c r="A172" i="8"/>
  <c r="C171" i="8"/>
  <c r="B171" i="8"/>
  <c r="E171" i="8" l="1"/>
  <c r="D171" i="8"/>
  <c r="F171" i="8" s="1"/>
  <c r="A173" i="8"/>
  <c r="C172" i="8"/>
  <c r="B172" i="8"/>
  <c r="E172" i="8" l="1"/>
  <c r="D172" i="8"/>
  <c r="F172" i="8" s="1"/>
  <c r="A174" i="8"/>
  <c r="C173" i="8"/>
  <c r="B173" i="8"/>
  <c r="E173" i="8" l="1"/>
  <c r="D173" i="8"/>
  <c r="F173" i="8" s="1"/>
  <c r="A175" i="8"/>
  <c r="C174" i="8"/>
  <c r="B174" i="8"/>
  <c r="E174" i="8" l="1"/>
  <c r="D174" i="8"/>
  <c r="A176" i="8"/>
  <c r="C175" i="8"/>
  <c r="B175" i="8"/>
  <c r="F174" i="8" l="1"/>
  <c r="E175" i="8"/>
  <c r="D175" i="8"/>
  <c r="F175" i="8" s="1"/>
  <c r="A177" i="8"/>
  <c r="C176" i="8"/>
  <c r="B176" i="8"/>
  <c r="E176" i="8" l="1"/>
  <c r="D176" i="8"/>
  <c r="F176" i="8" s="1"/>
  <c r="A178" i="8"/>
  <c r="C177" i="8"/>
  <c r="B177" i="8"/>
  <c r="E177" i="8" l="1"/>
  <c r="D177" i="8"/>
  <c r="A179" i="8"/>
  <c r="C178" i="8"/>
  <c r="B178" i="8"/>
  <c r="F177" i="8" l="1"/>
  <c r="E178" i="8"/>
  <c r="D178" i="8"/>
  <c r="F178" i="8" s="1"/>
  <c r="A180" i="8"/>
  <c r="C179" i="8"/>
  <c r="B179" i="8"/>
  <c r="E179" i="8" l="1"/>
  <c r="D179" i="8"/>
  <c r="F179" i="8" s="1"/>
  <c r="A181" i="8"/>
  <c r="C180" i="8"/>
  <c r="B180" i="8"/>
  <c r="E180" i="8" l="1"/>
  <c r="D180" i="8"/>
  <c r="F180" i="8" s="1"/>
  <c r="A182" i="8"/>
  <c r="C181" i="8"/>
  <c r="B181" i="8"/>
  <c r="E181" i="8" l="1"/>
  <c r="D181" i="8"/>
  <c r="F181" i="8" s="1"/>
  <c r="A183" i="8"/>
  <c r="C182" i="8"/>
  <c r="B182" i="8"/>
  <c r="E182" i="8" l="1"/>
  <c r="D182" i="8"/>
  <c r="A184" i="8"/>
  <c r="C183" i="8"/>
  <c r="B183" i="8"/>
  <c r="F182" i="8" l="1"/>
  <c r="E183" i="8"/>
  <c r="D183" i="8"/>
  <c r="F183" i="8" s="1"/>
  <c r="A185" i="8"/>
  <c r="C184" i="8"/>
  <c r="B184" i="8"/>
  <c r="E184" i="8" l="1"/>
  <c r="D184" i="8"/>
  <c r="F184" i="8" s="1"/>
  <c r="A186" i="8"/>
  <c r="C185" i="8"/>
  <c r="B185" i="8"/>
  <c r="E185" i="8" l="1"/>
  <c r="D185" i="8"/>
  <c r="F185" i="8" s="1"/>
  <c r="A187" i="8"/>
  <c r="C186" i="8"/>
  <c r="B186" i="8"/>
  <c r="E186" i="8" l="1"/>
  <c r="D186" i="8"/>
  <c r="F186" i="8" s="1"/>
  <c r="A188" i="8"/>
  <c r="C187" i="8"/>
  <c r="B187" i="8"/>
  <c r="E187" i="8" l="1"/>
  <c r="D187" i="8"/>
  <c r="A189" i="8"/>
  <c r="C188" i="8"/>
  <c r="B188" i="8"/>
  <c r="F187" i="8" l="1"/>
  <c r="E188" i="8"/>
  <c r="D188" i="8"/>
  <c r="F188" i="8" s="1"/>
  <c r="A190" i="8"/>
  <c r="C189" i="8"/>
  <c r="B189" i="8"/>
  <c r="E189" i="8" l="1"/>
  <c r="D189" i="8"/>
  <c r="F189" i="8" s="1"/>
  <c r="A191" i="8"/>
  <c r="C190" i="8"/>
  <c r="B190" i="8"/>
  <c r="E190" i="8" l="1"/>
  <c r="D190" i="8"/>
  <c r="A192" i="8"/>
  <c r="C191" i="8"/>
  <c r="B191" i="8"/>
  <c r="F190" i="8" l="1"/>
  <c r="E191" i="8"/>
  <c r="D191" i="8"/>
  <c r="F191" i="8" s="1"/>
  <c r="A193" i="8"/>
  <c r="C192" i="8"/>
  <c r="B192" i="8"/>
  <c r="E192" i="8" l="1"/>
  <c r="D192" i="8"/>
  <c r="F192" i="8" s="1"/>
  <c r="A194" i="8"/>
  <c r="C193" i="8"/>
  <c r="B193" i="8"/>
  <c r="E193" i="8" l="1"/>
  <c r="D193" i="8"/>
  <c r="F193" i="8" s="1"/>
  <c r="A195" i="8"/>
  <c r="C194" i="8"/>
  <c r="B194" i="8"/>
  <c r="E194" i="8" l="1"/>
  <c r="D194" i="8"/>
  <c r="F194" i="8" s="1"/>
  <c r="A196" i="8"/>
  <c r="C195" i="8"/>
  <c r="B195" i="8"/>
  <c r="E195" i="8" l="1"/>
  <c r="D195" i="8"/>
  <c r="F195" i="8" s="1"/>
  <c r="A197" i="8"/>
  <c r="C196" i="8"/>
  <c r="B196" i="8"/>
  <c r="E196" i="8" l="1"/>
  <c r="D196" i="8"/>
  <c r="F196" i="8" s="1"/>
  <c r="A198" i="8"/>
  <c r="C197" i="8"/>
  <c r="B197" i="8"/>
  <c r="E197" i="8" l="1"/>
  <c r="D197" i="8"/>
  <c r="F197" i="8" s="1"/>
  <c r="A199" i="8"/>
  <c r="C198" i="8"/>
  <c r="B198" i="8"/>
  <c r="E198" i="8" l="1"/>
  <c r="D198" i="8"/>
  <c r="F198" i="8" s="1"/>
  <c r="A200" i="8"/>
  <c r="C199" i="8"/>
  <c r="B199" i="8"/>
  <c r="E199" i="8" l="1"/>
  <c r="D199" i="8"/>
  <c r="F199" i="8" s="1"/>
  <c r="A201" i="8"/>
  <c r="C200" i="8"/>
  <c r="B200" i="8"/>
  <c r="E200" i="8" l="1"/>
  <c r="D200" i="8"/>
  <c r="F200" i="8" s="1"/>
  <c r="A202" i="8"/>
  <c r="C201" i="8"/>
  <c r="B201" i="8"/>
  <c r="E201" i="8" l="1"/>
  <c r="D201" i="8"/>
  <c r="F201" i="8" s="1"/>
  <c r="A203" i="8"/>
  <c r="C202" i="8"/>
  <c r="B202" i="8"/>
  <c r="E202" i="8" l="1"/>
  <c r="D202" i="8"/>
  <c r="F202" i="8" s="1"/>
  <c r="A204" i="8"/>
  <c r="C203" i="8"/>
  <c r="B203" i="8"/>
  <c r="E203" i="8" l="1"/>
  <c r="D203" i="8"/>
  <c r="F203" i="8" s="1"/>
  <c r="A205" i="8"/>
  <c r="C204" i="8"/>
  <c r="B204" i="8"/>
  <c r="E204" i="8" l="1"/>
  <c r="D204" i="8"/>
  <c r="F204" i="8" s="1"/>
  <c r="A206" i="8"/>
  <c r="C205" i="8"/>
  <c r="B205" i="8"/>
  <c r="E205" i="8" l="1"/>
  <c r="D205" i="8"/>
  <c r="F205" i="8" s="1"/>
  <c r="A207" i="8"/>
  <c r="C206" i="8"/>
  <c r="B206" i="8"/>
  <c r="E206" i="8" l="1"/>
  <c r="D206" i="8"/>
  <c r="F206" i="8" s="1"/>
  <c r="A208" i="8"/>
  <c r="C207" i="8"/>
  <c r="B207" i="8"/>
  <c r="E207" i="8" l="1"/>
  <c r="D207" i="8"/>
  <c r="A209" i="8"/>
  <c r="C208" i="8"/>
  <c r="B208" i="8"/>
  <c r="F207" i="8" l="1"/>
  <c r="E208" i="8"/>
  <c r="D208" i="8"/>
  <c r="F208" i="8" s="1"/>
  <c r="A210" i="8"/>
  <c r="C209" i="8"/>
  <c r="B209" i="8"/>
  <c r="E209" i="8" l="1"/>
  <c r="D209" i="8"/>
  <c r="F209" i="8" s="1"/>
  <c r="A211" i="8"/>
  <c r="C210" i="8"/>
  <c r="B210" i="8"/>
  <c r="E210" i="8" l="1"/>
  <c r="D210" i="8"/>
  <c r="F210" i="8" s="1"/>
  <c r="A212" i="8"/>
  <c r="C211" i="8"/>
  <c r="B211" i="8"/>
  <c r="E211" i="8" l="1"/>
  <c r="D211" i="8"/>
  <c r="F211" i="8" s="1"/>
  <c r="A213" i="8"/>
  <c r="C212" i="8"/>
  <c r="B212" i="8"/>
  <c r="E212" i="8" l="1"/>
  <c r="D212" i="8"/>
  <c r="F212" i="8" s="1"/>
  <c r="A214" i="8"/>
  <c r="C213" i="8"/>
  <c r="B213" i="8"/>
  <c r="E213" i="8" l="1"/>
  <c r="D213" i="8"/>
  <c r="F213" i="8" s="1"/>
  <c r="A215" i="8"/>
  <c r="C214" i="8"/>
  <c r="B214" i="8"/>
  <c r="E214" i="8" l="1"/>
  <c r="D214" i="8"/>
  <c r="F214" i="8" s="1"/>
  <c r="A216" i="8"/>
  <c r="C215" i="8"/>
  <c r="B215" i="8"/>
  <c r="E215" i="8" l="1"/>
  <c r="D215" i="8"/>
  <c r="F215" i="8" s="1"/>
  <c r="A217" i="8"/>
  <c r="C216" i="8"/>
  <c r="B216" i="8"/>
  <c r="E216" i="8" l="1"/>
  <c r="D216" i="8"/>
  <c r="F216" i="8" s="1"/>
  <c r="A218" i="8"/>
  <c r="C217" i="8"/>
  <c r="B217" i="8"/>
  <c r="E217" i="8" l="1"/>
  <c r="D217" i="8"/>
  <c r="F217" i="8" s="1"/>
  <c r="A219" i="8"/>
  <c r="C218" i="8"/>
  <c r="B218" i="8"/>
  <c r="E218" i="8" l="1"/>
  <c r="D218" i="8"/>
  <c r="F218" i="8" s="1"/>
  <c r="A220" i="8"/>
  <c r="C219" i="8"/>
  <c r="B219" i="8"/>
  <c r="E219" i="8" l="1"/>
  <c r="D219" i="8"/>
  <c r="F219" i="8" s="1"/>
  <c r="A221" i="8"/>
  <c r="C220" i="8"/>
  <c r="B220" i="8"/>
  <c r="E220" i="8" l="1"/>
  <c r="D220" i="8"/>
  <c r="F220" i="8" s="1"/>
  <c r="A222" i="8"/>
  <c r="C221" i="8"/>
  <c r="B221" i="8"/>
  <c r="E221" i="8" l="1"/>
  <c r="D221" i="8"/>
  <c r="F221" i="8" s="1"/>
  <c r="A223" i="8"/>
  <c r="C222" i="8"/>
  <c r="B222" i="8"/>
  <c r="E222" i="8" l="1"/>
  <c r="D222" i="8"/>
  <c r="F222" i="8" s="1"/>
  <c r="A224" i="8"/>
  <c r="C223" i="8"/>
  <c r="B223" i="8"/>
  <c r="E223" i="8" l="1"/>
  <c r="D223" i="8"/>
  <c r="A225" i="8"/>
  <c r="C224" i="8"/>
  <c r="B224" i="8"/>
  <c r="F223" i="8" l="1"/>
  <c r="E224" i="8"/>
  <c r="D224" i="8"/>
  <c r="F224" i="8" s="1"/>
  <c r="A226" i="8"/>
  <c r="C225" i="8"/>
  <c r="B225" i="8"/>
  <c r="E225" i="8" l="1"/>
  <c r="D225" i="8"/>
  <c r="F225" i="8" s="1"/>
  <c r="A227" i="8"/>
  <c r="C226" i="8"/>
  <c r="B226" i="8"/>
  <c r="E226" i="8" l="1"/>
  <c r="D226" i="8"/>
  <c r="A228" i="8"/>
  <c r="C227" i="8"/>
  <c r="B227" i="8"/>
  <c r="F226" i="8" l="1"/>
  <c r="E227" i="8"/>
  <c r="D227" i="8"/>
  <c r="F227" i="8" s="1"/>
  <c r="A229" i="8"/>
  <c r="C228" i="8"/>
  <c r="B228" i="8"/>
  <c r="E228" i="8" l="1"/>
  <c r="D228" i="8"/>
  <c r="A230" i="8"/>
  <c r="C229" i="8"/>
  <c r="B229" i="8"/>
  <c r="F228" i="8" l="1"/>
  <c r="E229" i="8"/>
  <c r="D229" i="8"/>
  <c r="F229" i="8" s="1"/>
  <c r="A231" i="8"/>
  <c r="C230" i="8"/>
  <c r="B230" i="8"/>
  <c r="E230" i="8" l="1"/>
  <c r="D230" i="8"/>
  <c r="F230" i="8" s="1"/>
  <c r="A232" i="8"/>
  <c r="C231" i="8"/>
  <c r="B231" i="8"/>
  <c r="E231" i="8" l="1"/>
  <c r="D231" i="8"/>
  <c r="F231" i="8" s="1"/>
  <c r="A233" i="8"/>
  <c r="C232" i="8"/>
  <c r="B232" i="8"/>
  <c r="E232" i="8" l="1"/>
  <c r="D232" i="8"/>
  <c r="A234" i="8"/>
  <c r="C233" i="8"/>
  <c r="B233" i="8"/>
  <c r="F232" i="8" l="1"/>
  <c r="E233" i="8"/>
  <c r="D233" i="8"/>
  <c r="A235" i="8"/>
  <c r="C234" i="8"/>
  <c r="B234" i="8"/>
  <c r="F233" i="8" l="1"/>
  <c r="E234" i="8"/>
  <c r="D234" i="8"/>
  <c r="F234" i="8" s="1"/>
  <c r="A236" i="8"/>
  <c r="C235" i="8"/>
  <c r="B235" i="8"/>
  <c r="E235" i="8" l="1"/>
  <c r="D235" i="8"/>
  <c r="F235" i="8" s="1"/>
  <c r="A237" i="8"/>
  <c r="C236" i="8"/>
  <c r="B236" i="8"/>
  <c r="E236" i="8" l="1"/>
  <c r="D236" i="8"/>
  <c r="F236" i="8" s="1"/>
  <c r="A238" i="8"/>
  <c r="C237" i="8"/>
  <c r="B237" i="8"/>
  <c r="E237" i="8" l="1"/>
  <c r="D237" i="8"/>
  <c r="A239" i="8"/>
  <c r="C238" i="8"/>
  <c r="B238" i="8"/>
  <c r="E238" i="8" l="1"/>
  <c r="D238" i="8"/>
  <c r="F238" i="8" s="1"/>
  <c r="F237" i="8"/>
  <c r="A240" i="8"/>
  <c r="C239" i="8"/>
  <c r="B239" i="8"/>
  <c r="E239" i="8" l="1"/>
  <c r="D239" i="8"/>
  <c r="F239" i="8" s="1"/>
  <c r="A241" i="8"/>
  <c r="C240" i="8"/>
  <c r="B240" i="8"/>
  <c r="E240" i="8" l="1"/>
  <c r="D240" i="8"/>
  <c r="F240" i="8" s="1"/>
  <c r="A242" i="8"/>
  <c r="C241" i="8"/>
  <c r="B241" i="8"/>
  <c r="E241" i="8" l="1"/>
  <c r="D241" i="8"/>
  <c r="F241" i="8" s="1"/>
  <c r="A243" i="8"/>
  <c r="C242" i="8"/>
  <c r="B242" i="8"/>
  <c r="E242" i="8" l="1"/>
  <c r="D242" i="8"/>
  <c r="F242" i="8" s="1"/>
  <c r="A244" i="8"/>
  <c r="C243" i="8"/>
  <c r="B243" i="8"/>
  <c r="E243" i="8" l="1"/>
  <c r="D243" i="8"/>
  <c r="F243" i="8" s="1"/>
  <c r="A245" i="8"/>
  <c r="C244" i="8"/>
  <c r="B244" i="8"/>
  <c r="E244" i="8" l="1"/>
  <c r="D244" i="8"/>
  <c r="F244" i="8" s="1"/>
  <c r="A246" i="8"/>
  <c r="C245" i="8"/>
  <c r="B245" i="8"/>
  <c r="E245" i="8" l="1"/>
  <c r="D245" i="8"/>
  <c r="F245" i="8" s="1"/>
  <c r="A247" i="8"/>
  <c r="C246" i="8"/>
  <c r="B246" i="8"/>
  <c r="E246" i="8" l="1"/>
  <c r="D246" i="8"/>
  <c r="F246" i="8" s="1"/>
  <c r="A248" i="8"/>
  <c r="C247" i="8"/>
  <c r="B247" i="8"/>
  <c r="E247" i="8" l="1"/>
  <c r="D247" i="8"/>
  <c r="F247" i="8" s="1"/>
  <c r="A249" i="8"/>
  <c r="C248" i="8"/>
  <c r="B248" i="8"/>
  <c r="E248" i="8" l="1"/>
  <c r="D248" i="8"/>
  <c r="F248" i="8" s="1"/>
  <c r="A250" i="8"/>
  <c r="C249" i="8"/>
  <c r="B249" i="8"/>
  <c r="E249" i="8" l="1"/>
  <c r="D249" i="8"/>
  <c r="F249" i="8" s="1"/>
  <c r="A251" i="8"/>
  <c r="C250" i="8"/>
  <c r="B250" i="8"/>
  <c r="E250" i="8" l="1"/>
  <c r="D250" i="8"/>
  <c r="A252" i="8"/>
  <c r="C251" i="8"/>
  <c r="B251" i="8"/>
  <c r="F250" i="8" l="1"/>
  <c r="E251" i="8"/>
  <c r="D251" i="8"/>
  <c r="F251" i="8" s="1"/>
  <c r="A253" i="8"/>
  <c r="C252" i="8"/>
  <c r="B252" i="8"/>
  <c r="E252" i="8" l="1"/>
  <c r="D252" i="8"/>
  <c r="F252" i="8" s="1"/>
  <c r="A254" i="8"/>
  <c r="C253" i="8"/>
  <c r="B253" i="8"/>
  <c r="E253" i="8" l="1"/>
  <c r="D253" i="8"/>
  <c r="A255" i="8"/>
  <c r="C254" i="8"/>
  <c r="B254" i="8"/>
  <c r="F253" i="8" l="1"/>
  <c r="E254" i="8"/>
  <c r="D254" i="8"/>
  <c r="F254" i="8" s="1"/>
  <c r="A256" i="8"/>
  <c r="C255" i="8"/>
  <c r="B255" i="8"/>
  <c r="E255" i="8" l="1"/>
  <c r="D255" i="8"/>
  <c r="F255" i="8" s="1"/>
  <c r="A257" i="8"/>
  <c r="C256" i="8"/>
  <c r="B256" i="8"/>
  <c r="E256" i="8" l="1"/>
  <c r="D256" i="8"/>
  <c r="A258" i="8"/>
  <c r="C257" i="8"/>
  <c r="B257" i="8"/>
  <c r="F256" i="8" l="1"/>
  <c r="E257" i="8"/>
  <c r="D257" i="8"/>
  <c r="F257" i="8" s="1"/>
  <c r="A259" i="8"/>
  <c r="C258" i="8"/>
  <c r="B258" i="8"/>
  <c r="E258" i="8" l="1"/>
  <c r="D258" i="8"/>
  <c r="F258" i="8" s="1"/>
  <c r="A260" i="8"/>
  <c r="C259" i="8"/>
  <c r="B259" i="8"/>
  <c r="E259" i="8" l="1"/>
  <c r="D259" i="8"/>
  <c r="F259" i="8" s="1"/>
  <c r="A261" i="8"/>
  <c r="C260" i="8"/>
  <c r="B260" i="8"/>
  <c r="E260" i="8" l="1"/>
  <c r="D260" i="8"/>
  <c r="F260" i="8" s="1"/>
  <c r="A262" i="8"/>
  <c r="C261" i="8"/>
  <c r="B261" i="8"/>
  <c r="E261" i="8" l="1"/>
  <c r="D261" i="8"/>
  <c r="F261" i="8" s="1"/>
  <c r="A263" i="8"/>
  <c r="C262" i="8"/>
  <c r="B262" i="8"/>
  <c r="E262" i="8" l="1"/>
  <c r="D262" i="8"/>
  <c r="F262" i="8" s="1"/>
  <c r="A264" i="8"/>
  <c r="C263" i="8"/>
  <c r="B263" i="8"/>
  <c r="E263" i="8" l="1"/>
  <c r="D263" i="8"/>
  <c r="A265" i="8"/>
  <c r="C264" i="8"/>
  <c r="B264" i="8"/>
  <c r="F263" i="8" l="1"/>
  <c r="E264" i="8"/>
  <c r="D264" i="8"/>
  <c r="F264" i="8" s="1"/>
  <c r="A266" i="8"/>
  <c r="C265" i="8"/>
  <c r="B265" i="8"/>
  <c r="E265" i="8" l="1"/>
  <c r="D265" i="8"/>
  <c r="F265" i="8" s="1"/>
  <c r="A267" i="8"/>
  <c r="C266" i="8"/>
  <c r="B266" i="8"/>
  <c r="E266" i="8" l="1"/>
  <c r="D266" i="8"/>
  <c r="A268" i="8"/>
  <c r="C267" i="8"/>
  <c r="B267" i="8"/>
  <c r="F266" i="8" l="1"/>
  <c r="E267" i="8"/>
  <c r="D267" i="8"/>
  <c r="F267" i="8" s="1"/>
  <c r="A269" i="8"/>
  <c r="C268" i="8"/>
  <c r="B268" i="8"/>
  <c r="E268" i="8" l="1"/>
  <c r="D268" i="8"/>
  <c r="A270" i="8"/>
  <c r="C269" i="8"/>
  <c r="B269" i="8"/>
  <c r="F268" i="8" l="1"/>
  <c r="E269" i="8"/>
  <c r="D269" i="8"/>
  <c r="F269" i="8" s="1"/>
  <c r="A271" i="8"/>
  <c r="C270" i="8"/>
  <c r="B270" i="8"/>
  <c r="E270" i="8" l="1"/>
  <c r="D270" i="8"/>
  <c r="A272" i="8"/>
  <c r="C271" i="8"/>
  <c r="B271" i="8"/>
  <c r="F270" i="8" l="1"/>
  <c r="E271" i="8"/>
  <c r="D271" i="8"/>
  <c r="F271" i="8" s="1"/>
  <c r="A273" i="8"/>
  <c r="C272" i="8"/>
  <c r="B272" i="8"/>
  <c r="E272" i="8" l="1"/>
  <c r="D272" i="8"/>
  <c r="F272" i="8" s="1"/>
  <c r="A274" i="8"/>
  <c r="C273" i="8"/>
  <c r="B273" i="8"/>
  <c r="E273" i="8" l="1"/>
  <c r="D273" i="8"/>
  <c r="A275" i="8"/>
  <c r="C274" i="8"/>
  <c r="B274" i="8"/>
  <c r="F273" i="8" l="1"/>
  <c r="E274" i="8"/>
  <c r="D274" i="8"/>
  <c r="F274" i="8" s="1"/>
  <c r="A276" i="8"/>
  <c r="C275" i="8"/>
  <c r="B275" i="8"/>
  <c r="E275" i="8" l="1"/>
  <c r="D275" i="8"/>
  <c r="F275" i="8" s="1"/>
  <c r="A277" i="8"/>
  <c r="C276" i="8"/>
  <c r="B276" i="8"/>
  <c r="E276" i="8" l="1"/>
  <c r="D276" i="8"/>
  <c r="F276" i="8" s="1"/>
  <c r="A278" i="8"/>
  <c r="C277" i="8"/>
  <c r="B277" i="8"/>
  <c r="E277" i="8" l="1"/>
  <c r="D277" i="8"/>
  <c r="F277" i="8" s="1"/>
  <c r="A279" i="8"/>
  <c r="C278" i="8"/>
  <c r="B278" i="8"/>
  <c r="E278" i="8" l="1"/>
  <c r="D278" i="8"/>
  <c r="F278" i="8" s="1"/>
  <c r="A280" i="8"/>
  <c r="C279" i="8"/>
  <c r="B279" i="8"/>
  <c r="E279" i="8" l="1"/>
  <c r="D279" i="8"/>
  <c r="F279" i="8" s="1"/>
  <c r="A281" i="8"/>
  <c r="C280" i="8"/>
  <c r="B280" i="8"/>
  <c r="E280" i="8" l="1"/>
  <c r="D280" i="8"/>
  <c r="F280" i="8" s="1"/>
  <c r="A282" i="8"/>
  <c r="C281" i="8"/>
  <c r="B281" i="8"/>
  <c r="E281" i="8" l="1"/>
  <c r="D281" i="8"/>
  <c r="F281" i="8" s="1"/>
  <c r="A283" i="8"/>
  <c r="C282" i="8"/>
  <c r="B282" i="8"/>
  <c r="E282" i="8" l="1"/>
  <c r="D282" i="8"/>
  <c r="F282" i="8" s="1"/>
  <c r="A284" i="8"/>
  <c r="C283" i="8"/>
  <c r="B283" i="8"/>
  <c r="E283" i="8" l="1"/>
  <c r="D283" i="8"/>
  <c r="F283" i="8" s="1"/>
  <c r="A285" i="8"/>
  <c r="C284" i="8"/>
  <c r="B284" i="8"/>
  <c r="E284" i="8" l="1"/>
  <c r="D284" i="8"/>
  <c r="F284" i="8" s="1"/>
  <c r="A286" i="8"/>
  <c r="C285" i="8"/>
  <c r="B285" i="8"/>
  <c r="E285" i="8" l="1"/>
  <c r="D285" i="8"/>
  <c r="A287" i="8"/>
  <c r="C286" i="8"/>
  <c r="B286" i="8"/>
  <c r="F285" i="8" l="1"/>
  <c r="E286" i="8"/>
  <c r="D286" i="8"/>
  <c r="F286" i="8" s="1"/>
  <c r="A288" i="8"/>
  <c r="C287" i="8"/>
  <c r="B287" i="8"/>
  <c r="E287" i="8" l="1"/>
  <c r="D287" i="8"/>
  <c r="F287" i="8" s="1"/>
  <c r="A289" i="8"/>
  <c r="C288" i="8"/>
  <c r="B288" i="8"/>
  <c r="E288" i="8" l="1"/>
  <c r="D288" i="8"/>
  <c r="F288" i="8" s="1"/>
  <c r="A290" i="8"/>
  <c r="C289" i="8"/>
  <c r="B289" i="8"/>
  <c r="E289" i="8" l="1"/>
  <c r="D289" i="8"/>
  <c r="F289" i="8" s="1"/>
  <c r="A291" i="8"/>
  <c r="C290" i="8"/>
  <c r="B290" i="8"/>
  <c r="E290" i="8" l="1"/>
  <c r="D290" i="8"/>
  <c r="F290" i="8" s="1"/>
  <c r="A292" i="8"/>
  <c r="C291" i="8"/>
  <c r="B291" i="8"/>
  <c r="E291" i="8" l="1"/>
  <c r="D291" i="8"/>
  <c r="F291" i="8" s="1"/>
  <c r="A293" i="8"/>
  <c r="C292" i="8"/>
  <c r="B292" i="8"/>
  <c r="E292" i="8" l="1"/>
  <c r="D292" i="8"/>
  <c r="F292" i="8" s="1"/>
  <c r="A294" i="8"/>
  <c r="C293" i="8"/>
  <c r="B293" i="8"/>
  <c r="E293" i="8" l="1"/>
  <c r="D293" i="8"/>
  <c r="A295" i="8"/>
  <c r="C294" i="8"/>
  <c r="B294" i="8"/>
  <c r="F293" i="8" l="1"/>
  <c r="E294" i="8"/>
  <c r="D294" i="8"/>
  <c r="F294" i="8" s="1"/>
  <c r="A296" i="8"/>
  <c r="C295" i="8"/>
  <c r="B295" i="8"/>
  <c r="E295" i="8" l="1"/>
  <c r="D295" i="8"/>
  <c r="F295" i="8" s="1"/>
  <c r="A297" i="8"/>
  <c r="C296" i="8"/>
  <c r="B296" i="8"/>
  <c r="E296" i="8" l="1"/>
  <c r="D296" i="8"/>
  <c r="A298" i="8"/>
  <c r="C297" i="8"/>
  <c r="B297" i="8"/>
  <c r="F296" i="8" l="1"/>
  <c r="E297" i="8"/>
  <c r="D297" i="8"/>
  <c r="F297" i="8" s="1"/>
  <c r="A299" i="8"/>
  <c r="C298" i="8"/>
  <c r="B298" i="8"/>
  <c r="E298" i="8" l="1"/>
  <c r="D298" i="8"/>
  <c r="F298" i="8" s="1"/>
  <c r="A300" i="8"/>
  <c r="C299" i="8"/>
  <c r="B299" i="8"/>
  <c r="E299" i="8" l="1"/>
  <c r="D299" i="8"/>
  <c r="A301" i="8"/>
  <c r="C300" i="8"/>
  <c r="B300" i="8"/>
  <c r="F299" i="8" l="1"/>
  <c r="E300" i="8"/>
  <c r="D300" i="8"/>
  <c r="F300" i="8" s="1"/>
  <c r="A302" i="8"/>
  <c r="C301" i="8"/>
  <c r="B301" i="8"/>
  <c r="E301" i="8" l="1"/>
  <c r="D301" i="8"/>
  <c r="F301" i="8" s="1"/>
  <c r="A303" i="8"/>
  <c r="C302" i="8"/>
  <c r="B302" i="8"/>
  <c r="E302" i="8" l="1"/>
  <c r="D302" i="8"/>
  <c r="A304" i="8"/>
  <c r="C303" i="8"/>
  <c r="B303" i="8"/>
  <c r="F302" i="8" l="1"/>
  <c r="E303" i="8"/>
  <c r="D303" i="8"/>
  <c r="F303" i="8" s="1"/>
  <c r="A305" i="8"/>
  <c r="C304" i="8"/>
  <c r="B304" i="8"/>
  <c r="E304" i="8" l="1"/>
  <c r="D304" i="8"/>
  <c r="F304" i="8" s="1"/>
  <c r="A306" i="8"/>
  <c r="C305" i="8"/>
  <c r="B305" i="8"/>
  <c r="E305" i="8" l="1"/>
  <c r="D305" i="8"/>
  <c r="F305" i="8" s="1"/>
  <c r="A307" i="8"/>
  <c r="C306" i="8"/>
  <c r="B306" i="8"/>
  <c r="E306" i="8" l="1"/>
  <c r="D306" i="8"/>
  <c r="F306" i="8" s="1"/>
  <c r="A308" i="8"/>
  <c r="C307" i="8"/>
  <c r="B307" i="8"/>
  <c r="E307" i="8" l="1"/>
  <c r="D307" i="8"/>
  <c r="F307" i="8" s="1"/>
  <c r="A309" i="8"/>
  <c r="C308" i="8"/>
  <c r="B308" i="8"/>
  <c r="E308" i="8" l="1"/>
  <c r="D308" i="8"/>
  <c r="F308" i="8" s="1"/>
  <c r="A310" i="8"/>
  <c r="C309" i="8"/>
  <c r="B309" i="8"/>
  <c r="E309" i="8" l="1"/>
  <c r="D309" i="8"/>
  <c r="F309" i="8" s="1"/>
  <c r="A311" i="8"/>
  <c r="C310" i="8"/>
  <c r="B310" i="8"/>
  <c r="E310" i="8" l="1"/>
  <c r="D310" i="8"/>
  <c r="F310" i="8" s="1"/>
  <c r="A312" i="8"/>
  <c r="C311" i="8"/>
  <c r="B311" i="8"/>
  <c r="E311" i="8" l="1"/>
  <c r="D311" i="8"/>
  <c r="F311" i="8" s="1"/>
  <c r="A313" i="8"/>
  <c r="C312" i="8"/>
  <c r="B312" i="8"/>
  <c r="E312" i="8" l="1"/>
  <c r="D312" i="8"/>
  <c r="F312" i="8" s="1"/>
  <c r="A314" i="8"/>
  <c r="C313" i="8"/>
  <c r="B313" i="8"/>
  <c r="E313" i="8" l="1"/>
  <c r="D313" i="8"/>
  <c r="F313" i="8" s="1"/>
  <c r="A315" i="8"/>
  <c r="C314" i="8"/>
  <c r="B314" i="8"/>
  <c r="E314" i="8" l="1"/>
  <c r="D314" i="8"/>
  <c r="F314" i="8" s="1"/>
  <c r="A316" i="8"/>
  <c r="C315" i="8"/>
  <c r="B315" i="8"/>
  <c r="E315" i="8" l="1"/>
  <c r="D315" i="8"/>
  <c r="F315" i="8" s="1"/>
  <c r="A317" i="8"/>
  <c r="C316" i="8"/>
  <c r="B316" i="8"/>
  <c r="E316" i="8" l="1"/>
  <c r="D316" i="8"/>
  <c r="F316" i="8" s="1"/>
  <c r="A318" i="8"/>
  <c r="C317" i="8"/>
  <c r="B317" i="8"/>
  <c r="E317" i="8" l="1"/>
  <c r="D317" i="8"/>
  <c r="F317" i="8" s="1"/>
  <c r="A319" i="8"/>
  <c r="C318" i="8"/>
  <c r="B318" i="8"/>
  <c r="E318" i="8" l="1"/>
  <c r="D318" i="8"/>
  <c r="F318" i="8" s="1"/>
  <c r="A320" i="8"/>
  <c r="C319" i="8"/>
  <c r="B319" i="8"/>
  <c r="E319" i="8" l="1"/>
  <c r="D319" i="8"/>
  <c r="F319" i="8" s="1"/>
  <c r="A321" i="8"/>
  <c r="C320" i="8"/>
  <c r="B320" i="8"/>
  <c r="E320" i="8" l="1"/>
  <c r="D320" i="8"/>
  <c r="A322" i="8"/>
  <c r="C321" i="8"/>
  <c r="B321" i="8"/>
  <c r="F320" i="8" l="1"/>
  <c r="E321" i="8"/>
  <c r="D321" i="8"/>
  <c r="F321" i="8" s="1"/>
  <c r="A323" i="8"/>
  <c r="C322" i="8"/>
  <c r="B322" i="8"/>
  <c r="E322" i="8" l="1"/>
  <c r="D322" i="8"/>
  <c r="A324" i="8"/>
  <c r="C323" i="8"/>
  <c r="B323" i="8"/>
  <c r="F322" i="8" l="1"/>
  <c r="E323" i="8"/>
  <c r="D323" i="8"/>
  <c r="F323" i="8" s="1"/>
  <c r="A325" i="8"/>
  <c r="C324" i="8"/>
  <c r="B324" i="8"/>
  <c r="E324" i="8" l="1"/>
  <c r="D324" i="8"/>
  <c r="F324" i="8" s="1"/>
  <c r="A326" i="8"/>
  <c r="C325" i="8"/>
  <c r="B325" i="8"/>
  <c r="E325" i="8" l="1"/>
  <c r="D325" i="8"/>
  <c r="A327" i="8"/>
  <c r="C326" i="8"/>
  <c r="B326" i="8"/>
  <c r="F325" i="8" l="1"/>
  <c r="E326" i="8"/>
  <c r="D326" i="8"/>
  <c r="F326" i="8" s="1"/>
  <c r="A328" i="8"/>
  <c r="C327" i="8"/>
  <c r="B327" i="8"/>
  <c r="E327" i="8" l="1"/>
  <c r="D327" i="8"/>
  <c r="F327" i="8" s="1"/>
  <c r="A329" i="8"/>
  <c r="C328" i="8"/>
  <c r="B328" i="8"/>
  <c r="E328" i="8" l="1"/>
  <c r="D328" i="8"/>
  <c r="A330" i="8"/>
  <c r="C329" i="8"/>
  <c r="B329" i="8"/>
  <c r="F328" i="8" l="1"/>
  <c r="E329" i="8"/>
  <c r="D329" i="8"/>
  <c r="F329" i="8" s="1"/>
  <c r="A331" i="8"/>
  <c r="C330" i="8"/>
  <c r="B330" i="8"/>
  <c r="E330" i="8" l="1"/>
  <c r="D330" i="8"/>
  <c r="F330" i="8" s="1"/>
  <c r="A332" i="8"/>
  <c r="C331" i="8"/>
  <c r="B331" i="8"/>
  <c r="E331" i="8" l="1"/>
  <c r="D331" i="8"/>
  <c r="F331" i="8" s="1"/>
  <c r="A333" i="8"/>
  <c r="C332" i="8"/>
  <c r="B332" i="8"/>
  <c r="E332" i="8" l="1"/>
  <c r="D332" i="8"/>
  <c r="A334" i="8"/>
  <c r="C333" i="8"/>
  <c r="B333" i="8"/>
  <c r="F332" i="8" l="1"/>
  <c r="E333" i="8"/>
  <c r="D333" i="8"/>
  <c r="F333" i="8" s="1"/>
  <c r="A335" i="8"/>
  <c r="C334" i="8"/>
  <c r="B334" i="8"/>
  <c r="E334" i="8" l="1"/>
  <c r="D334" i="8"/>
  <c r="F334" i="8" s="1"/>
  <c r="A336" i="8"/>
  <c r="C335" i="8"/>
  <c r="B335" i="8"/>
  <c r="E335" i="8" l="1"/>
  <c r="D335" i="8"/>
  <c r="A337" i="8"/>
  <c r="C336" i="8"/>
  <c r="B336" i="8"/>
  <c r="F335" i="8" l="1"/>
  <c r="E336" i="8"/>
  <c r="D336" i="8"/>
  <c r="F336" i="8" s="1"/>
  <c r="A338" i="8"/>
  <c r="C337" i="8"/>
  <c r="B337" i="8"/>
  <c r="E337" i="8" l="1"/>
  <c r="D337" i="8"/>
  <c r="A339" i="8"/>
  <c r="C338" i="8"/>
  <c r="B338" i="8"/>
  <c r="F337" i="8" l="1"/>
  <c r="E338" i="8"/>
  <c r="D338" i="8"/>
  <c r="F338" i="8" s="1"/>
  <c r="A340" i="8"/>
  <c r="C339" i="8"/>
  <c r="B339" i="8"/>
  <c r="E339" i="8" l="1"/>
  <c r="D339" i="8"/>
  <c r="F339" i="8" s="1"/>
  <c r="A341" i="8"/>
  <c r="C340" i="8"/>
  <c r="B340" i="8"/>
  <c r="E340" i="8" l="1"/>
  <c r="D340" i="8"/>
  <c r="A342" i="8"/>
  <c r="C341" i="8"/>
  <c r="B341" i="8"/>
  <c r="E341" i="8" l="1"/>
  <c r="D341" i="8"/>
  <c r="F341" i="8" s="1"/>
  <c r="F340" i="8"/>
  <c r="A343" i="8"/>
  <c r="C342" i="8"/>
  <c r="B342" i="8"/>
  <c r="E342" i="8" l="1"/>
  <c r="D342" i="8"/>
  <c r="A344" i="8"/>
  <c r="C343" i="8"/>
  <c r="B343" i="8"/>
  <c r="F342" i="8" l="1"/>
  <c r="E343" i="8"/>
  <c r="D343" i="8"/>
  <c r="F343" i="8" s="1"/>
  <c r="A345" i="8"/>
  <c r="C344" i="8"/>
  <c r="B344" i="8"/>
  <c r="E344" i="8" l="1"/>
  <c r="D344" i="8"/>
  <c r="F344" i="8" s="1"/>
  <c r="A346" i="8"/>
  <c r="C345" i="8"/>
  <c r="B345" i="8"/>
  <c r="E345" i="8" l="1"/>
  <c r="D345" i="8"/>
  <c r="F345" i="8" s="1"/>
  <c r="A347" i="8"/>
  <c r="C346" i="8"/>
  <c r="B346" i="8"/>
  <c r="E346" i="8" l="1"/>
  <c r="D346" i="8"/>
  <c r="F346" i="8" s="1"/>
  <c r="A348" i="8"/>
  <c r="C347" i="8"/>
  <c r="B347" i="8"/>
  <c r="E347" i="8" l="1"/>
  <c r="D347" i="8"/>
  <c r="A349" i="8"/>
  <c r="C348" i="8"/>
  <c r="B348" i="8"/>
  <c r="E348" i="8" l="1"/>
  <c r="D348" i="8"/>
  <c r="F348" i="8" s="1"/>
  <c r="F347" i="8"/>
  <c r="A350" i="8"/>
  <c r="C349" i="8"/>
  <c r="B349" i="8"/>
  <c r="E349" i="8" l="1"/>
  <c r="D349" i="8"/>
  <c r="F349" i="8" s="1"/>
  <c r="A351" i="8"/>
  <c r="C350" i="8"/>
  <c r="B350" i="8"/>
  <c r="E350" i="8" l="1"/>
  <c r="D350" i="8"/>
  <c r="F350" i="8" s="1"/>
  <c r="A352" i="8"/>
  <c r="C351" i="8"/>
  <c r="B351" i="8"/>
  <c r="E351" i="8" l="1"/>
  <c r="D351" i="8"/>
  <c r="F351" i="8" s="1"/>
  <c r="A353" i="8"/>
  <c r="C352" i="8"/>
  <c r="B352" i="8"/>
  <c r="E352" i="8" l="1"/>
  <c r="D352" i="8"/>
  <c r="F352" i="8" s="1"/>
  <c r="A354" i="8"/>
  <c r="C353" i="8"/>
  <c r="B353" i="8"/>
  <c r="E353" i="8" l="1"/>
  <c r="D353" i="8"/>
  <c r="A355" i="8"/>
  <c r="C354" i="8"/>
  <c r="B354" i="8"/>
  <c r="E354" i="8" l="1"/>
  <c r="D354" i="8"/>
  <c r="F354" i="8" s="1"/>
  <c r="F353" i="8"/>
  <c r="A356" i="8"/>
  <c r="C355" i="8"/>
  <c r="B355" i="8"/>
  <c r="E355" i="8" l="1"/>
  <c r="D355" i="8"/>
  <c r="F355" i="8" s="1"/>
  <c r="A357" i="8"/>
  <c r="C356" i="8"/>
  <c r="B356" i="8"/>
  <c r="E356" i="8" l="1"/>
  <c r="D356" i="8"/>
  <c r="F356" i="8" s="1"/>
  <c r="A358" i="8"/>
  <c r="C357" i="8"/>
  <c r="B357" i="8"/>
  <c r="E357" i="8" l="1"/>
  <c r="D357" i="8"/>
  <c r="F357" i="8" s="1"/>
  <c r="A359" i="8"/>
  <c r="C358" i="8"/>
  <c r="B358" i="8"/>
  <c r="E358" i="8" l="1"/>
  <c r="D358" i="8"/>
  <c r="A360" i="8"/>
  <c r="C359" i="8"/>
  <c r="B359" i="8"/>
  <c r="E359" i="8" l="1"/>
  <c r="D359" i="8"/>
  <c r="F359" i="8" s="1"/>
  <c r="F358" i="8"/>
  <c r="A361" i="8"/>
  <c r="C360" i="8"/>
  <c r="B360" i="8"/>
  <c r="E360" i="8" l="1"/>
  <c r="D360" i="8"/>
  <c r="F360" i="8" s="1"/>
  <c r="A362" i="8"/>
  <c r="C361" i="8"/>
  <c r="B361" i="8"/>
  <c r="E361" i="8" l="1"/>
  <c r="D361" i="8"/>
  <c r="F361" i="8" s="1"/>
  <c r="A363" i="8"/>
  <c r="C362" i="8"/>
  <c r="B362" i="8"/>
  <c r="E362" i="8" l="1"/>
  <c r="D362" i="8"/>
  <c r="A364" i="8"/>
  <c r="C363" i="8"/>
  <c r="B363" i="8"/>
  <c r="F362" i="8" l="1"/>
  <c r="E363" i="8"/>
  <c r="D363" i="8"/>
  <c r="F363" i="8" s="1"/>
  <c r="A365" i="8"/>
  <c r="C364" i="8"/>
  <c r="B364" i="8"/>
  <c r="E364" i="8" l="1"/>
  <c r="D364" i="8"/>
  <c r="F364" i="8" s="1"/>
  <c r="A366" i="8"/>
  <c r="C365" i="8"/>
  <c r="B365" i="8"/>
  <c r="E365" i="8" l="1"/>
  <c r="D365" i="8"/>
  <c r="A367" i="8"/>
  <c r="C366" i="8"/>
  <c r="B366" i="8"/>
  <c r="E366" i="8" l="1"/>
  <c r="D366" i="8"/>
  <c r="F366" i="8" s="1"/>
  <c r="F365" i="8"/>
  <c r="A368" i="8"/>
  <c r="C367" i="8"/>
  <c r="B367" i="8"/>
  <c r="E367" i="8" l="1"/>
  <c r="D367" i="8"/>
  <c r="F367" i="8" s="1"/>
  <c r="A369" i="8"/>
  <c r="C368" i="8"/>
  <c r="B368" i="8"/>
  <c r="E368" i="8" l="1"/>
  <c r="D368" i="8"/>
  <c r="F368" i="8" s="1"/>
  <c r="A370" i="8"/>
  <c r="C369" i="8"/>
  <c r="B369" i="8"/>
  <c r="E369" i="8" l="1"/>
  <c r="D369" i="8"/>
  <c r="F369" i="8" s="1"/>
  <c r="A371" i="8"/>
  <c r="C370" i="8"/>
  <c r="B370" i="8"/>
  <c r="E370" i="8" l="1"/>
  <c r="D370" i="8"/>
  <c r="F370" i="8" s="1"/>
  <c r="A372" i="8"/>
  <c r="C371" i="8"/>
  <c r="B371" i="8"/>
  <c r="E371" i="8" l="1"/>
  <c r="D371" i="8"/>
  <c r="F371" i="8" s="1"/>
  <c r="A373" i="8"/>
  <c r="C372" i="8"/>
  <c r="B372" i="8"/>
  <c r="E372" i="8" l="1"/>
  <c r="D372" i="8"/>
  <c r="F372" i="8" s="1"/>
  <c r="A374" i="8"/>
  <c r="C373" i="8"/>
  <c r="B373" i="8"/>
  <c r="E373" i="8" l="1"/>
  <c r="D373" i="8"/>
  <c r="F373" i="8" s="1"/>
  <c r="A375" i="8"/>
  <c r="C374" i="8"/>
  <c r="B374" i="8"/>
  <c r="E374" i="8" l="1"/>
  <c r="D374" i="8"/>
  <c r="F374" i="8" s="1"/>
  <c r="A376" i="8"/>
  <c r="C375" i="8"/>
  <c r="B375" i="8"/>
  <c r="E375" i="8" l="1"/>
  <c r="D375" i="8"/>
  <c r="F375" i="8" s="1"/>
  <c r="A377" i="8"/>
  <c r="C376" i="8"/>
  <c r="B376" i="8"/>
  <c r="E376" i="8" l="1"/>
  <c r="D376" i="8"/>
  <c r="A378" i="8"/>
  <c r="C377" i="8"/>
  <c r="B377" i="8"/>
  <c r="F376" i="8" l="1"/>
  <c r="E377" i="8"/>
  <c r="D377" i="8"/>
  <c r="F377" i="8" s="1"/>
  <c r="A379" i="8"/>
  <c r="C378" i="8"/>
  <c r="B378" i="8"/>
  <c r="E378" i="8" l="1"/>
  <c r="D378" i="8"/>
  <c r="F378" i="8" s="1"/>
  <c r="A380" i="8"/>
  <c r="C379" i="8"/>
  <c r="B379" i="8"/>
  <c r="E379" i="8" l="1"/>
  <c r="D379" i="8"/>
  <c r="F379" i="8" s="1"/>
  <c r="A381" i="8"/>
  <c r="C380" i="8"/>
  <c r="B380" i="8"/>
  <c r="E380" i="8" l="1"/>
  <c r="D380" i="8"/>
  <c r="F380" i="8" s="1"/>
  <c r="A382" i="8"/>
  <c r="C381" i="8"/>
  <c r="B381" i="8"/>
  <c r="E381" i="8" l="1"/>
  <c r="D381" i="8"/>
  <c r="F381" i="8" s="1"/>
  <c r="A383" i="8"/>
  <c r="C382" i="8"/>
  <c r="B382" i="8"/>
  <c r="E382" i="8" l="1"/>
  <c r="D382" i="8"/>
  <c r="A384" i="8"/>
  <c r="C383" i="8"/>
  <c r="B383" i="8"/>
  <c r="F382" i="8" l="1"/>
  <c r="E383" i="8"/>
  <c r="D383" i="8"/>
  <c r="F383" i="8" s="1"/>
  <c r="A385" i="8"/>
  <c r="C384" i="8"/>
  <c r="B384" i="8"/>
  <c r="E384" i="8" l="1"/>
  <c r="D384" i="8"/>
  <c r="A386" i="8"/>
  <c r="C385" i="8"/>
  <c r="B385" i="8"/>
  <c r="E385" i="8" l="1"/>
  <c r="D385" i="8"/>
  <c r="F385" i="8" s="1"/>
  <c r="F384" i="8"/>
  <c r="A387" i="8"/>
  <c r="C386" i="8"/>
  <c r="B386" i="8"/>
  <c r="E386" i="8" l="1"/>
  <c r="D386" i="8"/>
  <c r="F386" i="8" s="1"/>
  <c r="A388" i="8"/>
  <c r="C387" i="8"/>
  <c r="B387" i="8"/>
  <c r="E387" i="8" l="1"/>
  <c r="D387" i="8"/>
  <c r="F387" i="8" s="1"/>
  <c r="A389" i="8"/>
  <c r="C388" i="8"/>
  <c r="B388" i="8"/>
  <c r="E388" i="8" l="1"/>
  <c r="D388" i="8"/>
  <c r="A390" i="8"/>
  <c r="C389" i="8"/>
  <c r="B389" i="8"/>
  <c r="E389" i="8" l="1"/>
  <c r="D389" i="8"/>
  <c r="F389" i="8" s="1"/>
  <c r="F388" i="8"/>
  <c r="A391" i="8"/>
  <c r="C390" i="8"/>
  <c r="B390" i="8"/>
  <c r="E390" i="8" l="1"/>
  <c r="D390" i="8"/>
  <c r="F390" i="8" s="1"/>
  <c r="A392" i="8"/>
  <c r="C391" i="8"/>
  <c r="B391" i="8"/>
  <c r="E391" i="8" l="1"/>
  <c r="D391" i="8"/>
  <c r="A393" i="8"/>
  <c r="C392" i="8"/>
  <c r="B392" i="8"/>
  <c r="F391" i="8" l="1"/>
  <c r="E392" i="8"/>
  <c r="D392" i="8"/>
  <c r="F392" i="8" s="1"/>
  <c r="A394" i="8"/>
  <c r="C393" i="8"/>
  <c r="B393" i="8"/>
  <c r="E393" i="8" l="1"/>
  <c r="D393" i="8"/>
  <c r="F393" i="8" s="1"/>
  <c r="A395" i="8"/>
  <c r="C394" i="8"/>
  <c r="B394" i="8"/>
  <c r="E394" i="8" l="1"/>
  <c r="D394" i="8"/>
  <c r="A396" i="8"/>
  <c r="C395" i="8"/>
  <c r="B395" i="8"/>
  <c r="F394" i="8" l="1"/>
  <c r="E395" i="8"/>
  <c r="D395" i="8"/>
  <c r="F395" i="8" s="1"/>
  <c r="A397" i="8"/>
  <c r="C396" i="8"/>
  <c r="B396" i="8"/>
  <c r="E396" i="8" l="1"/>
  <c r="D396" i="8"/>
  <c r="F396" i="8" s="1"/>
  <c r="A398" i="8"/>
  <c r="C397" i="8"/>
  <c r="B397" i="8"/>
  <c r="E397" i="8" l="1"/>
  <c r="D397" i="8"/>
  <c r="F397" i="8" s="1"/>
  <c r="A399" i="8"/>
  <c r="C398" i="8"/>
  <c r="B398" i="8"/>
  <c r="E398" i="8" l="1"/>
  <c r="D398" i="8"/>
  <c r="A400" i="8"/>
  <c r="C399" i="8"/>
  <c r="B399" i="8"/>
  <c r="E399" i="8" l="1"/>
  <c r="D399" i="8"/>
  <c r="F398" i="8"/>
  <c r="A401" i="8"/>
  <c r="C400" i="8"/>
  <c r="B400" i="8"/>
  <c r="F399" i="8" l="1"/>
  <c r="E400" i="8"/>
  <c r="D400" i="8"/>
  <c r="F400" i="8" s="1"/>
  <c r="A402" i="8"/>
  <c r="C401" i="8"/>
  <c r="B401" i="8"/>
  <c r="E401" i="8" l="1"/>
  <c r="D401" i="8"/>
  <c r="A403" i="8"/>
  <c r="C402" i="8"/>
  <c r="B402" i="8"/>
  <c r="F401" i="8" l="1"/>
  <c r="E402" i="8"/>
  <c r="D402" i="8"/>
  <c r="A404" i="8"/>
  <c r="C403" i="8"/>
  <c r="B403" i="8"/>
  <c r="E403" i="8" l="1"/>
  <c r="D403" i="8"/>
  <c r="F402" i="8"/>
  <c r="A405" i="8"/>
  <c r="C404" i="8"/>
  <c r="B404" i="8"/>
  <c r="F403" i="8" l="1"/>
  <c r="E404" i="8"/>
  <c r="D404" i="8"/>
  <c r="F404" i="8" s="1"/>
  <c r="A406" i="8"/>
  <c r="C405" i="8"/>
  <c r="B405" i="8"/>
  <c r="E405" i="8" l="1"/>
  <c r="D405" i="8"/>
  <c r="F405" i="8" s="1"/>
  <c r="A407" i="8"/>
  <c r="C406" i="8"/>
  <c r="B406" i="8"/>
  <c r="E406" i="8" l="1"/>
  <c r="D406" i="8"/>
  <c r="F406" i="8" s="1"/>
  <c r="A408" i="8"/>
  <c r="C407" i="8"/>
  <c r="B407" i="8"/>
  <c r="E407" i="8" l="1"/>
  <c r="D407" i="8"/>
  <c r="F407" i="8" s="1"/>
  <c r="A409" i="8"/>
  <c r="C408" i="8"/>
  <c r="B408" i="8"/>
  <c r="E408" i="8" l="1"/>
  <c r="D408" i="8"/>
  <c r="F408" i="8" s="1"/>
  <c r="A410" i="8"/>
  <c r="C409" i="8"/>
  <c r="B409" i="8"/>
  <c r="E409" i="8" l="1"/>
  <c r="D409" i="8"/>
  <c r="F409" i="8" s="1"/>
  <c r="A411" i="8"/>
  <c r="C410" i="8"/>
  <c r="B410" i="8"/>
  <c r="E410" i="8" l="1"/>
  <c r="D410" i="8"/>
  <c r="F410" i="8" s="1"/>
  <c r="A412" i="8"/>
  <c r="C411" i="8"/>
  <c r="B411" i="8"/>
  <c r="E411" i="8" l="1"/>
  <c r="D411" i="8"/>
  <c r="A413" i="8"/>
  <c r="C412" i="8"/>
  <c r="B412" i="8"/>
  <c r="E412" i="8" l="1"/>
  <c r="D412" i="8"/>
  <c r="F412" i="8" s="1"/>
  <c r="F411" i="8"/>
  <c r="A414" i="8"/>
  <c r="C413" i="8"/>
  <c r="B413" i="8"/>
  <c r="E413" i="8" l="1"/>
  <c r="D413" i="8"/>
  <c r="F413" i="8" s="1"/>
  <c r="A415" i="8"/>
  <c r="C414" i="8"/>
  <c r="B414" i="8"/>
  <c r="E414" i="8" l="1"/>
  <c r="D414" i="8"/>
  <c r="F414" i="8" s="1"/>
  <c r="A416" i="8"/>
  <c r="C415" i="8"/>
  <c r="B415" i="8"/>
  <c r="E415" i="8" l="1"/>
  <c r="D415" i="8"/>
  <c r="F415" i="8" s="1"/>
  <c r="A417" i="8"/>
  <c r="C416" i="8"/>
  <c r="B416" i="8"/>
  <c r="E416" i="8" l="1"/>
  <c r="D416" i="8"/>
  <c r="F416" i="8" s="1"/>
  <c r="A418" i="8"/>
  <c r="C417" i="8"/>
  <c r="B417" i="8"/>
  <c r="E417" i="8" l="1"/>
  <c r="D417" i="8"/>
  <c r="F417" i="8" s="1"/>
  <c r="A419" i="8"/>
  <c r="C418" i="8"/>
  <c r="B418" i="8"/>
  <c r="E418" i="8" l="1"/>
  <c r="D418" i="8"/>
  <c r="F418" i="8" s="1"/>
  <c r="A420" i="8"/>
  <c r="C419" i="8"/>
  <c r="B419" i="8"/>
  <c r="E419" i="8" l="1"/>
  <c r="D419" i="8"/>
  <c r="F419" i="8" s="1"/>
  <c r="A421" i="8"/>
  <c r="C420" i="8"/>
  <c r="B420" i="8"/>
  <c r="E420" i="8" l="1"/>
  <c r="D420" i="8"/>
  <c r="F420" i="8" s="1"/>
  <c r="A422" i="8"/>
  <c r="C421" i="8"/>
  <c r="B421" i="8"/>
  <c r="E421" i="8" l="1"/>
  <c r="D421" i="8"/>
  <c r="F421" i="8" s="1"/>
  <c r="A423" i="8"/>
  <c r="C422" i="8"/>
  <c r="B422" i="8"/>
  <c r="E422" i="8" l="1"/>
  <c r="D422" i="8"/>
  <c r="F422" i="8" s="1"/>
  <c r="A424" i="8"/>
  <c r="C423" i="8"/>
  <c r="B423" i="8"/>
  <c r="E423" i="8" l="1"/>
  <c r="D423" i="8"/>
  <c r="F423" i="8" s="1"/>
  <c r="A425" i="8"/>
  <c r="C424" i="8"/>
  <c r="B424" i="8"/>
  <c r="E424" i="8" l="1"/>
  <c r="D424" i="8"/>
  <c r="A426" i="8"/>
  <c r="C425" i="8"/>
  <c r="B425" i="8"/>
  <c r="F424" i="8" l="1"/>
  <c r="E425" i="8"/>
  <c r="D425" i="8"/>
  <c r="F425" i="8" s="1"/>
  <c r="A427" i="8"/>
  <c r="C426" i="8"/>
  <c r="B426" i="8"/>
  <c r="E426" i="8" l="1"/>
  <c r="D426" i="8"/>
  <c r="F426" i="8" s="1"/>
  <c r="A428" i="8"/>
  <c r="C427" i="8"/>
  <c r="B427" i="8"/>
  <c r="E427" i="8" l="1"/>
  <c r="D427" i="8"/>
  <c r="F427" i="8" s="1"/>
  <c r="A429" i="8"/>
  <c r="C428" i="8"/>
  <c r="B428" i="8"/>
  <c r="E428" i="8" l="1"/>
  <c r="D428" i="8"/>
  <c r="F428" i="8" s="1"/>
  <c r="A430" i="8"/>
  <c r="C429" i="8"/>
  <c r="B429" i="8"/>
  <c r="E429" i="8" l="1"/>
  <c r="D429" i="8"/>
  <c r="F429" i="8" s="1"/>
  <c r="A431" i="8"/>
  <c r="C430" i="8"/>
  <c r="B430" i="8"/>
  <c r="E430" i="8" l="1"/>
  <c r="D430" i="8"/>
  <c r="F430" i="8" s="1"/>
  <c r="A432" i="8"/>
  <c r="C431" i="8"/>
  <c r="B431" i="8"/>
  <c r="E431" i="8" l="1"/>
  <c r="D431" i="8"/>
  <c r="F431" i="8" s="1"/>
  <c r="A433" i="8"/>
  <c r="C432" i="8"/>
  <c r="B432" i="8"/>
  <c r="E432" i="8" l="1"/>
  <c r="D432" i="8"/>
  <c r="F432" i="8" s="1"/>
  <c r="A434" i="8"/>
  <c r="C433" i="8"/>
  <c r="B433" i="8"/>
  <c r="E433" i="8" l="1"/>
  <c r="D433" i="8"/>
  <c r="F433" i="8" s="1"/>
  <c r="A435" i="8"/>
  <c r="C434" i="8"/>
  <c r="B434" i="8"/>
  <c r="E434" i="8" l="1"/>
  <c r="D434" i="8"/>
  <c r="F434" i="8" s="1"/>
  <c r="A436" i="8"/>
  <c r="C435" i="8"/>
  <c r="B435" i="8"/>
  <c r="E435" i="8" l="1"/>
  <c r="D435" i="8"/>
  <c r="F435" i="8" s="1"/>
  <c r="A437" i="8"/>
  <c r="C436" i="8"/>
  <c r="B436" i="8"/>
  <c r="E436" i="8" l="1"/>
  <c r="D436" i="8"/>
  <c r="F436" i="8" s="1"/>
  <c r="A438" i="8"/>
  <c r="C437" i="8"/>
  <c r="B437" i="8"/>
  <c r="E437" i="8" l="1"/>
  <c r="D437" i="8"/>
  <c r="F437" i="8" s="1"/>
  <c r="A439" i="8"/>
  <c r="C438" i="8"/>
  <c r="B438" i="8"/>
  <c r="E438" i="8" l="1"/>
  <c r="D438" i="8"/>
  <c r="F438" i="8" s="1"/>
  <c r="A440" i="8"/>
  <c r="C439" i="8"/>
  <c r="B439" i="8"/>
  <c r="E439" i="8" l="1"/>
  <c r="D439" i="8"/>
  <c r="F439" i="8" s="1"/>
  <c r="A441" i="8"/>
  <c r="C440" i="8"/>
  <c r="B440" i="8"/>
  <c r="E440" i="8" l="1"/>
  <c r="D440" i="8"/>
  <c r="F440" i="8" s="1"/>
  <c r="A442" i="8"/>
  <c r="C441" i="8"/>
  <c r="B441" i="8"/>
  <c r="E441" i="8" l="1"/>
  <c r="D441" i="8"/>
  <c r="A443" i="8"/>
  <c r="C442" i="8"/>
  <c r="B442" i="8"/>
  <c r="F441" i="8" l="1"/>
  <c r="E442" i="8"/>
  <c r="D442" i="8"/>
  <c r="F442" i="8" s="1"/>
  <c r="A444" i="8"/>
  <c r="C443" i="8"/>
  <c r="B443" i="8"/>
  <c r="E443" i="8" l="1"/>
  <c r="D443" i="8"/>
  <c r="A445" i="8"/>
  <c r="C444" i="8"/>
  <c r="B444" i="8"/>
  <c r="E444" i="8" l="1"/>
  <c r="D444" i="8"/>
  <c r="F444" i="8" s="1"/>
  <c r="F443" i="8"/>
  <c r="A446" i="8"/>
  <c r="C445" i="8"/>
  <c r="B445" i="8"/>
  <c r="E445" i="8" l="1"/>
  <c r="D445" i="8"/>
  <c r="F445" i="8" s="1"/>
  <c r="A447" i="8"/>
  <c r="C446" i="8"/>
  <c r="B446" i="8"/>
  <c r="E446" i="8" l="1"/>
  <c r="D446" i="8"/>
  <c r="F446" i="8" s="1"/>
  <c r="A448" i="8"/>
  <c r="C447" i="8"/>
  <c r="B447" i="8"/>
  <c r="E447" i="8" l="1"/>
  <c r="D447" i="8"/>
  <c r="F447" i="8" s="1"/>
  <c r="A449" i="8"/>
  <c r="C448" i="8"/>
  <c r="B448" i="8"/>
  <c r="E448" i="8" l="1"/>
  <c r="D448" i="8"/>
  <c r="F448" i="8" s="1"/>
  <c r="A450" i="8"/>
  <c r="C449" i="8"/>
  <c r="B449" i="8"/>
  <c r="E449" i="8" l="1"/>
  <c r="D449" i="8"/>
  <c r="F449" i="8" s="1"/>
  <c r="A451" i="8"/>
  <c r="C450" i="8"/>
  <c r="B450" i="8"/>
  <c r="E450" i="8" l="1"/>
  <c r="D450" i="8"/>
  <c r="F450" i="8" s="1"/>
  <c r="A452" i="8"/>
  <c r="C451" i="8"/>
  <c r="B451" i="8"/>
  <c r="E451" i="8" l="1"/>
  <c r="D451" i="8"/>
  <c r="F451" i="8" s="1"/>
  <c r="A453" i="8"/>
  <c r="C452" i="8"/>
  <c r="B452" i="8"/>
  <c r="E452" i="8" l="1"/>
  <c r="D452" i="8"/>
  <c r="F452" i="8" s="1"/>
  <c r="A454" i="8"/>
  <c r="C453" i="8"/>
  <c r="B453" i="8"/>
  <c r="E453" i="8" l="1"/>
  <c r="D453" i="8"/>
  <c r="F453" i="8" s="1"/>
  <c r="A455" i="8"/>
  <c r="C454" i="8"/>
  <c r="B454" i="8"/>
  <c r="E454" i="8" l="1"/>
  <c r="D454" i="8"/>
  <c r="F454" i="8" s="1"/>
  <c r="A456" i="8"/>
  <c r="C455" i="8"/>
  <c r="B455" i="8"/>
  <c r="E455" i="8" l="1"/>
  <c r="D455" i="8"/>
  <c r="F455" i="8" s="1"/>
  <c r="A457" i="8"/>
  <c r="C456" i="8"/>
  <c r="B456" i="8"/>
  <c r="E456" i="8" l="1"/>
  <c r="D456" i="8"/>
  <c r="A458" i="8"/>
  <c r="C457" i="8"/>
  <c r="B457" i="8"/>
  <c r="F456" i="8" l="1"/>
  <c r="E457" i="8"/>
  <c r="D457" i="8"/>
  <c r="F457" i="8" s="1"/>
  <c r="A459" i="8"/>
  <c r="C458" i="8"/>
  <c r="B458" i="8"/>
  <c r="E458" i="8" l="1"/>
  <c r="D458" i="8"/>
  <c r="A460" i="8"/>
  <c r="C459" i="8"/>
  <c r="B459" i="8"/>
  <c r="F458" i="8" l="1"/>
  <c r="E459" i="8"/>
  <c r="D459" i="8"/>
  <c r="F459" i="8" s="1"/>
  <c r="A461" i="8"/>
  <c r="C460" i="8"/>
  <c r="B460" i="8"/>
  <c r="E460" i="8" l="1"/>
  <c r="D460" i="8"/>
  <c r="F460" i="8" s="1"/>
  <c r="A462" i="8"/>
  <c r="C461" i="8"/>
  <c r="B461" i="8"/>
  <c r="E461" i="8" l="1"/>
  <c r="D461" i="8"/>
  <c r="F461" i="8" s="1"/>
  <c r="A463" i="8"/>
  <c r="C462" i="8"/>
  <c r="B462" i="8"/>
  <c r="E462" i="8" l="1"/>
  <c r="D462" i="8"/>
  <c r="F462" i="8" s="1"/>
  <c r="A464" i="8"/>
  <c r="C463" i="8"/>
  <c r="B463" i="8"/>
  <c r="E463" i="8" l="1"/>
  <c r="D463" i="8"/>
  <c r="A465" i="8"/>
  <c r="C464" i="8"/>
  <c r="B464" i="8"/>
  <c r="E464" i="8" l="1"/>
  <c r="D464" i="8"/>
  <c r="F464" i="8" s="1"/>
  <c r="F463" i="8"/>
  <c r="A466" i="8"/>
  <c r="C465" i="8"/>
  <c r="B465" i="8"/>
  <c r="E465" i="8" l="1"/>
  <c r="D465" i="8"/>
  <c r="F465" i="8" s="1"/>
  <c r="A467" i="8"/>
  <c r="C466" i="8"/>
  <c r="B466" i="8"/>
  <c r="E466" i="8" l="1"/>
  <c r="D466" i="8"/>
  <c r="F466" i="8" s="1"/>
  <c r="A468" i="8"/>
  <c r="C467" i="8"/>
  <c r="B467" i="8"/>
  <c r="E467" i="8" l="1"/>
  <c r="D467" i="8"/>
  <c r="F467" i="8" s="1"/>
  <c r="A469" i="8"/>
  <c r="C468" i="8"/>
  <c r="B468" i="8"/>
  <c r="E468" i="8" l="1"/>
  <c r="D468" i="8"/>
  <c r="F468" i="8" s="1"/>
  <c r="A470" i="8"/>
  <c r="C469" i="8"/>
  <c r="B469" i="8"/>
  <c r="E469" i="8" l="1"/>
  <c r="D469" i="8"/>
  <c r="F469" i="8" s="1"/>
  <c r="A471" i="8"/>
  <c r="C470" i="8"/>
  <c r="B470" i="8"/>
  <c r="E470" i="8" l="1"/>
  <c r="D470" i="8"/>
  <c r="F470" i="8" s="1"/>
  <c r="A472" i="8"/>
  <c r="C471" i="8"/>
  <c r="B471" i="8"/>
  <c r="E471" i="8" l="1"/>
  <c r="D471" i="8"/>
  <c r="A473" i="8"/>
  <c r="C472" i="8"/>
  <c r="B472" i="8"/>
  <c r="F471" i="8" l="1"/>
  <c r="E472" i="8"/>
  <c r="D472" i="8"/>
  <c r="F472" i="8" s="1"/>
  <c r="A474" i="8"/>
  <c r="C473" i="8"/>
  <c r="B473" i="8"/>
  <c r="E473" i="8" l="1"/>
  <c r="D473" i="8"/>
  <c r="F473" i="8" s="1"/>
  <c r="A475" i="8"/>
  <c r="C474" i="8"/>
  <c r="B474" i="8"/>
  <c r="E474" i="8" l="1"/>
  <c r="D474" i="8"/>
  <c r="A476" i="8"/>
  <c r="C475" i="8"/>
  <c r="B475" i="8"/>
  <c r="E475" i="8" l="1"/>
  <c r="D475" i="8"/>
  <c r="F475" i="8" s="1"/>
  <c r="F474" i="8"/>
  <c r="A477" i="8"/>
  <c r="C476" i="8"/>
  <c r="B476" i="8"/>
  <c r="E476" i="8" l="1"/>
  <c r="D476" i="8"/>
  <c r="F476" i="8" s="1"/>
  <c r="A478" i="8"/>
  <c r="C477" i="8"/>
  <c r="B477" i="8"/>
  <c r="E477" i="8" l="1"/>
  <c r="D477" i="8"/>
  <c r="A479" i="8"/>
  <c r="C478" i="8"/>
  <c r="B478" i="8"/>
  <c r="F477" i="8" l="1"/>
  <c r="E478" i="8"/>
  <c r="D478" i="8"/>
  <c r="A480" i="8"/>
  <c r="C479" i="8"/>
  <c r="B479" i="8"/>
  <c r="F478" i="8" l="1"/>
  <c r="E479" i="8"/>
  <c r="D479" i="8"/>
  <c r="F479" i="8" s="1"/>
  <c r="A481" i="8"/>
  <c r="C480" i="8"/>
  <c r="B480" i="8"/>
  <c r="E480" i="8" l="1"/>
  <c r="D480" i="8"/>
  <c r="A482" i="8"/>
  <c r="C481" i="8"/>
  <c r="B481" i="8"/>
  <c r="F480" i="8" l="1"/>
  <c r="E481" i="8"/>
  <c r="D481" i="8"/>
  <c r="F481" i="8" s="1"/>
  <c r="A483" i="8"/>
  <c r="C482" i="8"/>
  <c r="B482" i="8"/>
  <c r="E482" i="8" l="1"/>
  <c r="D482" i="8"/>
  <c r="F482" i="8" s="1"/>
  <c r="A484" i="8"/>
  <c r="C483" i="8"/>
  <c r="B483" i="8"/>
  <c r="E483" i="8" l="1"/>
  <c r="D483" i="8"/>
  <c r="F483" i="8" s="1"/>
  <c r="A485" i="8"/>
  <c r="C484" i="8"/>
  <c r="B484" i="8"/>
  <c r="E484" i="8" l="1"/>
  <c r="D484" i="8"/>
  <c r="F484" i="8" s="1"/>
  <c r="A486" i="8"/>
  <c r="C485" i="8"/>
  <c r="B485" i="8"/>
  <c r="E485" i="8" l="1"/>
  <c r="D485" i="8"/>
  <c r="F485" i="8" s="1"/>
  <c r="A487" i="8"/>
  <c r="C486" i="8"/>
  <c r="B486" i="8"/>
  <c r="E486" i="8" l="1"/>
  <c r="D486" i="8"/>
  <c r="F486" i="8" s="1"/>
  <c r="A488" i="8"/>
  <c r="C487" i="8"/>
  <c r="B487" i="8"/>
  <c r="E487" i="8" l="1"/>
  <c r="D487" i="8"/>
  <c r="F487" i="8" s="1"/>
  <c r="A489" i="8"/>
  <c r="C488" i="8"/>
  <c r="B488" i="8"/>
  <c r="E488" i="8" l="1"/>
  <c r="D488" i="8"/>
  <c r="F488" i="8" s="1"/>
  <c r="A490" i="8"/>
  <c r="C489" i="8"/>
  <c r="B489" i="8"/>
  <c r="E489" i="8" l="1"/>
  <c r="D489" i="8"/>
  <c r="F489" i="8" s="1"/>
  <c r="A491" i="8"/>
  <c r="C490" i="8"/>
  <c r="B490" i="8"/>
  <c r="E490" i="8" l="1"/>
  <c r="D490" i="8"/>
  <c r="F490" i="8" s="1"/>
  <c r="A492" i="8"/>
  <c r="C491" i="8"/>
  <c r="B491" i="8"/>
  <c r="E491" i="8" l="1"/>
  <c r="D491" i="8"/>
  <c r="F491" i="8" s="1"/>
  <c r="A493" i="8"/>
  <c r="C492" i="8"/>
  <c r="B492" i="8"/>
  <c r="E492" i="8" l="1"/>
  <c r="D492" i="8"/>
  <c r="F492" i="8" s="1"/>
  <c r="A494" i="8"/>
  <c r="C493" i="8"/>
  <c r="B493" i="8"/>
  <c r="E493" i="8" l="1"/>
  <c r="D493" i="8"/>
  <c r="F493" i="8" s="1"/>
  <c r="A495" i="8"/>
  <c r="C494" i="8"/>
  <c r="B494" i="8"/>
  <c r="E494" i="8" l="1"/>
  <c r="D494" i="8"/>
  <c r="F494" i="8" s="1"/>
  <c r="A496" i="8"/>
  <c r="C495" i="8"/>
  <c r="B495" i="8"/>
  <c r="E495" i="8" l="1"/>
  <c r="D495" i="8"/>
  <c r="F495" i="8" s="1"/>
  <c r="A497" i="8"/>
  <c r="C496" i="8"/>
  <c r="B496" i="8"/>
  <c r="E496" i="8" l="1"/>
  <c r="D496" i="8"/>
  <c r="A498" i="8"/>
  <c r="C497" i="8"/>
  <c r="B497" i="8"/>
  <c r="E497" i="8" l="1"/>
  <c r="D497" i="8"/>
  <c r="F497" i="8" s="1"/>
  <c r="F496" i="8"/>
  <c r="A499" i="8"/>
  <c r="C498" i="8"/>
  <c r="B498" i="8"/>
  <c r="E498" i="8" l="1"/>
  <c r="D498" i="8"/>
  <c r="F498" i="8" s="1"/>
  <c r="A500" i="8"/>
  <c r="C499" i="8"/>
  <c r="B499" i="8"/>
  <c r="E499" i="8" l="1"/>
  <c r="D499" i="8"/>
  <c r="F499" i="8" s="1"/>
  <c r="A501" i="8"/>
  <c r="C500" i="8"/>
  <c r="B500" i="8"/>
  <c r="E500" i="8" l="1"/>
  <c r="D500" i="8"/>
  <c r="A502" i="8"/>
  <c r="C501" i="8"/>
  <c r="B501" i="8"/>
  <c r="E501" i="8" l="1"/>
  <c r="D501" i="8"/>
  <c r="F501" i="8" s="1"/>
  <c r="F500" i="8"/>
  <c r="A503" i="8"/>
  <c r="C502" i="8"/>
  <c r="B502" i="8"/>
  <c r="E502" i="8" l="1"/>
  <c r="D502" i="8"/>
  <c r="A504" i="8"/>
  <c r="C503" i="8"/>
  <c r="B503" i="8"/>
  <c r="E503" i="8" l="1"/>
  <c r="D503" i="8"/>
  <c r="F503" i="8" s="1"/>
  <c r="F502" i="8"/>
  <c r="A505" i="8"/>
  <c r="C504" i="8"/>
  <c r="B504" i="8"/>
  <c r="E504" i="8" l="1"/>
  <c r="D504" i="8"/>
  <c r="F504" i="8" s="1"/>
  <c r="A506" i="8"/>
  <c r="C505" i="8"/>
  <c r="B505" i="8"/>
  <c r="E505" i="8" l="1"/>
  <c r="D505" i="8"/>
  <c r="F505" i="8" s="1"/>
  <c r="A507" i="8"/>
  <c r="C506" i="8"/>
  <c r="B506" i="8"/>
  <c r="E506" i="8" l="1"/>
  <c r="D506" i="8"/>
  <c r="F506" i="8" s="1"/>
  <c r="A508" i="8"/>
  <c r="C507" i="8"/>
  <c r="B507" i="8"/>
  <c r="E507" i="8" l="1"/>
  <c r="D507" i="8"/>
  <c r="A509" i="8"/>
  <c r="C508" i="8"/>
  <c r="B508" i="8"/>
  <c r="F507" i="8" l="1"/>
  <c r="E508" i="8"/>
  <c r="D508" i="8"/>
  <c r="F508" i="8" s="1"/>
  <c r="A510" i="8"/>
  <c r="C509" i="8"/>
  <c r="B509" i="8"/>
  <c r="E509" i="8" l="1"/>
  <c r="D509" i="8"/>
  <c r="A511" i="8"/>
  <c r="C510" i="8"/>
  <c r="B510" i="8"/>
  <c r="F509" i="8" l="1"/>
  <c r="E510" i="8"/>
  <c r="D510" i="8"/>
  <c r="F510" i="8" s="1"/>
  <c r="A512" i="8"/>
  <c r="C511" i="8"/>
  <c r="B511" i="8"/>
  <c r="E511" i="8" l="1"/>
  <c r="D511" i="8"/>
  <c r="F511" i="8" s="1"/>
  <c r="A513" i="8"/>
  <c r="C512" i="8"/>
  <c r="B512" i="8"/>
  <c r="E512" i="8" l="1"/>
  <c r="D512" i="8"/>
  <c r="F512" i="8" s="1"/>
  <c r="A514" i="8"/>
  <c r="C513" i="8"/>
  <c r="B513" i="8"/>
  <c r="E513" i="8" l="1"/>
  <c r="D513" i="8"/>
  <c r="F513" i="8" s="1"/>
  <c r="A515" i="8"/>
  <c r="C514" i="8"/>
  <c r="B514" i="8"/>
  <c r="E514" i="8" l="1"/>
  <c r="D514" i="8"/>
  <c r="A516" i="8"/>
  <c r="C515" i="8"/>
  <c r="B515" i="8"/>
  <c r="F514" i="8" l="1"/>
  <c r="E515" i="8"/>
  <c r="D515" i="8"/>
  <c r="F515" i="8" s="1"/>
  <c r="A517" i="8"/>
  <c r="C516" i="8"/>
  <c r="B516" i="8"/>
  <c r="E516" i="8" l="1"/>
  <c r="D516" i="8"/>
  <c r="F516" i="8" s="1"/>
  <c r="A518" i="8"/>
  <c r="C517" i="8"/>
  <c r="B517" i="8"/>
  <c r="E517" i="8" l="1"/>
  <c r="D517" i="8"/>
  <c r="F517" i="8" s="1"/>
  <c r="A519" i="8"/>
  <c r="C518" i="8"/>
  <c r="B518" i="8"/>
  <c r="E518" i="8" l="1"/>
  <c r="D518" i="8"/>
  <c r="F518" i="8" s="1"/>
  <c r="A520" i="8"/>
  <c r="C519" i="8"/>
  <c r="B519" i="8"/>
  <c r="E519" i="8" l="1"/>
  <c r="D519" i="8"/>
  <c r="F519" i="8" s="1"/>
  <c r="A521" i="8"/>
  <c r="C520" i="8"/>
  <c r="B520" i="8"/>
  <c r="E520" i="8" l="1"/>
  <c r="D520" i="8"/>
  <c r="A522" i="8"/>
  <c r="C521" i="8"/>
  <c r="B521" i="8"/>
  <c r="F520" i="8" l="1"/>
  <c r="E521" i="8"/>
  <c r="D521" i="8"/>
  <c r="F521" i="8" s="1"/>
  <c r="A523" i="8"/>
  <c r="C522" i="8"/>
  <c r="B522" i="8"/>
  <c r="E522" i="8" l="1"/>
  <c r="D522" i="8"/>
  <c r="F522" i="8" s="1"/>
  <c r="A524" i="8"/>
  <c r="C523" i="8"/>
  <c r="B523" i="8"/>
  <c r="E523" i="8" l="1"/>
  <c r="D523" i="8"/>
  <c r="F523" i="8" s="1"/>
  <c r="A525" i="8"/>
  <c r="C524" i="8"/>
  <c r="B524" i="8"/>
  <c r="E524" i="8" l="1"/>
  <c r="D524" i="8"/>
  <c r="F524" i="8" s="1"/>
  <c r="A526" i="8"/>
  <c r="C525" i="8"/>
  <c r="B525" i="8"/>
  <c r="E525" i="8" l="1"/>
  <c r="D525" i="8"/>
  <c r="F525" i="8" s="1"/>
  <c r="A527" i="8"/>
  <c r="C526" i="8"/>
  <c r="B526" i="8"/>
  <c r="E526" i="8" l="1"/>
  <c r="D526" i="8"/>
  <c r="F526" i="8" s="1"/>
  <c r="A528" i="8"/>
  <c r="C527" i="8"/>
  <c r="B527" i="8"/>
  <c r="E527" i="8" l="1"/>
  <c r="D527" i="8"/>
  <c r="A529" i="8"/>
  <c r="C528" i="8"/>
  <c r="B528" i="8"/>
  <c r="F527" i="8" l="1"/>
  <c r="E528" i="8"/>
  <c r="D528" i="8"/>
  <c r="F528" i="8" s="1"/>
  <c r="A530" i="8"/>
  <c r="C529" i="8"/>
  <c r="B529" i="8"/>
  <c r="E529" i="8" l="1"/>
  <c r="D529" i="8"/>
  <c r="F529" i="8" s="1"/>
  <c r="A531" i="8"/>
  <c r="C530" i="8"/>
  <c r="B530" i="8"/>
  <c r="E530" i="8" l="1"/>
  <c r="D530" i="8"/>
  <c r="F530" i="8" s="1"/>
  <c r="A532" i="8"/>
  <c r="C531" i="8"/>
  <c r="B531" i="8"/>
  <c r="E531" i="8" l="1"/>
  <c r="D531" i="8"/>
  <c r="F531" i="8" s="1"/>
  <c r="A533" i="8"/>
  <c r="C532" i="8"/>
  <c r="B532" i="8"/>
  <c r="E532" i="8" l="1"/>
  <c r="D532" i="8"/>
  <c r="F532" i="8" s="1"/>
  <c r="A534" i="8"/>
  <c r="C533" i="8"/>
  <c r="B533" i="8"/>
  <c r="E533" i="8" l="1"/>
  <c r="D533" i="8"/>
  <c r="F533" i="8" s="1"/>
  <c r="A535" i="8"/>
  <c r="C534" i="8"/>
  <c r="B534" i="8"/>
  <c r="E534" i="8" l="1"/>
  <c r="D534" i="8"/>
  <c r="F534" i="8" s="1"/>
  <c r="A536" i="8"/>
  <c r="C535" i="8"/>
  <c r="B535" i="8"/>
  <c r="E535" i="8" l="1"/>
  <c r="D535" i="8"/>
  <c r="F535" i="8" s="1"/>
  <c r="A537" i="8"/>
  <c r="C536" i="8"/>
  <c r="B536" i="8"/>
  <c r="E536" i="8" l="1"/>
  <c r="D536" i="8"/>
  <c r="A538" i="8"/>
  <c r="C537" i="8"/>
  <c r="B537" i="8"/>
  <c r="F536" i="8" l="1"/>
  <c r="E537" i="8"/>
  <c r="D537" i="8"/>
  <c r="F537" i="8" s="1"/>
  <c r="A539" i="8"/>
  <c r="C538" i="8"/>
  <c r="B538" i="8"/>
  <c r="E538" i="8" l="1"/>
  <c r="D538" i="8"/>
  <c r="A540" i="8"/>
  <c r="C539" i="8"/>
  <c r="B539" i="8"/>
  <c r="F538" i="8" l="1"/>
  <c r="E539" i="8"/>
  <c r="D539" i="8"/>
  <c r="F539" i="8" s="1"/>
  <c r="A541" i="8"/>
  <c r="C540" i="8"/>
  <c r="B540" i="8"/>
  <c r="E540" i="8" l="1"/>
  <c r="D540" i="8"/>
  <c r="A542" i="8"/>
  <c r="C541" i="8"/>
  <c r="B541" i="8"/>
  <c r="F540" i="8" l="1"/>
  <c r="E541" i="8"/>
  <c r="D541" i="8"/>
  <c r="F541" i="8" s="1"/>
  <c r="A543" i="8"/>
  <c r="C542" i="8"/>
  <c r="B542" i="8"/>
  <c r="E542" i="8" l="1"/>
  <c r="D542" i="8"/>
  <c r="F542" i="8" s="1"/>
  <c r="A544" i="8"/>
  <c r="C543" i="8"/>
  <c r="B543" i="8"/>
  <c r="E543" i="8" l="1"/>
  <c r="D543" i="8"/>
  <c r="F543" i="8" s="1"/>
  <c r="A545" i="8"/>
  <c r="C544" i="8"/>
  <c r="B544" i="8"/>
  <c r="E544" i="8" l="1"/>
  <c r="D544" i="8"/>
  <c r="F544" i="8" s="1"/>
  <c r="A546" i="8"/>
  <c r="C545" i="8"/>
  <c r="B545" i="8"/>
  <c r="E545" i="8" l="1"/>
  <c r="D545" i="8"/>
  <c r="F545" i="8" s="1"/>
  <c r="A547" i="8"/>
  <c r="C546" i="8"/>
  <c r="B546" i="8"/>
  <c r="E546" i="8" l="1"/>
  <c r="D546" i="8"/>
  <c r="F546" i="8" s="1"/>
  <c r="A548" i="8"/>
  <c r="C547" i="8"/>
  <c r="B547" i="8"/>
  <c r="E547" i="8" l="1"/>
  <c r="D547" i="8"/>
  <c r="F547" i="8" s="1"/>
  <c r="A549" i="8"/>
  <c r="C548" i="8"/>
  <c r="B548" i="8"/>
  <c r="E548" i="8" l="1"/>
  <c r="D548" i="8"/>
  <c r="F548" i="8" s="1"/>
  <c r="A550" i="8"/>
  <c r="C549" i="8"/>
  <c r="B549" i="8"/>
  <c r="E549" i="8" l="1"/>
  <c r="D549" i="8"/>
  <c r="A551" i="8"/>
  <c r="C550" i="8"/>
  <c r="B550" i="8"/>
  <c r="E550" i="8" l="1"/>
  <c r="D550" i="8"/>
  <c r="F550" i="8" s="1"/>
  <c r="F549" i="8"/>
  <c r="A552" i="8"/>
  <c r="C551" i="8"/>
  <c r="B551" i="8"/>
  <c r="E551" i="8" l="1"/>
  <c r="D551" i="8"/>
  <c r="F551" i="8" s="1"/>
  <c r="A553" i="8"/>
  <c r="C552" i="8"/>
  <c r="B552" i="8"/>
  <c r="E552" i="8" l="1"/>
  <c r="D552" i="8"/>
  <c r="F552" i="8" s="1"/>
  <c r="A554" i="8"/>
  <c r="C553" i="8"/>
  <c r="B553" i="8"/>
  <c r="E553" i="8" l="1"/>
  <c r="D553" i="8"/>
  <c r="F553" i="8" s="1"/>
  <c r="A555" i="8"/>
  <c r="C554" i="8"/>
  <c r="B554" i="8"/>
  <c r="E554" i="8" l="1"/>
  <c r="D554" i="8"/>
  <c r="F554" i="8" s="1"/>
  <c r="A556" i="8"/>
  <c r="C555" i="8"/>
  <c r="B555" i="8"/>
  <c r="E555" i="8" l="1"/>
  <c r="D555" i="8"/>
  <c r="F555" i="8" s="1"/>
  <c r="A557" i="8"/>
  <c r="C556" i="8"/>
  <c r="B556" i="8"/>
  <c r="E556" i="8" l="1"/>
  <c r="D556" i="8"/>
  <c r="F556" i="8" s="1"/>
  <c r="A558" i="8"/>
  <c r="C557" i="8"/>
  <c r="B557" i="8"/>
  <c r="E557" i="8" l="1"/>
  <c r="D557" i="8"/>
  <c r="F557" i="8" s="1"/>
  <c r="A559" i="8"/>
  <c r="C558" i="8"/>
  <c r="B558" i="8"/>
  <c r="E558" i="8" l="1"/>
  <c r="D558" i="8"/>
  <c r="F558" i="8" s="1"/>
  <c r="A560" i="8"/>
  <c r="C559" i="8"/>
  <c r="B559" i="8"/>
  <c r="E559" i="8" l="1"/>
  <c r="D559" i="8"/>
  <c r="F559" i="8" s="1"/>
  <c r="A561" i="8"/>
  <c r="C560" i="8"/>
  <c r="B560" i="8"/>
  <c r="E560" i="8" l="1"/>
  <c r="D560" i="8"/>
  <c r="F560" i="8" s="1"/>
  <c r="A562" i="8"/>
  <c r="C561" i="8"/>
  <c r="B561" i="8"/>
  <c r="E561" i="8" l="1"/>
  <c r="D561" i="8"/>
  <c r="F561" i="8" s="1"/>
  <c r="A563" i="8"/>
  <c r="C562" i="8"/>
  <c r="B562" i="8"/>
  <c r="E562" i="8" l="1"/>
  <c r="D562" i="8"/>
  <c r="A564" i="8"/>
  <c r="C563" i="8"/>
  <c r="B563" i="8"/>
  <c r="F562" i="8" l="1"/>
  <c r="E563" i="8"/>
  <c r="D563" i="8"/>
  <c r="A565" i="8"/>
  <c r="C564" i="8"/>
  <c r="B564" i="8"/>
  <c r="F563" i="8" l="1"/>
  <c r="E564" i="8"/>
  <c r="D564" i="8"/>
  <c r="F564" i="8" s="1"/>
  <c r="A566" i="8"/>
  <c r="C565" i="8"/>
  <c r="B565" i="8"/>
  <c r="E565" i="8" l="1"/>
  <c r="D565" i="8"/>
  <c r="A567" i="8"/>
  <c r="C566" i="8"/>
  <c r="B566" i="8"/>
  <c r="F565" i="8" l="1"/>
  <c r="E566" i="8"/>
  <c r="D566" i="8"/>
  <c r="F566" i="8" s="1"/>
  <c r="A568" i="8"/>
  <c r="C567" i="8"/>
  <c r="B567" i="8"/>
  <c r="E567" i="8" l="1"/>
  <c r="D567" i="8"/>
  <c r="F567" i="8" s="1"/>
  <c r="A569" i="8"/>
  <c r="C568" i="8"/>
  <c r="B568" i="8"/>
  <c r="E568" i="8" l="1"/>
  <c r="D568" i="8"/>
  <c r="F568" i="8" s="1"/>
  <c r="A570" i="8"/>
  <c r="C569" i="8"/>
  <c r="B569" i="8"/>
  <c r="E569" i="8" l="1"/>
  <c r="D569" i="8"/>
  <c r="F569" i="8" s="1"/>
  <c r="A571" i="8"/>
  <c r="C570" i="8"/>
  <c r="B570" i="8"/>
  <c r="E570" i="8" l="1"/>
  <c r="D570" i="8"/>
  <c r="F570" i="8" s="1"/>
  <c r="A572" i="8"/>
  <c r="C571" i="8"/>
  <c r="B571" i="8"/>
  <c r="E571" i="8" l="1"/>
  <c r="D571" i="8"/>
  <c r="F571" i="8" s="1"/>
  <c r="A573" i="8"/>
  <c r="C572" i="8"/>
  <c r="B572" i="8"/>
  <c r="E572" i="8" l="1"/>
  <c r="D572" i="8"/>
  <c r="F572" i="8" s="1"/>
  <c r="A574" i="8"/>
  <c r="C573" i="8"/>
  <c r="B573" i="8"/>
  <c r="E573" i="8" l="1"/>
  <c r="D573" i="8"/>
  <c r="F573" i="8" s="1"/>
  <c r="A575" i="8"/>
  <c r="C574" i="8"/>
  <c r="B574" i="8"/>
  <c r="E574" i="8" l="1"/>
  <c r="D574" i="8"/>
  <c r="F574" i="8" s="1"/>
  <c r="A576" i="8"/>
  <c r="C575" i="8"/>
  <c r="B575" i="8"/>
  <c r="E575" i="8" l="1"/>
  <c r="D575" i="8"/>
  <c r="A577" i="8"/>
  <c r="C576" i="8"/>
  <c r="B576" i="8"/>
  <c r="F575" i="8" l="1"/>
  <c r="E576" i="8"/>
  <c r="D576" i="8"/>
  <c r="F576" i="8" s="1"/>
  <c r="A578" i="8"/>
  <c r="C577" i="8"/>
  <c r="B577" i="8"/>
  <c r="E577" i="8" l="1"/>
  <c r="D577" i="8"/>
  <c r="F577" i="8" s="1"/>
  <c r="A579" i="8"/>
  <c r="C578" i="8"/>
  <c r="B578" i="8"/>
  <c r="E578" i="8" l="1"/>
  <c r="D578" i="8"/>
  <c r="F578" i="8" s="1"/>
  <c r="A580" i="8"/>
  <c r="C579" i="8"/>
  <c r="B579" i="8"/>
  <c r="E579" i="8" l="1"/>
  <c r="D579" i="8"/>
  <c r="F579" i="8" s="1"/>
  <c r="A581" i="8"/>
  <c r="C580" i="8"/>
  <c r="B580" i="8"/>
  <c r="E580" i="8" l="1"/>
  <c r="D580" i="8"/>
  <c r="A582" i="8"/>
  <c r="C581" i="8"/>
  <c r="B581" i="8"/>
  <c r="E581" i="8" l="1"/>
  <c r="D581" i="8"/>
  <c r="F581" i="8" s="1"/>
  <c r="F580" i="8"/>
  <c r="A583" i="8"/>
  <c r="C582" i="8"/>
  <c r="B582" i="8"/>
  <c r="E582" i="8" l="1"/>
  <c r="D582" i="8"/>
  <c r="F582" i="8" s="1"/>
  <c r="A584" i="8"/>
  <c r="C583" i="8"/>
  <c r="B583" i="8"/>
  <c r="E583" i="8" l="1"/>
  <c r="D583" i="8"/>
  <c r="F583" i="8" s="1"/>
  <c r="A585" i="8"/>
  <c r="C584" i="8"/>
  <c r="B584" i="8"/>
  <c r="E584" i="8" l="1"/>
  <c r="D584" i="8"/>
  <c r="F584" i="8" s="1"/>
  <c r="A586" i="8"/>
  <c r="C585" i="8"/>
  <c r="B585" i="8"/>
  <c r="E585" i="8" l="1"/>
  <c r="D585" i="8"/>
  <c r="F585" i="8" s="1"/>
  <c r="A587" i="8"/>
  <c r="C586" i="8"/>
  <c r="B586" i="8"/>
  <c r="E586" i="8" l="1"/>
  <c r="D586" i="8"/>
  <c r="A588" i="8"/>
  <c r="C587" i="8"/>
  <c r="B587" i="8"/>
  <c r="E587" i="8" l="1"/>
  <c r="D587" i="8"/>
  <c r="F587" i="8" s="1"/>
  <c r="F586" i="8"/>
  <c r="A589" i="8"/>
  <c r="C588" i="8"/>
  <c r="B588" i="8"/>
  <c r="E588" i="8" l="1"/>
  <c r="D588" i="8"/>
  <c r="F588" i="8" s="1"/>
  <c r="A590" i="8"/>
  <c r="C589" i="8"/>
  <c r="B589" i="8"/>
  <c r="E589" i="8" l="1"/>
  <c r="D589" i="8"/>
  <c r="F589" i="8" s="1"/>
  <c r="A591" i="8"/>
  <c r="C590" i="8"/>
  <c r="B590" i="8"/>
  <c r="E590" i="8" l="1"/>
  <c r="D590" i="8"/>
  <c r="F590" i="8" s="1"/>
  <c r="A592" i="8"/>
  <c r="C591" i="8"/>
  <c r="B591" i="8"/>
  <c r="E591" i="8" l="1"/>
  <c r="D591" i="8"/>
  <c r="F591" i="8" s="1"/>
  <c r="A593" i="8"/>
  <c r="C592" i="8"/>
  <c r="B592" i="8"/>
  <c r="E592" i="8" l="1"/>
  <c r="D592" i="8"/>
  <c r="F592" i="8" s="1"/>
  <c r="A594" i="8"/>
  <c r="C593" i="8"/>
  <c r="B593" i="8"/>
  <c r="E593" i="8" l="1"/>
  <c r="D593" i="8"/>
  <c r="A595" i="8"/>
  <c r="C594" i="8"/>
  <c r="B594" i="8"/>
  <c r="E594" i="8" l="1"/>
  <c r="D594" i="8"/>
  <c r="F594" i="8" s="1"/>
  <c r="F593" i="8"/>
  <c r="A596" i="8"/>
  <c r="C595" i="8"/>
  <c r="B595" i="8"/>
  <c r="E595" i="8" l="1"/>
  <c r="D595" i="8"/>
  <c r="A597" i="8"/>
  <c r="C596" i="8"/>
  <c r="B596" i="8"/>
  <c r="F595" i="8" l="1"/>
  <c r="E596" i="8"/>
  <c r="D596" i="8"/>
  <c r="A598" i="8"/>
  <c r="C597" i="8"/>
  <c r="B597" i="8"/>
  <c r="F596" i="8" l="1"/>
  <c r="E597" i="8"/>
  <c r="D597" i="8"/>
  <c r="F597" i="8" s="1"/>
  <c r="A599" i="8"/>
  <c r="C598" i="8"/>
  <c r="B598" i="8"/>
  <c r="E598" i="8" l="1"/>
  <c r="D598" i="8"/>
  <c r="A600" i="8"/>
  <c r="C599" i="8"/>
  <c r="B599" i="8"/>
  <c r="F598" i="8" l="1"/>
  <c r="E599" i="8"/>
  <c r="D599" i="8"/>
  <c r="F599" i="8" s="1"/>
  <c r="A601" i="8"/>
  <c r="C600" i="8"/>
  <c r="B600" i="8"/>
  <c r="E600" i="8" l="1"/>
  <c r="D600" i="8"/>
  <c r="F600" i="8" s="1"/>
  <c r="A602" i="8"/>
  <c r="C601" i="8"/>
  <c r="B601" i="8"/>
  <c r="E601" i="8" l="1"/>
  <c r="D601" i="8"/>
  <c r="A603" i="8"/>
  <c r="C602" i="8"/>
  <c r="B602" i="8"/>
  <c r="F601" i="8" l="1"/>
  <c r="E602" i="8"/>
  <c r="D602" i="8"/>
  <c r="F602" i="8" s="1"/>
  <c r="A604" i="8"/>
  <c r="C603" i="8"/>
  <c r="B603" i="8"/>
  <c r="E603" i="8" l="1"/>
  <c r="D603" i="8"/>
  <c r="F603" i="8" s="1"/>
  <c r="A605" i="8"/>
  <c r="C604" i="8"/>
  <c r="B604" i="8"/>
  <c r="E604" i="8" l="1"/>
  <c r="D604" i="8"/>
  <c r="F604" i="8" s="1"/>
  <c r="A606" i="8"/>
  <c r="C605" i="8"/>
  <c r="B605" i="8"/>
  <c r="E605" i="8" l="1"/>
  <c r="D605" i="8"/>
  <c r="A607" i="8"/>
  <c r="C606" i="8"/>
  <c r="B606" i="8"/>
  <c r="F605" i="8" l="1"/>
  <c r="E606" i="8"/>
  <c r="D606" i="8"/>
  <c r="F606" i="8" s="1"/>
  <c r="A608" i="8"/>
  <c r="C607" i="8"/>
  <c r="B607" i="8"/>
  <c r="E607" i="8" l="1"/>
  <c r="D607" i="8"/>
  <c r="A609" i="8"/>
  <c r="C608" i="8"/>
  <c r="B608" i="8"/>
  <c r="E608" i="8" l="1"/>
  <c r="D608" i="8"/>
  <c r="F608" i="8" s="1"/>
  <c r="F607" i="8"/>
  <c r="A610" i="8"/>
  <c r="C609" i="8"/>
  <c r="B609" i="8"/>
  <c r="E609" i="8" l="1"/>
  <c r="D609" i="8"/>
  <c r="F609" i="8" s="1"/>
  <c r="A611" i="8"/>
  <c r="C610" i="8"/>
  <c r="B610" i="8"/>
  <c r="E610" i="8" l="1"/>
  <c r="D610" i="8"/>
  <c r="F610" i="8" s="1"/>
  <c r="A612" i="8"/>
  <c r="C611" i="8"/>
  <c r="B611" i="8"/>
  <c r="E611" i="8" l="1"/>
  <c r="D611" i="8"/>
  <c r="A613" i="8"/>
  <c r="C612" i="8"/>
  <c r="B612" i="8"/>
  <c r="F611" i="8" l="1"/>
  <c r="E612" i="8"/>
  <c r="D612" i="8"/>
  <c r="F612" i="8" s="1"/>
  <c r="A614" i="8"/>
  <c r="C613" i="8"/>
  <c r="B613" i="8"/>
  <c r="E613" i="8" l="1"/>
  <c r="D613" i="8"/>
  <c r="A615" i="8"/>
  <c r="C614" i="8"/>
  <c r="B614" i="8"/>
  <c r="F613" i="8" l="1"/>
  <c r="E614" i="8"/>
  <c r="D614" i="8"/>
  <c r="F614" i="8" s="1"/>
  <c r="A616" i="8"/>
  <c r="C615" i="8"/>
  <c r="B615" i="8"/>
  <c r="E615" i="8" l="1"/>
  <c r="D615" i="8"/>
  <c r="F615" i="8" s="1"/>
  <c r="A617" i="8"/>
  <c r="C616" i="8"/>
  <c r="B616" i="8"/>
  <c r="E616" i="8" l="1"/>
  <c r="D616" i="8"/>
  <c r="F616" i="8" s="1"/>
  <c r="A618" i="8"/>
  <c r="C617" i="8"/>
  <c r="B617" i="8"/>
  <c r="E617" i="8" l="1"/>
  <c r="D617" i="8"/>
  <c r="F617" i="8" s="1"/>
  <c r="A619" i="8"/>
  <c r="C618" i="8"/>
  <c r="B618" i="8"/>
  <c r="E618" i="8" l="1"/>
  <c r="D618" i="8"/>
  <c r="A620" i="8"/>
  <c r="C619" i="8"/>
  <c r="B619" i="8"/>
  <c r="F618" i="8" l="1"/>
  <c r="E619" i="8"/>
  <c r="D619" i="8"/>
  <c r="F619" i="8" s="1"/>
  <c r="A621" i="8"/>
  <c r="C620" i="8"/>
  <c r="B620" i="8"/>
  <c r="E620" i="8" l="1"/>
  <c r="D620" i="8"/>
  <c r="F620" i="8" s="1"/>
  <c r="A622" i="8"/>
  <c r="C621" i="8"/>
  <c r="B621" i="8"/>
  <c r="E621" i="8" l="1"/>
  <c r="D621" i="8"/>
  <c r="A623" i="8"/>
  <c r="C622" i="8"/>
  <c r="B622" i="8"/>
  <c r="F621" i="8" l="1"/>
  <c r="E622" i="8"/>
  <c r="D622" i="8"/>
  <c r="F622" i="8" s="1"/>
  <c r="A624" i="8"/>
  <c r="C623" i="8"/>
  <c r="B623" i="8"/>
  <c r="E623" i="8" l="1"/>
  <c r="D623" i="8"/>
  <c r="A625" i="8"/>
  <c r="C624" i="8"/>
  <c r="B624" i="8"/>
  <c r="F623" i="8" l="1"/>
  <c r="E624" i="8"/>
  <c r="D624" i="8"/>
  <c r="F624" i="8" s="1"/>
  <c r="A626" i="8"/>
  <c r="C625" i="8"/>
  <c r="B625" i="8"/>
  <c r="E625" i="8" l="1"/>
  <c r="D625" i="8"/>
  <c r="F625" i="8" s="1"/>
  <c r="A627" i="8"/>
  <c r="C626" i="8"/>
  <c r="B626" i="8"/>
  <c r="E626" i="8" l="1"/>
  <c r="D626" i="8"/>
  <c r="F626" i="8" s="1"/>
  <c r="A628" i="8"/>
  <c r="C627" i="8"/>
  <c r="B627" i="8"/>
  <c r="E627" i="8" l="1"/>
  <c r="D627" i="8"/>
  <c r="F627" i="8" s="1"/>
  <c r="A629" i="8"/>
  <c r="C628" i="8"/>
  <c r="B628" i="8"/>
  <c r="E628" i="8" l="1"/>
  <c r="D628" i="8"/>
  <c r="A630" i="8"/>
  <c r="C629" i="8"/>
  <c r="B629" i="8"/>
  <c r="F628" i="8" l="1"/>
  <c r="E629" i="8"/>
  <c r="D629" i="8"/>
  <c r="F629" i="8" s="1"/>
  <c r="A631" i="8"/>
  <c r="C630" i="8"/>
  <c r="B630" i="8"/>
  <c r="E630" i="8" l="1"/>
  <c r="D630" i="8"/>
  <c r="F630" i="8" s="1"/>
  <c r="A632" i="8"/>
  <c r="C631" i="8"/>
  <c r="B631" i="8"/>
  <c r="E631" i="8" l="1"/>
  <c r="D631" i="8"/>
  <c r="A633" i="8"/>
  <c r="C632" i="8"/>
  <c r="B632" i="8"/>
  <c r="E632" i="8" l="1"/>
  <c r="D632" i="8"/>
  <c r="F632" i="8" s="1"/>
  <c r="F631" i="8"/>
  <c r="A634" i="8"/>
  <c r="C633" i="8"/>
  <c r="B633" i="8"/>
  <c r="E633" i="8" l="1"/>
  <c r="D633" i="8"/>
  <c r="F633" i="8" s="1"/>
  <c r="A635" i="8"/>
  <c r="C634" i="8"/>
  <c r="B634" i="8"/>
  <c r="E634" i="8" l="1"/>
  <c r="D634" i="8"/>
  <c r="F634" i="8" s="1"/>
  <c r="A636" i="8"/>
  <c r="C635" i="8"/>
  <c r="B635" i="8"/>
  <c r="E635" i="8" l="1"/>
  <c r="D635" i="8"/>
  <c r="F635" i="8" s="1"/>
  <c r="A637" i="8"/>
  <c r="C636" i="8"/>
  <c r="B636" i="8"/>
  <c r="E636" i="8" l="1"/>
  <c r="D636" i="8"/>
  <c r="F636" i="8" s="1"/>
  <c r="A638" i="8"/>
  <c r="C637" i="8"/>
  <c r="B637" i="8"/>
  <c r="E637" i="8" l="1"/>
  <c r="D637" i="8"/>
  <c r="F637" i="8" s="1"/>
  <c r="A639" i="8"/>
  <c r="C638" i="8"/>
  <c r="B638" i="8"/>
  <c r="E638" i="8" l="1"/>
  <c r="D638" i="8"/>
  <c r="F638" i="8" s="1"/>
  <c r="A640" i="8"/>
  <c r="C639" i="8"/>
  <c r="B639" i="8"/>
  <c r="E639" i="8" l="1"/>
  <c r="D639" i="8"/>
  <c r="F639" i="8" s="1"/>
  <c r="A641" i="8"/>
  <c r="C640" i="8"/>
  <c r="B640" i="8"/>
  <c r="E640" i="8" l="1"/>
  <c r="D640" i="8"/>
  <c r="A642" i="8"/>
  <c r="C641" i="8"/>
  <c r="B641" i="8"/>
  <c r="F640" i="8" l="1"/>
  <c r="E641" i="8"/>
  <c r="D641" i="8"/>
  <c r="A643" i="8"/>
  <c r="C642" i="8"/>
  <c r="B642" i="8"/>
  <c r="F641" i="8" l="1"/>
  <c r="E642" i="8"/>
  <c r="D642" i="8"/>
  <c r="F642" i="8" s="1"/>
  <c r="A644" i="8"/>
  <c r="C643" i="8"/>
  <c r="B643" i="8"/>
  <c r="E643" i="8" l="1"/>
  <c r="D643" i="8"/>
  <c r="F643" i="8" s="1"/>
  <c r="A645" i="8"/>
  <c r="C644" i="8"/>
  <c r="B644" i="8"/>
  <c r="E644" i="8" l="1"/>
  <c r="D644" i="8"/>
  <c r="A646" i="8"/>
  <c r="C645" i="8"/>
  <c r="B645" i="8"/>
  <c r="F644" i="8" l="1"/>
  <c r="E645" i="8"/>
  <c r="D645" i="8"/>
  <c r="F645" i="8" s="1"/>
  <c r="A647" i="8"/>
  <c r="C646" i="8"/>
  <c r="B646" i="8"/>
  <c r="E646" i="8" l="1"/>
  <c r="D646" i="8"/>
  <c r="F646" i="8" s="1"/>
  <c r="A648" i="8"/>
  <c r="C647" i="8"/>
  <c r="B647" i="8"/>
  <c r="E647" i="8" l="1"/>
  <c r="D647" i="8"/>
  <c r="F647" i="8" s="1"/>
  <c r="A649" i="8"/>
  <c r="C648" i="8"/>
  <c r="B648" i="8"/>
  <c r="E648" i="8" l="1"/>
  <c r="D648" i="8"/>
  <c r="F648" i="8" s="1"/>
  <c r="A650" i="8"/>
  <c r="C649" i="8"/>
  <c r="B649" i="8"/>
  <c r="E649" i="8" l="1"/>
  <c r="D649" i="8"/>
  <c r="F649" i="8" s="1"/>
  <c r="A651" i="8"/>
  <c r="C650" i="8"/>
  <c r="B650" i="8"/>
  <c r="E650" i="8" l="1"/>
  <c r="D650" i="8"/>
  <c r="F650" i="8" s="1"/>
  <c r="A652" i="8"/>
  <c r="C651" i="8"/>
  <c r="B651" i="8"/>
  <c r="E651" i="8" l="1"/>
  <c r="D651" i="8"/>
  <c r="F651" i="8" s="1"/>
  <c r="A653" i="8"/>
  <c r="C652" i="8"/>
  <c r="B652" i="8"/>
  <c r="E652" i="8" l="1"/>
  <c r="D652" i="8"/>
  <c r="F652" i="8" s="1"/>
  <c r="A654" i="8"/>
  <c r="C653" i="8"/>
  <c r="B653" i="8"/>
  <c r="E653" i="8" l="1"/>
  <c r="D653" i="8"/>
  <c r="A655" i="8"/>
  <c r="C654" i="8"/>
  <c r="B654" i="8"/>
  <c r="F653" i="8" l="1"/>
  <c r="E654" i="8"/>
  <c r="D654" i="8"/>
  <c r="F654" i="8" s="1"/>
  <c r="A656" i="8"/>
  <c r="C655" i="8"/>
  <c r="B655" i="8"/>
  <c r="E655" i="8" l="1"/>
  <c r="D655" i="8"/>
  <c r="F655" i="8" s="1"/>
  <c r="A657" i="8"/>
  <c r="C656" i="8"/>
  <c r="B656" i="8"/>
  <c r="E656" i="8" l="1"/>
  <c r="D656" i="8"/>
  <c r="F656" i="8" s="1"/>
  <c r="A658" i="8"/>
  <c r="C657" i="8"/>
  <c r="B657" i="8"/>
  <c r="E657" i="8" l="1"/>
  <c r="D657" i="8"/>
  <c r="A659" i="8"/>
  <c r="C658" i="8"/>
  <c r="B658" i="8"/>
  <c r="F657" i="8" l="1"/>
  <c r="E658" i="8"/>
  <c r="D658" i="8"/>
  <c r="F658" i="8" s="1"/>
  <c r="A660" i="8"/>
  <c r="C659" i="8"/>
  <c r="B659" i="8"/>
  <c r="E659" i="8" l="1"/>
  <c r="D659" i="8"/>
  <c r="F659" i="8" s="1"/>
  <c r="A661" i="8"/>
  <c r="C660" i="8"/>
  <c r="B660" i="8"/>
  <c r="E660" i="8" l="1"/>
  <c r="D660" i="8"/>
  <c r="A662" i="8"/>
  <c r="C661" i="8"/>
  <c r="B661" i="8"/>
  <c r="F660" i="8" l="1"/>
  <c r="E661" i="8"/>
  <c r="D661" i="8"/>
  <c r="A663" i="8"/>
  <c r="C662" i="8"/>
  <c r="B662" i="8"/>
  <c r="F661" i="8" l="1"/>
  <c r="E662" i="8"/>
  <c r="D662" i="8"/>
  <c r="A664" i="8"/>
  <c r="C663" i="8"/>
  <c r="B663" i="8"/>
  <c r="F662" i="8" l="1"/>
  <c r="E663" i="8"/>
  <c r="D663" i="8"/>
  <c r="A665" i="8"/>
  <c r="C664" i="8"/>
  <c r="B664" i="8"/>
  <c r="F663" i="8" l="1"/>
  <c r="E664" i="8"/>
  <c r="D664" i="8"/>
  <c r="F664" i="8" s="1"/>
  <c r="A666" i="8"/>
  <c r="C665" i="8"/>
  <c r="B665" i="8"/>
  <c r="E665" i="8" l="1"/>
  <c r="D665" i="8"/>
  <c r="F665" i="8" s="1"/>
  <c r="A667" i="8"/>
  <c r="C666" i="8"/>
  <c r="B666" i="8"/>
  <c r="E666" i="8" l="1"/>
  <c r="D666" i="8"/>
  <c r="A668" i="8"/>
  <c r="C667" i="8"/>
  <c r="B667" i="8"/>
  <c r="F666" i="8" l="1"/>
  <c r="E667" i="8"/>
  <c r="D667" i="8"/>
  <c r="F667" i="8" s="1"/>
  <c r="A669" i="8"/>
  <c r="C668" i="8"/>
  <c r="B668" i="8"/>
  <c r="E668" i="8" l="1"/>
  <c r="D668" i="8"/>
  <c r="F668" i="8" s="1"/>
  <c r="A670" i="8"/>
  <c r="C669" i="8"/>
  <c r="B669" i="8"/>
  <c r="E669" i="8" l="1"/>
  <c r="D669" i="8"/>
  <c r="F669" i="8" s="1"/>
  <c r="A671" i="8"/>
  <c r="C670" i="8"/>
  <c r="B670" i="8"/>
  <c r="E670" i="8" l="1"/>
  <c r="D670" i="8"/>
  <c r="A672" i="8"/>
  <c r="C671" i="8"/>
  <c r="B671" i="8"/>
  <c r="E671" i="8" l="1"/>
  <c r="D671" i="8"/>
  <c r="F671" i="8" s="1"/>
  <c r="F670" i="8"/>
  <c r="A673" i="8"/>
  <c r="C672" i="8"/>
  <c r="B672" i="8"/>
  <c r="E672" i="8" l="1"/>
  <c r="D672" i="8"/>
  <c r="F672" i="8" s="1"/>
  <c r="A674" i="8"/>
  <c r="C673" i="8"/>
  <c r="B673" i="8"/>
  <c r="E673" i="8" l="1"/>
  <c r="D673" i="8"/>
  <c r="F673" i="8" s="1"/>
  <c r="A675" i="8"/>
  <c r="C674" i="8"/>
  <c r="B674" i="8"/>
  <c r="E674" i="8" l="1"/>
  <c r="D674" i="8"/>
  <c r="A676" i="8"/>
  <c r="C675" i="8"/>
  <c r="B675" i="8"/>
  <c r="E675" i="8" l="1"/>
  <c r="D675" i="8"/>
  <c r="F674" i="8"/>
  <c r="A677" i="8"/>
  <c r="C676" i="8"/>
  <c r="B676" i="8"/>
  <c r="F675" i="8" l="1"/>
  <c r="E676" i="8"/>
  <c r="D676" i="8"/>
  <c r="F676" i="8" s="1"/>
  <c r="A678" i="8"/>
  <c r="C677" i="8"/>
  <c r="B677" i="8"/>
  <c r="E677" i="8" l="1"/>
  <c r="D677" i="8"/>
  <c r="F677" i="8" s="1"/>
  <c r="A679" i="8"/>
  <c r="C678" i="8"/>
  <c r="B678" i="8"/>
  <c r="E678" i="8" l="1"/>
  <c r="D678" i="8"/>
  <c r="F678" i="8" s="1"/>
  <c r="A680" i="8"/>
  <c r="C679" i="8"/>
  <c r="B679" i="8"/>
  <c r="E679" i="8" l="1"/>
  <c r="D679" i="8"/>
  <c r="A681" i="8"/>
  <c r="C680" i="8"/>
  <c r="B680" i="8"/>
  <c r="E680" i="8" l="1"/>
  <c r="D680" i="8"/>
  <c r="F680" i="8" s="1"/>
  <c r="F679" i="8"/>
  <c r="A682" i="8"/>
  <c r="C681" i="8"/>
  <c r="B681" i="8"/>
  <c r="E681" i="8" l="1"/>
  <c r="D681" i="8"/>
  <c r="A683" i="8"/>
  <c r="C682" i="8"/>
  <c r="B682" i="8"/>
  <c r="F681" i="8" l="1"/>
  <c r="E682" i="8"/>
  <c r="D682" i="8"/>
  <c r="A684" i="8"/>
  <c r="C683" i="8"/>
  <c r="B683" i="8"/>
  <c r="F682" i="8" l="1"/>
  <c r="E683" i="8"/>
  <c r="D683" i="8"/>
  <c r="F683" i="8" s="1"/>
  <c r="A685" i="8"/>
  <c r="C684" i="8"/>
  <c r="B684" i="8"/>
  <c r="E684" i="8" l="1"/>
  <c r="D684" i="8"/>
  <c r="F684" i="8" s="1"/>
  <c r="A686" i="8"/>
  <c r="C685" i="8"/>
  <c r="B685" i="8"/>
  <c r="E685" i="8" l="1"/>
  <c r="D685" i="8"/>
  <c r="F685" i="8" s="1"/>
  <c r="A687" i="8"/>
  <c r="C686" i="8"/>
  <c r="B686" i="8"/>
  <c r="E686" i="8" l="1"/>
  <c r="D686" i="8"/>
  <c r="A688" i="8"/>
  <c r="C687" i="8"/>
  <c r="B687" i="8"/>
  <c r="F686" i="8" l="1"/>
  <c r="E687" i="8"/>
  <c r="D687" i="8"/>
  <c r="F687" i="8" s="1"/>
  <c r="A689" i="8"/>
  <c r="C688" i="8"/>
  <c r="B688" i="8"/>
  <c r="E688" i="8" l="1"/>
  <c r="D688" i="8"/>
  <c r="F688" i="8" s="1"/>
  <c r="A690" i="8"/>
  <c r="C689" i="8"/>
  <c r="B689" i="8"/>
  <c r="E689" i="8" l="1"/>
  <c r="D689" i="8"/>
  <c r="F689" i="8" s="1"/>
  <c r="A691" i="8"/>
  <c r="C690" i="8"/>
  <c r="B690" i="8"/>
  <c r="E690" i="8" l="1"/>
  <c r="D690" i="8"/>
  <c r="F690" i="8" s="1"/>
  <c r="A692" i="8"/>
  <c r="C691" i="8"/>
  <c r="B691" i="8"/>
  <c r="E691" i="8" l="1"/>
  <c r="D691" i="8"/>
  <c r="A693" i="8"/>
  <c r="C692" i="8"/>
  <c r="B692" i="8"/>
  <c r="F691" i="8" l="1"/>
  <c r="E692" i="8"/>
  <c r="D692" i="8"/>
  <c r="F692" i="8" s="1"/>
  <c r="A694" i="8"/>
  <c r="C693" i="8"/>
  <c r="B693" i="8"/>
  <c r="E693" i="8" l="1"/>
  <c r="D693" i="8"/>
  <c r="F693" i="8" s="1"/>
  <c r="A695" i="8"/>
  <c r="C694" i="8"/>
  <c r="B694" i="8"/>
  <c r="E694" i="8" l="1"/>
  <c r="D694" i="8"/>
  <c r="F694" i="8" s="1"/>
  <c r="A696" i="8"/>
  <c r="C695" i="8"/>
  <c r="B695" i="8"/>
  <c r="E695" i="8" l="1"/>
  <c r="D695" i="8"/>
  <c r="F695" i="8" s="1"/>
  <c r="A697" i="8"/>
  <c r="C696" i="8"/>
  <c r="B696" i="8"/>
  <c r="E696" i="8" l="1"/>
  <c r="D696" i="8"/>
  <c r="F696" i="8" s="1"/>
  <c r="A698" i="8"/>
  <c r="C697" i="8"/>
  <c r="B697" i="8"/>
  <c r="E697" i="8" l="1"/>
  <c r="D697" i="8"/>
  <c r="F697" i="8" s="1"/>
  <c r="A699" i="8"/>
  <c r="C698" i="8"/>
  <c r="B698" i="8"/>
  <c r="E698" i="8" l="1"/>
  <c r="D698" i="8"/>
  <c r="F698" i="8" s="1"/>
  <c r="A700" i="8"/>
  <c r="C699" i="8"/>
  <c r="B699" i="8"/>
  <c r="E699" i="8" l="1"/>
  <c r="D699" i="8"/>
  <c r="F699" i="8" s="1"/>
  <c r="A701" i="8"/>
  <c r="C700" i="8"/>
  <c r="B700" i="8"/>
  <c r="E700" i="8" l="1"/>
  <c r="D700" i="8"/>
  <c r="F700" i="8" s="1"/>
  <c r="A702" i="8"/>
  <c r="C701" i="8"/>
  <c r="B701" i="8"/>
  <c r="E701" i="8" l="1"/>
  <c r="D701" i="8"/>
  <c r="A703" i="8"/>
  <c r="C702" i="8"/>
  <c r="B702" i="8"/>
  <c r="E702" i="8" l="1"/>
  <c r="D702" i="8"/>
  <c r="F701" i="8"/>
  <c r="A704" i="8"/>
  <c r="C703" i="8"/>
  <c r="B703" i="8"/>
  <c r="F702" i="8" l="1"/>
  <c r="E703" i="8"/>
  <c r="D703" i="8"/>
  <c r="A705" i="8"/>
  <c r="C704" i="8"/>
  <c r="B704" i="8"/>
  <c r="E704" i="8" l="1"/>
  <c r="D704" i="8"/>
  <c r="F704" i="8" s="1"/>
  <c r="F703" i="8"/>
  <c r="A706" i="8"/>
  <c r="C705" i="8"/>
  <c r="B705" i="8"/>
  <c r="E705" i="8" l="1"/>
  <c r="D705" i="8"/>
  <c r="F705" i="8" s="1"/>
  <c r="A707" i="8"/>
  <c r="C706" i="8"/>
  <c r="B706" i="8"/>
  <c r="E706" i="8" l="1"/>
  <c r="D706" i="8"/>
  <c r="F706" i="8" s="1"/>
  <c r="A708" i="8"/>
  <c r="C707" i="8"/>
  <c r="B707" i="8"/>
  <c r="E707" i="8" l="1"/>
  <c r="D707" i="8"/>
  <c r="A709" i="8"/>
  <c r="C708" i="8"/>
  <c r="B708" i="8"/>
  <c r="F707" i="8" l="1"/>
  <c r="E708" i="8"/>
  <c r="D708" i="8"/>
  <c r="F708" i="8" s="1"/>
  <c r="A710" i="8"/>
  <c r="C709" i="8"/>
  <c r="B709" i="8"/>
  <c r="E709" i="8" l="1"/>
  <c r="D709" i="8"/>
  <c r="F709" i="8" s="1"/>
  <c r="A711" i="8"/>
  <c r="C710" i="8"/>
  <c r="B710" i="8"/>
  <c r="E710" i="8" l="1"/>
  <c r="D710" i="8"/>
  <c r="F710" i="8" s="1"/>
  <c r="A712" i="8"/>
  <c r="C711" i="8"/>
  <c r="B711" i="8"/>
  <c r="E711" i="8" l="1"/>
  <c r="D711" i="8"/>
  <c r="F711" i="8" s="1"/>
  <c r="A713" i="8"/>
  <c r="C712" i="8"/>
  <c r="B712" i="8"/>
  <c r="E712" i="8" l="1"/>
  <c r="D712" i="8"/>
  <c r="A714" i="8"/>
  <c r="C713" i="8"/>
  <c r="B713" i="8"/>
  <c r="F712" i="8" l="1"/>
  <c r="E713" i="8"/>
  <c r="D713" i="8"/>
  <c r="F713" i="8" s="1"/>
  <c r="A715" i="8"/>
  <c r="C714" i="8"/>
  <c r="B714" i="8"/>
  <c r="E714" i="8" l="1"/>
  <c r="D714" i="8"/>
  <c r="F714" i="8" s="1"/>
  <c r="A716" i="8"/>
  <c r="C715" i="8"/>
  <c r="B715" i="8"/>
  <c r="E715" i="8" l="1"/>
  <c r="D715" i="8"/>
  <c r="A717" i="8"/>
  <c r="C716" i="8"/>
  <c r="B716" i="8"/>
  <c r="E716" i="8" l="1"/>
  <c r="D716" i="8"/>
  <c r="F716" i="8" s="1"/>
  <c r="F715" i="8"/>
  <c r="A718" i="8"/>
  <c r="C717" i="8"/>
  <c r="B717" i="8"/>
  <c r="E717" i="8" l="1"/>
  <c r="D717" i="8"/>
  <c r="F717" i="8" s="1"/>
  <c r="A719" i="8"/>
  <c r="C718" i="8"/>
  <c r="B718" i="8"/>
  <c r="E718" i="8" l="1"/>
  <c r="D718" i="8"/>
  <c r="F718" i="8" s="1"/>
  <c r="A720" i="8"/>
  <c r="C719" i="8"/>
  <c r="B719" i="8"/>
  <c r="E719" i="8" l="1"/>
  <c r="D719" i="8"/>
  <c r="F719" i="8" s="1"/>
  <c r="A721" i="8"/>
  <c r="C720" i="8"/>
  <c r="B720" i="8"/>
  <c r="E720" i="8" l="1"/>
  <c r="D720" i="8"/>
  <c r="F720" i="8" s="1"/>
  <c r="A722" i="8"/>
  <c r="C721" i="8"/>
  <c r="B721" i="8"/>
  <c r="E721" i="8" l="1"/>
  <c r="D721" i="8"/>
  <c r="F721" i="8" s="1"/>
  <c r="A723" i="8"/>
  <c r="C722" i="8"/>
  <c r="B722" i="8"/>
  <c r="E722" i="8" l="1"/>
  <c r="D722" i="8"/>
  <c r="A724" i="8"/>
  <c r="C723" i="8"/>
  <c r="B723" i="8"/>
  <c r="E723" i="8" l="1"/>
  <c r="D723" i="8"/>
  <c r="F723" i="8" s="1"/>
  <c r="F722" i="8"/>
  <c r="A725" i="8"/>
  <c r="C724" i="8"/>
  <c r="B724" i="8"/>
  <c r="E724" i="8" l="1"/>
  <c r="D724" i="8"/>
  <c r="F724" i="8" s="1"/>
  <c r="A726" i="8"/>
  <c r="C725" i="8"/>
  <c r="B725" i="8"/>
  <c r="E725" i="8" l="1"/>
  <c r="D725" i="8"/>
  <c r="F725" i="8" s="1"/>
  <c r="A727" i="8"/>
  <c r="C726" i="8"/>
  <c r="B726" i="8"/>
  <c r="E726" i="8" l="1"/>
  <c r="D726" i="8"/>
  <c r="F726" i="8" s="1"/>
  <c r="A728" i="8"/>
  <c r="C727" i="8"/>
  <c r="B727" i="8"/>
  <c r="E727" i="8" l="1"/>
  <c r="D727" i="8"/>
  <c r="A729" i="8"/>
  <c r="C728" i="8"/>
  <c r="B728" i="8"/>
  <c r="F727" i="8" l="1"/>
  <c r="E728" i="8"/>
  <c r="D728" i="8"/>
  <c r="F728" i="8" s="1"/>
  <c r="A730" i="8"/>
  <c r="C729" i="8"/>
  <c r="B729" i="8"/>
  <c r="E729" i="8" l="1"/>
  <c r="D729" i="8"/>
  <c r="F729" i="8" s="1"/>
  <c r="A731" i="8"/>
  <c r="C730" i="8"/>
  <c r="B730" i="8"/>
  <c r="E730" i="8" l="1"/>
  <c r="D730" i="8"/>
  <c r="F730" i="8" s="1"/>
  <c r="A732" i="8"/>
  <c r="C731" i="8"/>
  <c r="B731" i="8"/>
  <c r="E731" i="8" l="1"/>
  <c r="D731" i="8"/>
  <c r="A733" i="8"/>
  <c r="C732" i="8"/>
  <c r="B732" i="8"/>
  <c r="E732" i="8" l="1"/>
  <c r="D732" i="8"/>
  <c r="F732" i="8" s="1"/>
  <c r="F731" i="8"/>
  <c r="A734" i="8"/>
  <c r="C733" i="8"/>
  <c r="B733" i="8"/>
  <c r="E733" i="8" l="1"/>
  <c r="D733" i="8"/>
  <c r="F733" i="8" s="1"/>
  <c r="A735" i="8"/>
  <c r="C734" i="8"/>
  <c r="B734" i="8"/>
  <c r="E734" i="8" l="1"/>
  <c r="D734" i="8"/>
  <c r="F734" i="8" s="1"/>
  <c r="A736" i="8"/>
  <c r="C735" i="8"/>
  <c r="B735" i="8"/>
  <c r="E735" i="8" l="1"/>
  <c r="D735" i="8"/>
  <c r="A737" i="8"/>
  <c r="C736" i="8"/>
  <c r="B736" i="8"/>
  <c r="E736" i="8" l="1"/>
  <c r="D736" i="8"/>
  <c r="F736" i="8" s="1"/>
  <c r="F735" i="8"/>
  <c r="A738" i="8"/>
  <c r="C737" i="8"/>
  <c r="B737" i="8"/>
  <c r="E737" i="8" l="1"/>
  <c r="D737" i="8"/>
  <c r="A739" i="8"/>
  <c r="C738" i="8"/>
  <c r="B738" i="8"/>
  <c r="F737" i="8" l="1"/>
  <c r="E738" i="8"/>
  <c r="D738" i="8"/>
  <c r="F738" i="8" s="1"/>
  <c r="A740" i="8"/>
  <c r="C739" i="8"/>
  <c r="B739" i="8"/>
  <c r="E739" i="8" l="1"/>
  <c r="D739" i="8"/>
  <c r="F739" i="8" s="1"/>
  <c r="A741" i="8"/>
  <c r="C740" i="8"/>
  <c r="B740" i="8"/>
  <c r="E740" i="8" l="1"/>
  <c r="D740" i="8"/>
  <c r="F740" i="8" s="1"/>
  <c r="A742" i="8"/>
  <c r="C741" i="8"/>
  <c r="B741" i="8"/>
  <c r="E741" i="8" l="1"/>
  <c r="D741" i="8"/>
  <c r="F741" i="8" s="1"/>
  <c r="A743" i="8"/>
  <c r="C742" i="8"/>
  <c r="B742" i="8"/>
  <c r="E742" i="8" l="1"/>
  <c r="D742" i="8"/>
  <c r="F742" i="8" s="1"/>
  <c r="A744" i="8"/>
  <c r="C743" i="8"/>
  <c r="B743" i="8"/>
  <c r="E743" i="8" l="1"/>
  <c r="D743" i="8"/>
  <c r="F743" i="8" s="1"/>
  <c r="A745" i="8"/>
  <c r="C744" i="8"/>
  <c r="B744" i="8"/>
  <c r="E744" i="8" l="1"/>
  <c r="D744" i="8"/>
  <c r="A746" i="8"/>
  <c r="C745" i="8"/>
  <c r="B745" i="8"/>
  <c r="E745" i="8" l="1"/>
  <c r="D745" i="8"/>
  <c r="F745" i="8" s="1"/>
  <c r="F744" i="8"/>
  <c r="A747" i="8"/>
  <c r="C746" i="8"/>
  <c r="B746" i="8"/>
  <c r="E746" i="8" l="1"/>
  <c r="D746" i="8"/>
  <c r="F746" i="8" s="1"/>
  <c r="A748" i="8"/>
  <c r="C747" i="8"/>
  <c r="B747" i="8"/>
  <c r="E747" i="8" l="1"/>
  <c r="D747" i="8"/>
  <c r="F747" i="8" s="1"/>
  <c r="A749" i="8"/>
  <c r="C748" i="8"/>
  <c r="B748" i="8"/>
  <c r="E748" i="8" l="1"/>
  <c r="D748" i="8"/>
  <c r="A750" i="8"/>
  <c r="C749" i="8"/>
  <c r="B749" i="8"/>
  <c r="F748" i="8" l="1"/>
  <c r="E749" i="8"/>
  <c r="D749" i="8"/>
  <c r="F749" i="8" s="1"/>
  <c r="A751" i="8"/>
  <c r="C750" i="8"/>
  <c r="B750" i="8"/>
  <c r="E750" i="8" l="1"/>
  <c r="D750" i="8"/>
  <c r="F750" i="8" s="1"/>
  <c r="A752" i="8"/>
  <c r="C751" i="8"/>
  <c r="B751" i="8"/>
  <c r="E751" i="8" l="1"/>
  <c r="D751" i="8"/>
  <c r="F751" i="8" s="1"/>
  <c r="A753" i="8"/>
  <c r="C752" i="8"/>
  <c r="B752" i="8"/>
  <c r="E752" i="8" l="1"/>
  <c r="D752" i="8"/>
  <c r="F752" i="8" s="1"/>
  <c r="A754" i="8"/>
  <c r="C753" i="8"/>
  <c r="B753" i="8"/>
  <c r="E753" i="8" l="1"/>
  <c r="D753" i="8"/>
  <c r="F753" i="8" s="1"/>
  <c r="A755" i="8"/>
  <c r="C754" i="8"/>
  <c r="B754" i="8"/>
  <c r="E754" i="8" l="1"/>
  <c r="D754" i="8"/>
  <c r="A756" i="8"/>
  <c r="C755" i="8"/>
  <c r="B755" i="8"/>
  <c r="F754" i="8" l="1"/>
  <c r="E755" i="8"/>
  <c r="D755" i="8"/>
  <c r="F755" i="8" s="1"/>
  <c r="A757" i="8"/>
  <c r="C756" i="8"/>
  <c r="B756" i="8"/>
  <c r="E756" i="8" l="1"/>
  <c r="D756" i="8"/>
  <c r="A758" i="8"/>
  <c r="C757" i="8"/>
  <c r="B757" i="8"/>
  <c r="F756" i="8" l="1"/>
  <c r="E757" i="8"/>
  <c r="D757" i="8"/>
  <c r="F757" i="8" s="1"/>
  <c r="A759" i="8"/>
  <c r="C758" i="8"/>
  <c r="B758" i="8"/>
  <c r="E758" i="8" l="1"/>
  <c r="D758" i="8"/>
  <c r="F758" i="8" s="1"/>
  <c r="A760" i="8"/>
  <c r="C759" i="8"/>
  <c r="B759" i="8"/>
  <c r="E759" i="8" l="1"/>
  <c r="D759" i="8"/>
  <c r="F759" i="8" s="1"/>
  <c r="A761" i="8"/>
  <c r="C760" i="8"/>
  <c r="B760" i="8"/>
  <c r="E760" i="8" l="1"/>
  <c r="D760" i="8"/>
  <c r="F760" i="8" s="1"/>
  <c r="A762" i="8"/>
  <c r="C761" i="8"/>
  <c r="B761" i="8"/>
  <c r="E761" i="8" l="1"/>
  <c r="D761" i="8"/>
  <c r="F761" i="8" s="1"/>
  <c r="A763" i="8"/>
  <c r="C762" i="8"/>
  <c r="B762" i="8"/>
  <c r="E762" i="8" l="1"/>
  <c r="D762" i="8"/>
  <c r="F762" i="8" s="1"/>
  <c r="A764" i="8"/>
  <c r="C763" i="8"/>
  <c r="B763" i="8"/>
  <c r="E763" i="8" l="1"/>
  <c r="D763" i="8"/>
  <c r="A765" i="8"/>
  <c r="C764" i="8"/>
  <c r="B764" i="8"/>
  <c r="F763" i="8" l="1"/>
  <c r="E764" i="8"/>
  <c r="D764" i="8"/>
  <c r="A766" i="8"/>
  <c r="C765" i="8"/>
  <c r="B765" i="8"/>
  <c r="F764" i="8" l="1"/>
  <c r="E765" i="8"/>
  <c r="D765" i="8"/>
  <c r="F765" i="8" s="1"/>
  <c r="A767" i="8"/>
  <c r="C766" i="8"/>
  <c r="B766" i="8"/>
  <c r="E766" i="8" l="1"/>
  <c r="D766" i="8"/>
  <c r="F766" i="8" s="1"/>
  <c r="A768" i="8"/>
  <c r="C767" i="8"/>
  <c r="B767" i="8"/>
  <c r="E767" i="8" l="1"/>
  <c r="D767" i="8"/>
  <c r="F767" i="8" s="1"/>
  <c r="A769" i="8"/>
  <c r="C768" i="8"/>
  <c r="B768" i="8"/>
  <c r="E768" i="8" l="1"/>
  <c r="D768" i="8"/>
  <c r="A770" i="8"/>
  <c r="C769" i="8"/>
  <c r="B769" i="8"/>
  <c r="F768" i="8" l="1"/>
  <c r="E769" i="8"/>
  <c r="D769" i="8"/>
  <c r="F769" i="8" s="1"/>
  <c r="A771" i="8"/>
  <c r="C770" i="8"/>
  <c r="B770" i="8"/>
  <c r="E770" i="8" l="1"/>
  <c r="D770" i="8"/>
  <c r="F770" i="8" s="1"/>
  <c r="A772" i="8"/>
  <c r="C771" i="8"/>
  <c r="B771" i="8"/>
  <c r="E771" i="8" l="1"/>
  <c r="D771" i="8"/>
  <c r="F771" i="8" s="1"/>
  <c r="A773" i="8"/>
  <c r="C772" i="8"/>
  <c r="B772" i="8"/>
  <c r="E772" i="8" l="1"/>
  <c r="D772" i="8"/>
  <c r="A774" i="8"/>
  <c r="C773" i="8"/>
  <c r="B773" i="8"/>
  <c r="F772" i="8" l="1"/>
  <c r="E773" i="8"/>
  <c r="D773" i="8"/>
  <c r="F773" i="8" s="1"/>
  <c r="A775" i="8"/>
  <c r="C774" i="8"/>
  <c r="B774" i="8"/>
  <c r="E774" i="8" l="1"/>
  <c r="D774" i="8"/>
  <c r="F774" i="8" s="1"/>
  <c r="A776" i="8"/>
  <c r="C775" i="8"/>
  <c r="B775" i="8"/>
  <c r="E775" i="8" l="1"/>
  <c r="D775" i="8"/>
  <c r="F775" i="8" s="1"/>
  <c r="A777" i="8"/>
  <c r="C776" i="8"/>
  <c r="B776" i="8"/>
  <c r="E776" i="8" l="1"/>
  <c r="D776" i="8"/>
  <c r="F776" i="8" s="1"/>
  <c r="A778" i="8"/>
  <c r="C777" i="8"/>
  <c r="B777" i="8"/>
  <c r="E777" i="8" l="1"/>
  <c r="D777" i="8"/>
  <c r="F777" i="8" s="1"/>
  <c r="A779" i="8"/>
  <c r="C778" i="8"/>
  <c r="B778" i="8"/>
  <c r="E778" i="8" l="1"/>
  <c r="D778" i="8"/>
  <c r="F778" i="8" s="1"/>
  <c r="A780" i="8"/>
  <c r="C779" i="8"/>
  <c r="B779" i="8"/>
  <c r="E779" i="8" l="1"/>
  <c r="D779" i="8"/>
  <c r="F779" i="8" s="1"/>
  <c r="A781" i="8"/>
  <c r="C780" i="8"/>
  <c r="B780" i="8"/>
  <c r="E780" i="8" l="1"/>
  <c r="D780" i="8"/>
  <c r="F780" i="8" s="1"/>
  <c r="A782" i="8"/>
  <c r="C781" i="8"/>
  <c r="B781" i="8"/>
  <c r="E781" i="8" l="1"/>
  <c r="D781" i="8"/>
  <c r="F781" i="8" s="1"/>
  <c r="A783" i="8"/>
  <c r="C782" i="8"/>
  <c r="B782" i="8"/>
  <c r="E782" i="8" l="1"/>
  <c r="D782" i="8"/>
  <c r="F782" i="8" s="1"/>
  <c r="A784" i="8"/>
  <c r="C783" i="8"/>
  <c r="B783" i="8"/>
  <c r="E783" i="8" l="1"/>
  <c r="D783" i="8"/>
  <c r="F783" i="8" s="1"/>
  <c r="A785" i="8"/>
  <c r="C784" i="8"/>
  <c r="B784" i="8"/>
  <c r="E784" i="8" l="1"/>
  <c r="D784" i="8"/>
  <c r="F784" i="8" s="1"/>
  <c r="A786" i="8"/>
  <c r="C785" i="8"/>
  <c r="B785" i="8"/>
  <c r="E785" i="8" l="1"/>
  <c r="D785" i="8"/>
  <c r="F785" i="8" s="1"/>
  <c r="A787" i="8"/>
  <c r="C786" i="8"/>
  <c r="B786" i="8"/>
  <c r="E786" i="8" l="1"/>
  <c r="D786" i="8"/>
  <c r="F786" i="8" s="1"/>
  <c r="A788" i="8"/>
  <c r="C787" i="8"/>
  <c r="B787" i="8"/>
  <c r="E787" i="8" l="1"/>
  <c r="D787" i="8"/>
  <c r="F787" i="8" s="1"/>
  <c r="A789" i="8"/>
  <c r="C788" i="8"/>
  <c r="B788" i="8"/>
  <c r="E788" i="8" l="1"/>
  <c r="D788" i="8"/>
  <c r="A790" i="8"/>
  <c r="C789" i="8"/>
  <c r="B789" i="8"/>
  <c r="F788" i="8" l="1"/>
  <c r="E789" i="8"/>
  <c r="D789" i="8"/>
  <c r="F789" i="8" s="1"/>
  <c r="A791" i="8"/>
  <c r="C790" i="8"/>
  <c r="B790" i="8"/>
  <c r="E790" i="8" l="1"/>
  <c r="D790" i="8"/>
  <c r="A792" i="8"/>
  <c r="C791" i="8"/>
  <c r="B791" i="8"/>
  <c r="F790" i="8" l="1"/>
  <c r="E791" i="8"/>
  <c r="D791" i="8"/>
  <c r="F791" i="8" s="1"/>
  <c r="A793" i="8"/>
  <c r="C792" i="8"/>
  <c r="B792" i="8"/>
  <c r="E792" i="8" l="1"/>
  <c r="D792" i="8"/>
  <c r="F792" i="8" s="1"/>
  <c r="A794" i="8"/>
  <c r="C793" i="8"/>
  <c r="B793" i="8"/>
  <c r="E793" i="8" l="1"/>
  <c r="D793" i="8"/>
  <c r="A795" i="8"/>
  <c r="C794" i="8"/>
  <c r="B794" i="8"/>
  <c r="F793" i="8" l="1"/>
  <c r="E794" i="8"/>
  <c r="D794" i="8"/>
  <c r="F794" i="8" s="1"/>
  <c r="A796" i="8"/>
  <c r="C795" i="8"/>
  <c r="B795" i="8"/>
  <c r="E795" i="8" l="1"/>
  <c r="D795" i="8"/>
  <c r="F795" i="8" s="1"/>
  <c r="A797" i="8"/>
  <c r="C796" i="8"/>
  <c r="B796" i="8"/>
  <c r="E796" i="8" l="1"/>
  <c r="D796" i="8"/>
  <c r="F796" i="8" s="1"/>
  <c r="A798" i="8"/>
  <c r="C797" i="8"/>
  <c r="B797" i="8"/>
  <c r="E797" i="8" l="1"/>
  <c r="D797" i="8"/>
  <c r="A799" i="8"/>
  <c r="C798" i="8"/>
  <c r="B798" i="8"/>
  <c r="E798" i="8" l="1"/>
  <c r="D798" i="8"/>
  <c r="F798" i="8" s="1"/>
  <c r="F797" i="8"/>
  <c r="A800" i="8"/>
  <c r="C799" i="8"/>
  <c r="B799" i="8"/>
  <c r="E799" i="8" l="1"/>
  <c r="D799" i="8"/>
  <c r="A801" i="8"/>
  <c r="C800" i="8"/>
  <c r="B800" i="8"/>
  <c r="F799" i="8" l="1"/>
  <c r="E800" i="8"/>
  <c r="D800" i="8"/>
  <c r="A802" i="8"/>
  <c r="C801" i="8"/>
  <c r="B801" i="8"/>
  <c r="F800" i="8" l="1"/>
  <c r="E801" i="8"/>
  <c r="D801" i="8"/>
  <c r="F801" i="8" s="1"/>
  <c r="A803" i="8"/>
  <c r="C802" i="8"/>
  <c r="B802" i="8"/>
  <c r="E802" i="8" l="1"/>
  <c r="D802" i="8"/>
  <c r="F802" i="8" s="1"/>
  <c r="A804" i="8"/>
  <c r="C803" i="8"/>
  <c r="B803" i="8"/>
  <c r="E803" i="8" l="1"/>
  <c r="D803" i="8"/>
  <c r="F803" i="8" s="1"/>
  <c r="A805" i="8"/>
  <c r="C804" i="8"/>
  <c r="B804" i="8"/>
  <c r="E804" i="8" l="1"/>
  <c r="D804" i="8"/>
  <c r="F804" i="8" s="1"/>
  <c r="A806" i="8"/>
  <c r="C805" i="8"/>
  <c r="B805" i="8"/>
  <c r="E805" i="8" l="1"/>
  <c r="D805" i="8"/>
  <c r="F805" i="8" s="1"/>
  <c r="A807" i="8"/>
  <c r="C806" i="8"/>
  <c r="B806" i="8"/>
  <c r="E806" i="8" l="1"/>
  <c r="D806" i="8"/>
  <c r="F806" i="8" s="1"/>
  <c r="A808" i="8"/>
  <c r="C807" i="8"/>
  <c r="B807" i="8"/>
  <c r="E807" i="8" l="1"/>
  <c r="D807" i="8"/>
  <c r="F807" i="8" s="1"/>
  <c r="A809" i="8"/>
  <c r="C808" i="8"/>
  <c r="B808" i="8"/>
  <c r="E808" i="8" l="1"/>
  <c r="D808" i="8"/>
  <c r="F808" i="8" s="1"/>
  <c r="A810" i="8"/>
  <c r="C809" i="8"/>
  <c r="B809" i="8"/>
  <c r="E809" i="8" l="1"/>
  <c r="D809" i="8"/>
  <c r="F809" i="8" s="1"/>
  <c r="A811" i="8"/>
  <c r="C810" i="8"/>
  <c r="B810" i="8"/>
  <c r="E810" i="8" l="1"/>
  <c r="D810" i="8"/>
  <c r="F810" i="8" s="1"/>
  <c r="A812" i="8"/>
  <c r="C811" i="8"/>
  <c r="B811" i="8"/>
  <c r="E811" i="8" l="1"/>
  <c r="D811" i="8"/>
  <c r="F811" i="8" s="1"/>
  <c r="A813" i="8"/>
  <c r="C812" i="8"/>
  <c r="B812" i="8"/>
  <c r="E812" i="8" l="1"/>
  <c r="D812" i="8"/>
  <c r="A814" i="8"/>
  <c r="C813" i="8"/>
  <c r="B813" i="8"/>
  <c r="F812" i="8" l="1"/>
  <c r="E813" i="8"/>
  <c r="D813" i="8"/>
  <c r="F813" i="8" s="1"/>
  <c r="A815" i="8"/>
  <c r="C814" i="8"/>
  <c r="B814" i="8"/>
  <c r="E814" i="8" l="1"/>
  <c r="D814" i="8"/>
  <c r="F814" i="8" s="1"/>
  <c r="A816" i="8"/>
  <c r="C815" i="8"/>
  <c r="B815" i="8"/>
  <c r="E815" i="8" l="1"/>
  <c r="D815" i="8"/>
  <c r="A817" i="8"/>
  <c r="C816" i="8"/>
  <c r="B816" i="8"/>
  <c r="F815" i="8" l="1"/>
  <c r="E816" i="8"/>
  <c r="D816" i="8"/>
  <c r="F816" i="8" s="1"/>
  <c r="A818" i="8"/>
  <c r="C817" i="8"/>
  <c r="B817" i="8"/>
  <c r="E817" i="8" l="1"/>
  <c r="D817" i="8"/>
  <c r="F817" i="8" s="1"/>
  <c r="A819" i="8"/>
  <c r="C818" i="8"/>
  <c r="B818" i="8"/>
  <c r="E818" i="8" l="1"/>
  <c r="D818" i="8"/>
  <c r="F818" i="8" s="1"/>
  <c r="A820" i="8"/>
  <c r="C819" i="8"/>
  <c r="B819" i="8"/>
  <c r="E819" i="8" l="1"/>
  <c r="D819" i="8"/>
  <c r="F819" i="8" s="1"/>
  <c r="A821" i="8"/>
  <c r="C820" i="8"/>
  <c r="B820" i="8"/>
  <c r="E820" i="8" l="1"/>
  <c r="D820" i="8"/>
  <c r="A822" i="8"/>
  <c r="C821" i="8"/>
  <c r="B821" i="8"/>
  <c r="F820" i="8" l="1"/>
  <c r="E821" i="8"/>
  <c r="D821" i="8"/>
  <c r="A823" i="8"/>
  <c r="C822" i="8"/>
  <c r="B822" i="8"/>
  <c r="E822" i="8" l="1"/>
  <c r="D822" i="8"/>
  <c r="F822" i="8" s="1"/>
  <c r="F821" i="8"/>
  <c r="A824" i="8"/>
  <c r="C823" i="8"/>
  <c r="B823" i="8"/>
  <c r="E823" i="8" l="1"/>
  <c r="D823" i="8"/>
  <c r="F823" i="8" s="1"/>
  <c r="A825" i="8"/>
  <c r="C824" i="8"/>
  <c r="B824" i="8"/>
  <c r="E824" i="8" l="1"/>
  <c r="D824" i="8"/>
  <c r="F824" i="8" s="1"/>
  <c r="A826" i="8"/>
  <c r="C825" i="8"/>
  <c r="B825" i="8"/>
  <c r="E825" i="8" l="1"/>
  <c r="D825" i="8"/>
  <c r="F825" i="8" s="1"/>
  <c r="A827" i="8"/>
  <c r="C826" i="8"/>
  <c r="B826" i="8"/>
  <c r="E826" i="8" l="1"/>
  <c r="D826" i="8"/>
  <c r="F826" i="8" s="1"/>
  <c r="A828" i="8"/>
  <c r="C827" i="8"/>
  <c r="B827" i="8"/>
  <c r="E827" i="8" l="1"/>
  <c r="D827" i="8"/>
  <c r="F827" i="8" s="1"/>
  <c r="A829" i="8"/>
  <c r="C828" i="8"/>
  <c r="B828" i="8"/>
  <c r="E828" i="8" l="1"/>
  <c r="D828" i="8"/>
  <c r="F828" i="8" s="1"/>
  <c r="A830" i="8"/>
  <c r="C829" i="8"/>
  <c r="B829" i="8"/>
  <c r="E829" i="8" l="1"/>
  <c r="D829" i="8"/>
  <c r="F829" i="8" s="1"/>
  <c r="A831" i="8"/>
  <c r="C830" i="8"/>
  <c r="B830" i="8"/>
  <c r="E830" i="8" l="1"/>
  <c r="D830" i="8"/>
  <c r="F830" i="8" s="1"/>
  <c r="A832" i="8"/>
  <c r="C831" i="8"/>
  <c r="B831" i="8"/>
  <c r="E831" i="8" l="1"/>
  <c r="D831" i="8"/>
  <c r="F831" i="8" s="1"/>
  <c r="A833" i="8"/>
  <c r="C832" i="8"/>
  <c r="B832" i="8"/>
  <c r="E832" i="8" l="1"/>
  <c r="D832" i="8"/>
  <c r="F832" i="8" s="1"/>
  <c r="A834" i="8"/>
  <c r="C833" i="8"/>
  <c r="B833" i="8"/>
  <c r="E833" i="8" l="1"/>
  <c r="D833" i="8"/>
  <c r="F833" i="8" s="1"/>
  <c r="A835" i="8"/>
  <c r="C834" i="8"/>
  <c r="B834" i="8"/>
  <c r="E834" i="8" l="1"/>
  <c r="D834" i="8"/>
  <c r="F834" i="8" s="1"/>
  <c r="A836" i="8"/>
  <c r="C835" i="8"/>
  <c r="B835" i="8"/>
  <c r="E835" i="8" l="1"/>
  <c r="D835" i="8"/>
  <c r="F835" i="8" s="1"/>
  <c r="A837" i="8"/>
  <c r="C836" i="8"/>
  <c r="B836" i="8"/>
  <c r="E836" i="8" l="1"/>
  <c r="D836" i="8"/>
  <c r="F836" i="8" s="1"/>
  <c r="A838" i="8"/>
  <c r="C837" i="8"/>
  <c r="B837" i="8"/>
  <c r="E837" i="8" l="1"/>
  <c r="D837" i="8"/>
  <c r="F837" i="8" s="1"/>
  <c r="A839" i="8"/>
  <c r="C838" i="8"/>
  <c r="B838" i="8"/>
  <c r="E838" i="8" l="1"/>
  <c r="D838" i="8"/>
  <c r="F838" i="8" s="1"/>
  <c r="A840" i="8"/>
  <c r="C839" i="8"/>
  <c r="B839" i="8"/>
  <c r="E839" i="8" l="1"/>
  <c r="D839" i="8"/>
  <c r="F839" i="8" s="1"/>
  <c r="A841" i="8"/>
  <c r="C840" i="8"/>
  <c r="B840" i="8"/>
  <c r="E840" i="8" l="1"/>
  <c r="D840" i="8"/>
  <c r="F840" i="8" s="1"/>
  <c r="A842" i="8"/>
  <c r="C841" i="8"/>
  <c r="B841" i="8"/>
  <c r="E841" i="8" l="1"/>
  <c r="D841" i="8"/>
  <c r="F841" i="8" s="1"/>
  <c r="A843" i="8"/>
  <c r="C842" i="8"/>
  <c r="B842" i="8"/>
  <c r="E842" i="8" l="1"/>
  <c r="D842" i="8"/>
  <c r="F842" i="8" s="1"/>
  <c r="A844" i="8"/>
  <c r="C843" i="8"/>
  <c r="B843" i="8"/>
  <c r="E843" i="8" l="1"/>
  <c r="D843" i="8"/>
  <c r="F843" i="8" s="1"/>
  <c r="A845" i="8"/>
  <c r="C844" i="8"/>
  <c r="B844" i="8"/>
  <c r="E844" i="8" l="1"/>
  <c r="D844" i="8"/>
  <c r="F844" i="8" s="1"/>
  <c r="A846" i="8"/>
  <c r="C845" i="8"/>
  <c r="B845" i="8"/>
  <c r="E845" i="8" l="1"/>
  <c r="D845" i="8"/>
  <c r="F845" i="8" s="1"/>
  <c r="A847" i="8"/>
  <c r="C846" i="8"/>
  <c r="B846" i="8"/>
  <c r="E846" i="8" l="1"/>
  <c r="D846" i="8"/>
  <c r="A848" i="8"/>
  <c r="C847" i="8"/>
  <c r="B847" i="8"/>
  <c r="E847" i="8" l="1"/>
  <c r="D847" i="8"/>
  <c r="F847" i="8" s="1"/>
  <c r="F846" i="8"/>
  <c r="A849" i="8"/>
  <c r="C848" i="8"/>
  <c r="B848" i="8"/>
  <c r="E848" i="8" l="1"/>
  <c r="D848" i="8"/>
  <c r="F848" i="8" s="1"/>
  <c r="A850" i="8"/>
  <c r="C849" i="8"/>
  <c r="B849" i="8"/>
  <c r="E849" i="8" l="1"/>
  <c r="D849" i="8"/>
  <c r="F849" i="8" s="1"/>
  <c r="A851" i="8"/>
  <c r="C850" i="8"/>
  <c r="B850" i="8"/>
  <c r="E850" i="8" l="1"/>
  <c r="D850" i="8"/>
  <c r="F850" i="8" s="1"/>
  <c r="A852" i="8"/>
  <c r="C851" i="8"/>
  <c r="B851" i="8"/>
  <c r="E851" i="8" l="1"/>
  <c r="D851" i="8"/>
  <c r="F851" i="8" s="1"/>
  <c r="A853" i="8"/>
  <c r="C852" i="8"/>
  <c r="B852" i="8"/>
  <c r="E852" i="8" l="1"/>
  <c r="D852" i="8"/>
  <c r="F852" i="8" s="1"/>
  <c r="A854" i="8"/>
  <c r="C853" i="8"/>
  <c r="B853" i="8"/>
  <c r="E853" i="8" l="1"/>
  <c r="D853" i="8"/>
  <c r="F853" i="8" s="1"/>
  <c r="A855" i="8"/>
  <c r="C854" i="8"/>
  <c r="B854" i="8"/>
  <c r="E854" i="8" l="1"/>
  <c r="D854" i="8"/>
  <c r="A856" i="8"/>
  <c r="C855" i="8"/>
  <c r="B855" i="8"/>
  <c r="E855" i="8" l="1"/>
  <c r="D855" i="8"/>
  <c r="F855" i="8" s="1"/>
  <c r="F854" i="8"/>
  <c r="A857" i="8"/>
  <c r="C856" i="8"/>
  <c r="B856" i="8"/>
  <c r="E856" i="8" l="1"/>
  <c r="D856" i="8"/>
  <c r="F856" i="8" s="1"/>
  <c r="A858" i="8"/>
  <c r="C857" i="8"/>
  <c r="B857" i="8"/>
  <c r="E857" i="8" l="1"/>
  <c r="D857" i="8"/>
  <c r="F857" i="8" s="1"/>
  <c r="A859" i="8"/>
  <c r="C858" i="8"/>
  <c r="B858" i="8"/>
  <c r="E858" i="8" l="1"/>
  <c r="D858" i="8"/>
  <c r="A860" i="8"/>
  <c r="C859" i="8"/>
  <c r="B859" i="8"/>
  <c r="F858" i="8" l="1"/>
  <c r="E859" i="8"/>
  <c r="D859" i="8"/>
  <c r="F859" i="8" s="1"/>
  <c r="A861" i="8"/>
  <c r="C860" i="8"/>
  <c r="B860" i="8"/>
  <c r="E860" i="8" l="1"/>
  <c r="D860" i="8"/>
  <c r="F860" i="8" s="1"/>
  <c r="A862" i="8"/>
  <c r="C861" i="8"/>
  <c r="B861" i="8"/>
  <c r="E861" i="8" l="1"/>
  <c r="D861" i="8"/>
  <c r="F861" i="8" s="1"/>
  <c r="A863" i="8"/>
  <c r="C862" i="8"/>
  <c r="B862" i="8"/>
  <c r="E862" i="8" l="1"/>
  <c r="D862" i="8"/>
  <c r="A864" i="8"/>
  <c r="C863" i="8"/>
  <c r="B863" i="8"/>
  <c r="F862" i="8" l="1"/>
  <c r="E863" i="8"/>
  <c r="D863" i="8"/>
  <c r="F863" i="8" s="1"/>
  <c r="A865" i="8"/>
  <c r="C864" i="8"/>
  <c r="B864" i="8"/>
  <c r="E864" i="8" l="1"/>
  <c r="D864" i="8"/>
  <c r="F864" i="8" s="1"/>
  <c r="A866" i="8"/>
  <c r="C865" i="8"/>
  <c r="B865" i="8"/>
  <c r="E865" i="8" l="1"/>
  <c r="D865" i="8"/>
  <c r="F865" i="8" s="1"/>
  <c r="A867" i="8"/>
  <c r="C866" i="8"/>
  <c r="B866" i="8"/>
  <c r="E866" i="8" l="1"/>
  <c r="D866" i="8"/>
  <c r="A868" i="8"/>
  <c r="C867" i="8"/>
  <c r="B867" i="8"/>
  <c r="F866" i="8" l="1"/>
  <c r="E867" i="8"/>
  <c r="D867" i="8"/>
  <c r="F867" i="8" s="1"/>
  <c r="A869" i="8"/>
  <c r="C868" i="8"/>
  <c r="B868" i="8"/>
  <c r="E868" i="8" l="1"/>
  <c r="D868" i="8"/>
  <c r="A870" i="8"/>
  <c r="C869" i="8"/>
  <c r="B869" i="8"/>
  <c r="E869" i="8" l="1"/>
  <c r="D869" i="8"/>
  <c r="F869" i="8" s="1"/>
  <c r="F868" i="8"/>
  <c r="A871" i="8"/>
  <c r="C870" i="8"/>
  <c r="B870" i="8"/>
  <c r="E870" i="8" l="1"/>
  <c r="D870" i="8"/>
  <c r="F870" i="8" s="1"/>
  <c r="A872" i="8"/>
  <c r="C871" i="8"/>
  <c r="B871" i="8"/>
  <c r="E871" i="8" l="1"/>
  <c r="D871" i="8"/>
  <c r="F871" i="8" s="1"/>
  <c r="A873" i="8"/>
  <c r="C872" i="8"/>
  <c r="B872" i="8"/>
  <c r="E872" i="8" l="1"/>
  <c r="D872" i="8"/>
  <c r="F872" i="8" s="1"/>
  <c r="A874" i="8"/>
  <c r="C873" i="8"/>
  <c r="B873" i="8"/>
  <c r="E873" i="8" l="1"/>
  <c r="D873" i="8"/>
  <c r="F873" i="8" s="1"/>
  <c r="A875" i="8"/>
  <c r="C874" i="8"/>
  <c r="B874" i="8"/>
  <c r="E874" i="8" l="1"/>
  <c r="D874" i="8"/>
  <c r="A876" i="8"/>
  <c r="C875" i="8"/>
  <c r="B875" i="8"/>
  <c r="F874" i="8" l="1"/>
  <c r="E875" i="8"/>
  <c r="D875" i="8"/>
  <c r="F875" i="8" s="1"/>
  <c r="A877" i="8"/>
  <c r="C876" i="8"/>
  <c r="B876" i="8"/>
  <c r="E876" i="8" l="1"/>
  <c r="D876" i="8"/>
  <c r="F876" i="8" s="1"/>
  <c r="A878" i="8"/>
  <c r="C877" i="8"/>
  <c r="B877" i="8"/>
  <c r="E877" i="8" l="1"/>
  <c r="D877" i="8"/>
  <c r="A879" i="8"/>
  <c r="C878" i="8"/>
  <c r="B878" i="8"/>
  <c r="F877" i="8" l="1"/>
  <c r="E878" i="8"/>
  <c r="D878" i="8"/>
  <c r="F878" i="8" s="1"/>
  <c r="A880" i="8"/>
  <c r="C879" i="8"/>
  <c r="B879" i="8"/>
  <c r="E879" i="8" l="1"/>
  <c r="D879" i="8"/>
  <c r="A881" i="8"/>
  <c r="C880" i="8"/>
  <c r="B880" i="8"/>
  <c r="F879" i="8" l="1"/>
  <c r="E880" i="8"/>
  <c r="D880" i="8"/>
  <c r="A882" i="8"/>
  <c r="C881" i="8"/>
  <c r="B881" i="8"/>
  <c r="F880" i="8" l="1"/>
  <c r="E881" i="8"/>
  <c r="D881" i="8"/>
  <c r="F881" i="8" s="1"/>
  <c r="A883" i="8"/>
  <c r="C882" i="8"/>
  <c r="B882" i="8"/>
  <c r="E882" i="8" l="1"/>
  <c r="D882" i="8"/>
  <c r="F882" i="8" s="1"/>
  <c r="A884" i="8"/>
  <c r="C883" i="8"/>
  <c r="B883" i="8"/>
  <c r="E883" i="8" l="1"/>
  <c r="D883" i="8"/>
  <c r="A885" i="8"/>
  <c r="C884" i="8"/>
  <c r="B884" i="8"/>
  <c r="E884" i="8" l="1"/>
  <c r="D884" i="8"/>
  <c r="F884" i="8" s="1"/>
  <c r="F883" i="8"/>
  <c r="A886" i="8"/>
  <c r="C885" i="8"/>
  <c r="B885" i="8"/>
  <c r="E885" i="8" l="1"/>
  <c r="D885" i="8"/>
  <c r="A887" i="8"/>
  <c r="C886" i="8"/>
  <c r="B886" i="8"/>
  <c r="F885" i="8" l="1"/>
  <c r="E886" i="8"/>
  <c r="D886" i="8"/>
  <c r="F886" i="8" s="1"/>
  <c r="A888" i="8"/>
  <c r="C887" i="8"/>
  <c r="B887" i="8"/>
  <c r="E887" i="8" l="1"/>
  <c r="D887" i="8"/>
  <c r="F887" i="8" s="1"/>
  <c r="A889" i="8"/>
  <c r="C888" i="8"/>
  <c r="B888" i="8"/>
  <c r="E888" i="8" l="1"/>
  <c r="D888" i="8"/>
  <c r="F888" i="8" s="1"/>
  <c r="A890" i="8"/>
  <c r="C889" i="8"/>
  <c r="B889" i="8"/>
  <c r="E889" i="8" l="1"/>
  <c r="D889" i="8"/>
  <c r="F889" i="8" s="1"/>
  <c r="A891" i="8"/>
  <c r="C890" i="8"/>
  <c r="B890" i="8"/>
  <c r="E890" i="8" l="1"/>
  <c r="D890" i="8"/>
  <c r="F890" i="8" s="1"/>
  <c r="A892" i="8"/>
  <c r="C891" i="8"/>
  <c r="B891" i="8"/>
  <c r="E891" i="8" l="1"/>
  <c r="D891" i="8"/>
  <c r="F891" i="8" s="1"/>
  <c r="A893" i="8"/>
  <c r="C892" i="8"/>
  <c r="B892" i="8"/>
  <c r="E892" i="8" l="1"/>
  <c r="D892" i="8"/>
  <c r="A894" i="8"/>
  <c r="C893" i="8"/>
  <c r="B893" i="8"/>
  <c r="F892" i="8" l="1"/>
  <c r="E893" i="8"/>
  <c r="D893" i="8"/>
  <c r="F893" i="8" s="1"/>
  <c r="A895" i="8"/>
  <c r="C894" i="8"/>
  <c r="B894" i="8"/>
  <c r="E894" i="8" l="1"/>
  <c r="D894" i="8"/>
  <c r="A896" i="8"/>
  <c r="C895" i="8"/>
  <c r="B895" i="8"/>
  <c r="E895" i="8" l="1"/>
  <c r="D895" i="8"/>
  <c r="F895" i="8" s="1"/>
  <c r="F894" i="8"/>
  <c r="A897" i="8"/>
  <c r="C896" i="8"/>
  <c r="B896" i="8"/>
  <c r="E896" i="8" l="1"/>
  <c r="D896" i="8"/>
  <c r="A898" i="8"/>
  <c r="C897" i="8"/>
  <c r="B897" i="8"/>
  <c r="F896" i="8" l="1"/>
  <c r="E897" i="8"/>
  <c r="D897" i="8"/>
  <c r="A899" i="8"/>
  <c r="C898" i="8"/>
  <c r="B898" i="8"/>
  <c r="E898" i="8" l="1"/>
  <c r="D898" i="8"/>
  <c r="F898" i="8" s="1"/>
  <c r="F897" i="8"/>
  <c r="A900" i="8"/>
  <c r="C899" i="8"/>
  <c r="B899" i="8"/>
  <c r="E899" i="8" l="1"/>
  <c r="D899" i="8"/>
  <c r="A901" i="8"/>
  <c r="C900" i="8"/>
  <c r="B900" i="8"/>
  <c r="F899" i="8" l="1"/>
  <c r="E900" i="8"/>
  <c r="D900" i="8"/>
  <c r="F900" i="8" s="1"/>
  <c r="A902" i="8"/>
  <c r="C901" i="8"/>
  <c r="B901" i="8"/>
  <c r="E901" i="8" l="1"/>
  <c r="D901" i="8"/>
  <c r="A903" i="8"/>
  <c r="C902" i="8"/>
  <c r="B902" i="8"/>
  <c r="F901" i="8" l="1"/>
  <c r="E902" i="8"/>
  <c r="D902" i="8"/>
  <c r="F902" i="8" s="1"/>
  <c r="A904" i="8"/>
  <c r="C903" i="8"/>
  <c r="B903" i="8"/>
  <c r="E903" i="8" l="1"/>
  <c r="D903" i="8"/>
  <c r="A905" i="8"/>
  <c r="C904" i="8"/>
  <c r="B904" i="8"/>
  <c r="F903" i="8" l="1"/>
  <c r="E904" i="8"/>
  <c r="D904" i="8"/>
  <c r="F904" i="8" s="1"/>
  <c r="A906" i="8"/>
  <c r="C905" i="8"/>
  <c r="B905" i="8"/>
  <c r="E905" i="8" l="1"/>
  <c r="D905" i="8"/>
  <c r="F905" i="8" s="1"/>
  <c r="A907" i="8"/>
  <c r="C906" i="8"/>
  <c r="B906" i="8"/>
  <c r="E906" i="8" l="1"/>
  <c r="D906" i="8"/>
  <c r="A908" i="8"/>
  <c r="C907" i="8"/>
  <c r="B907" i="8"/>
  <c r="F906" i="8" l="1"/>
  <c r="E907" i="8"/>
  <c r="D907" i="8"/>
  <c r="F907" i="8" s="1"/>
  <c r="A909" i="8"/>
  <c r="C908" i="8"/>
  <c r="B908" i="8"/>
  <c r="E908" i="8" l="1"/>
  <c r="D908" i="8"/>
  <c r="A910" i="8"/>
  <c r="C909" i="8"/>
  <c r="B909" i="8"/>
  <c r="F908" i="8" l="1"/>
  <c r="E909" i="8"/>
  <c r="D909" i="8"/>
  <c r="F909" i="8" s="1"/>
  <c r="A911" i="8"/>
  <c r="C910" i="8"/>
  <c r="B910" i="8"/>
  <c r="E910" i="8" l="1"/>
  <c r="D910" i="8"/>
  <c r="F910" i="8" s="1"/>
  <c r="A912" i="8"/>
  <c r="C911" i="8"/>
  <c r="B911" i="8"/>
  <c r="E911" i="8" l="1"/>
  <c r="D911" i="8"/>
  <c r="F911" i="8" s="1"/>
  <c r="A913" i="8"/>
  <c r="C912" i="8"/>
  <c r="B912" i="8"/>
  <c r="E912" i="8" l="1"/>
  <c r="D912" i="8"/>
  <c r="F912" i="8" s="1"/>
  <c r="A914" i="8"/>
  <c r="C913" i="8"/>
  <c r="B913" i="8"/>
  <c r="E913" i="8" l="1"/>
  <c r="D913" i="8"/>
  <c r="F913" i="8" s="1"/>
  <c r="A915" i="8"/>
  <c r="C914" i="8"/>
  <c r="B914" i="8"/>
  <c r="E914" i="8" l="1"/>
  <c r="D914" i="8"/>
  <c r="F914" i="8" s="1"/>
  <c r="A916" i="8"/>
  <c r="C915" i="8"/>
  <c r="B915" i="8"/>
  <c r="E915" i="8" l="1"/>
  <c r="D915" i="8"/>
  <c r="F915" i="8" s="1"/>
  <c r="A917" i="8"/>
  <c r="C916" i="8"/>
  <c r="B916" i="8"/>
  <c r="E916" i="8" l="1"/>
  <c r="D916" i="8"/>
  <c r="F916" i="8" s="1"/>
  <c r="A918" i="8"/>
  <c r="C917" i="8"/>
  <c r="B917" i="8"/>
  <c r="E917" i="8" l="1"/>
  <c r="D917" i="8"/>
  <c r="F917" i="8" s="1"/>
  <c r="A919" i="8"/>
  <c r="C918" i="8"/>
  <c r="B918" i="8"/>
  <c r="E918" i="8" l="1"/>
  <c r="D918" i="8"/>
  <c r="A920" i="8"/>
  <c r="C919" i="8"/>
  <c r="B919" i="8"/>
  <c r="F918" i="8" l="1"/>
  <c r="E919" i="8"/>
  <c r="D919" i="8"/>
  <c r="F919" i="8" s="1"/>
  <c r="A921" i="8"/>
  <c r="C920" i="8"/>
  <c r="B920" i="8"/>
  <c r="E920" i="8" l="1"/>
  <c r="D920" i="8"/>
  <c r="F920" i="8" s="1"/>
  <c r="A922" i="8"/>
  <c r="C921" i="8"/>
  <c r="B921" i="8"/>
  <c r="E921" i="8" l="1"/>
  <c r="D921" i="8"/>
  <c r="F921" i="8" s="1"/>
  <c r="A923" i="8"/>
  <c r="C922" i="8"/>
  <c r="B922" i="8"/>
  <c r="E922" i="8" l="1"/>
  <c r="D922" i="8"/>
  <c r="F922" i="8" s="1"/>
  <c r="A924" i="8"/>
  <c r="C923" i="8"/>
  <c r="B923" i="8"/>
  <c r="E923" i="8" l="1"/>
  <c r="D923" i="8"/>
  <c r="F923" i="8" s="1"/>
  <c r="A925" i="8"/>
  <c r="C924" i="8"/>
  <c r="B924" i="8"/>
  <c r="E924" i="8" l="1"/>
  <c r="D924" i="8"/>
  <c r="F924" i="8" s="1"/>
  <c r="A926" i="8"/>
  <c r="C925" i="8"/>
  <c r="B925" i="8"/>
  <c r="E925" i="8" l="1"/>
  <c r="D925" i="8"/>
  <c r="F925" i="8" s="1"/>
  <c r="A927" i="8"/>
  <c r="C926" i="8"/>
  <c r="B926" i="8"/>
  <c r="E926" i="8" l="1"/>
  <c r="D926" i="8"/>
  <c r="F926" i="8" s="1"/>
  <c r="A928" i="8"/>
  <c r="C927" i="8"/>
  <c r="B927" i="8"/>
  <c r="E927" i="8" l="1"/>
  <c r="D927" i="8"/>
  <c r="F927" i="8" s="1"/>
  <c r="A929" i="8"/>
  <c r="C928" i="8"/>
  <c r="B928" i="8"/>
  <c r="E928" i="8" l="1"/>
  <c r="D928" i="8"/>
  <c r="A930" i="8"/>
  <c r="C929" i="8"/>
  <c r="B929" i="8"/>
  <c r="E929" i="8" l="1"/>
  <c r="D929" i="8"/>
  <c r="F928" i="8"/>
  <c r="A931" i="8"/>
  <c r="C930" i="8"/>
  <c r="B930" i="8"/>
  <c r="F929" i="8" l="1"/>
  <c r="E930" i="8"/>
  <c r="D930" i="8"/>
  <c r="F930" i="8" s="1"/>
  <c r="A932" i="8"/>
  <c r="C931" i="8"/>
  <c r="B931" i="8"/>
  <c r="E931" i="8" l="1"/>
  <c r="D931" i="8"/>
  <c r="F931" i="8" s="1"/>
  <c r="A933" i="8"/>
  <c r="C932" i="8"/>
  <c r="B932" i="8"/>
  <c r="E932" i="8" l="1"/>
  <c r="D932" i="8"/>
  <c r="F932" i="8" s="1"/>
  <c r="A934" i="8"/>
  <c r="C933" i="8"/>
  <c r="B933" i="8"/>
  <c r="E933" i="8" l="1"/>
  <c r="D933" i="8"/>
  <c r="F933" i="8" s="1"/>
  <c r="A935" i="8"/>
  <c r="C934" i="8"/>
  <c r="B934" i="8"/>
  <c r="E934" i="8" l="1"/>
  <c r="D934" i="8"/>
  <c r="F934" i="8" s="1"/>
  <c r="A936" i="8"/>
  <c r="C935" i="8"/>
  <c r="B935" i="8"/>
  <c r="E935" i="8" l="1"/>
  <c r="D935" i="8"/>
  <c r="F935" i="8" s="1"/>
  <c r="A937" i="8"/>
  <c r="C936" i="8"/>
  <c r="B936" i="8"/>
  <c r="E936" i="8" l="1"/>
  <c r="D936" i="8"/>
  <c r="F936" i="8" s="1"/>
  <c r="A938" i="8"/>
  <c r="C937" i="8"/>
  <c r="B937" i="8"/>
  <c r="E937" i="8" l="1"/>
  <c r="D937" i="8"/>
  <c r="F937" i="8" s="1"/>
  <c r="A939" i="8"/>
  <c r="C938" i="8"/>
  <c r="B938" i="8"/>
  <c r="E938" i="8" l="1"/>
  <c r="D938" i="8"/>
  <c r="F938" i="8" s="1"/>
  <c r="A940" i="8"/>
  <c r="C939" i="8"/>
  <c r="B939" i="8"/>
  <c r="E939" i="8" l="1"/>
  <c r="D939" i="8"/>
  <c r="F939" i="8" s="1"/>
  <c r="A941" i="8"/>
  <c r="C940" i="8"/>
  <c r="B940" i="8"/>
  <c r="E940" i="8" l="1"/>
  <c r="D940" i="8"/>
  <c r="F940" i="8" s="1"/>
  <c r="A942" i="8"/>
  <c r="C941" i="8"/>
  <c r="B941" i="8"/>
  <c r="E941" i="8" l="1"/>
  <c r="D941" i="8"/>
  <c r="A943" i="8"/>
  <c r="C942" i="8"/>
  <c r="B942" i="8"/>
  <c r="E942" i="8" l="1"/>
  <c r="D942" i="8"/>
  <c r="F942" i="8" s="1"/>
  <c r="F941" i="8"/>
  <c r="A944" i="8"/>
  <c r="C943" i="8"/>
  <c r="B943" i="8"/>
  <c r="E943" i="8" l="1"/>
  <c r="D943" i="8"/>
  <c r="F943" i="8" s="1"/>
  <c r="A945" i="8"/>
  <c r="C944" i="8"/>
  <c r="B944" i="8"/>
  <c r="E944" i="8" l="1"/>
  <c r="D944" i="8"/>
  <c r="A946" i="8"/>
  <c r="C945" i="8"/>
  <c r="B945" i="8"/>
  <c r="E945" i="8" l="1"/>
  <c r="D945" i="8"/>
  <c r="F945" i="8" s="1"/>
  <c r="F944" i="8"/>
  <c r="A947" i="8"/>
  <c r="C946" i="8"/>
  <c r="B946" i="8"/>
  <c r="E946" i="8" l="1"/>
  <c r="D946" i="8"/>
  <c r="F946" i="8" s="1"/>
  <c r="A948" i="8"/>
  <c r="C947" i="8"/>
  <c r="B947" i="8"/>
  <c r="E947" i="8" l="1"/>
  <c r="D947" i="8"/>
  <c r="A949" i="8"/>
  <c r="C948" i="8"/>
  <c r="B948" i="8"/>
  <c r="F947" i="8" l="1"/>
  <c r="E948" i="8"/>
  <c r="D948" i="8"/>
  <c r="F948" i="8" s="1"/>
  <c r="A950" i="8"/>
  <c r="C949" i="8"/>
  <c r="B949" i="8"/>
  <c r="E949" i="8" l="1"/>
  <c r="D949" i="8"/>
  <c r="F949" i="8" s="1"/>
  <c r="A951" i="8"/>
  <c r="C950" i="8"/>
  <c r="B950" i="8"/>
  <c r="E950" i="8" l="1"/>
  <c r="D950" i="8"/>
  <c r="F950" i="8" s="1"/>
  <c r="A952" i="8"/>
  <c r="C951" i="8"/>
  <c r="B951" i="8"/>
  <c r="E951" i="8" l="1"/>
  <c r="D951" i="8"/>
  <c r="F951" i="8" s="1"/>
  <c r="A953" i="8"/>
  <c r="C952" i="8"/>
  <c r="B952" i="8"/>
  <c r="E952" i="8" l="1"/>
  <c r="D952" i="8"/>
  <c r="F952" i="8" s="1"/>
  <c r="A954" i="8"/>
  <c r="C953" i="8"/>
  <c r="B953" i="8"/>
  <c r="E953" i="8" l="1"/>
  <c r="D953" i="8"/>
  <c r="A955" i="8"/>
  <c r="C954" i="8"/>
  <c r="B954" i="8"/>
  <c r="E954" i="8" l="1"/>
  <c r="D954" i="8"/>
  <c r="F954" i="8" s="1"/>
  <c r="F953" i="8"/>
  <c r="A956" i="8"/>
  <c r="C955" i="8"/>
  <c r="B955" i="8"/>
  <c r="E955" i="8" l="1"/>
  <c r="D955" i="8"/>
  <c r="F955" i="8" s="1"/>
  <c r="A957" i="8"/>
  <c r="C956" i="8"/>
  <c r="B956" i="8"/>
  <c r="E956" i="8" l="1"/>
  <c r="D956" i="8"/>
  <c r="F956" i="8" s="1"/>
  <c r="A958" i="8"/>
  <c r="C957" i="8"/>
  <c r="B957" i="8"/>
  <c r="E957" i="8" l="1"/>
  <c r="D957" i="8"/>
  <c r="F957" i="8" s="1"/>
  <c r="A959" i="8"/>
  <c r="C958" i="8"/>
  <c r="B958" i="8"/>
  <c r="E958" i="8" l="1"/>
  <c r="D958" i="8"/>
  <c r="F958" i="8" s="1"/>
  <c r="A960" i="8"/>
  <c r="C959" i="8"/>
  <c r="B959" i="8"/>
  <c r="E959" i="8" l="1"/>
  <c r="D959" i="8"/>
  <c r="A961" i="8"/>
  <c r="C960" i="8"/>
  <c r="B960" i="8"/>
  <c r="F959" i="8" l="1"/>
  <c r="E960" i="8"/>
  <c r="D960" i="8"/>
  <c r="F960" i="8" s="1"/>
  <c r="A962" i="8"/>
  <c r="C961" i="8"/>
  <c r="B961" i="8"/>
  <c r="E961" i="8" l="1"/>
  <c r="D961" i="8"/>
  <c r="A963" i="8"/>
  <c r="C962" i="8"/>
  <c r="B962" i="8"/>
  <c r="F961" i="8" l="1"/>
  <c r="E962" i="8"/>
  <c r="D962" i="8"/>
  <c r="F962" i="8" s="1"/>
  <c r="A964" i="8"/>
  <c r="C963" i="8"/>
  <c r="B963" i="8"/>
  <c r="E963" i="8" l="1"/>
  <c r="D963" i="8"/>
  <c r="F963" i="8" s="1"/>
  <c r="A965" i="8"/>
  <c r="C964" i="8"/>
  <c r="B964" i="8"/>
  <c r="E964" i="8" l="1"/>
  <c r="D964" i="8"/>
  <c r="F964" i="8" s="1"/>
  <c r="A966" i="8"/>
  <c r="C965" i="8"/>
  <c r="B965" i="8"/>
  <c r="E965" i="8" l="1"/>
  <c r="D965" i="8"/>
  <c r="A967" i="8"/>
  <c r="C966" i="8"/>
  <c r="B966" i="8"/>
  <c r="F965" i="8" l="1"/>
  <c r="E966" i="8"/>
  <c r="D966" i="8"/>
  <c r="F966" i="8" s="1"/>
  <c r="A968" i="8"/>
  <c r="C967" i="8"/>
  <c r="B967" i="8"/>
  <c r="E967" i="8" l="1"/>
  <c r="D967" i="8"/>
  <c r="F967" i="8" s="1"/>
  <c r="A969" i="8"/>
  <c r="C968" i="8"/>
  <c r="B968" i="8"/>
  <c r="E968" i="8" l="1"/>
  <c r="D968" i="8"/>
  <c r="F968" i="8" s="1"/>
  <c r="A970" i="8"/>
  <c r="C969" i="8"/>
  <c r="B969" i="8"/>
  <c r="E969" i="8" l="1"/>
  <c r="D969" i="8"/>
  <c r="A971" i="8"/>
  <c r="C970" i="8"/>
  <c r="B970" i="8"/>
  <c r="F969" i="8" l="1"/>
  <c r="E970" i="8"/>
  <c r="D970" i="8"/>
  <c r="A972" i="8"/>
  <c r="C971" i="8"/>
  <c r="B971" i="8"/>
  <c r="F970" i="8" l="1"/>
  <c r="E971" i="8"/>
  <c r="D971" i="8"/>
  <c r="F971" i="8" s="1"/>
  <c r="A973" i="8"/>
  <c r="C972" i="8"/>
  <c r="B972" i="8"/>
  <c r="E972" i="8" l="1"/>
  <c r="D972" i="8"/>
  <c r="A974" i="8"/>
  <c r="C973" i="8"/>
  <c r="B973" i="8"/>
  <c r="F972" i="8" l="1"/>
  <c r="E973" i="8"/>
  <c r="D973" i="8"/>
  <c r="A975" i="8"/>
  <c r="C974" i="8"/>
  <c r="B974" i="8"/>
  <c r="F973" i="8" l="1"/>
  <c r="E974" i="8"/>
  <c r="D974" i="8"/>
  <c r="F974" i="8" s="1"/>
  <c r="A976" i="8"/>
  <c r="C975" i="8"/>
  <c r="B975" i="8"/>
  <c r="E975" i="8" l="1"/>
  <c r="D975" i="8"/>
  <c r="F975" i="8" s="1"/>
  <c r="A977" i="8"/>
  <c r="C976" i="8"/>
  <c r="B976" i="8"/>
  <c r="E976" i="8" l="1"/>
  <c r="D976" i="8"/>
  <c r="A978" i="8"/>
  <c r="C977" i="8"/>
  <c r="B977" i="8"/>
  <c r="F976" i="8" l="1"/>
  <c r="E977" i="8"/>
  <c r="D977" i="8"/>
  <c r="F977" i="8" s="1"/>
  <c r="A979" i="8"/>
  <c r="C978" i="8"/>
  <c r="B978" i="8"/>
  <c r="E978" i="8" l="1"/>
  <c r="D978" i="8"/>
  <c r="A980" i="8"/>
  <c r="C979" i="8"/>
  <c r="B979" i="8"/>
  <c r="F978" i="8" l="1"/>
  <c r="E979" i="8"/>
  <c r="D979" i="8"/>
  <c r="F979" i="8" s="1"/>
  <c r="A981" i="8"/>
  <c r="C980" i="8"/>
  <c r="B980" i="8"/>
  <c r="E980" i="8" l="1"/>
  <c r="D980" i="8"/>
  <c r="F980" i="8" s="1"/>
  <c r="A982" i="8"/>
  <c r="C981" i="8"/>
  <c r="B981" i="8"/>
  <c r="E981" i="8" l="1"/>
  <c r="D981" i="8"/>
  <c r="A983" i="8"/>
  <c r="C982" i="8"/>
  <c r="B982" i="8"/>
  <c r="F981" i="8" l="1"/>
  <c r="E982" i="8"/>
  <c r="D982" i="8"/>
  <c r="F982" i="8" s="1"/>
  <c r="A984" i="8"/>
  <c r="C983" i="8"/>
  <c r="B983" i="8"/>
  <c r="E983" i="8" l="1"/>
  <c r="D983" i="8"/>
  <c r="F983" i="8" s="1"/>
  <c r="A985" i="8"/>
  <c r="C984" i="8"/>
  <c r="B984" i="8"/>
  <c r="E984" i="8" l="1"/>
  <c r="D984" i="8"/>
  <c r="F984" i="8" s="1"/>
  <c r="A986" i="8"/>
  <c r="C985" i="8"/>
  <c r="B985" i="8"/>
  <c r="E985" i="8" l="1"/>
  <c r="D985" i="8"/>
  <c r="A987" i="8"/>
  <c r="C986" i="8"/>
  <c r="B986" i="8"/>
  <c r="F985" i="8" l="1"/>
  <c r="E986" i="8"/>
  <c r="D986" i="8"/>
  <c r="F986" i="8" s="1"/>
  <c r="A988" i="8"/>
  <c r="C987" i="8"/>
  <c r="B987" i="8"/>
  <c r="E987" i="8" l="1"/>
  <c r="D987" i="8"/>
  <c r="F987" i="8" s="1"/>
  <c r="A989" i="8"/>
  <c r="C988" i="8"/>
  <c r="B988" i="8"/>
  <c r="E988" i="8" l="1"/>
  <c r="D988" i="8"/>
  <c r="F988" i="8" s="1"/>
  <c r="A990" i="8"/>
  <c r="C989" i="8"/>
  <c r="B989" i="8"/>
  <c r="E989" i="8" l="1"/>
  <c r="D989" i="8"/>
  <c r="F989" i="8" s="1"/>
  <c r="A991" i="8"/>
  <c r="C990" i="8"/>
  <c r="B990" i="8"/>
  <c r="E990" i="8" l="1"/>
  <c r="D990" i="8"/>
  <c r="F990" i="8" s="1"/>
  <c r="A992" i="8"/>
  <c r="C991" i="8"/>
  <c r="B991" i="8"/>
  <c r="E991" i="8" l="1"/>
  <c r="D991" i="8"/>
  <c r="F991" i="8" s="1"/>
  <c r="A993" i="8"/>
  <c r="C992" i="8"/>
  <c r="B992" i="8"/>
  <c r="E992" i="8" l="1"/>
  <c r="D992" i="8"/>
  <c r="F992" i="8" s="1"/>
  <c r="A994" i="8"/>
  <c r="C993" i="8"/>
  <c r="B993" i="8"/>
  <c r="E993" i="8" l="1"/>
  <c r="D993" i="8"/>
  <c r="F993" i="8" s="1"/>
  <c r="A995" i="8"/>
  <c r="C994" i="8"/>
  <c r="B994" i="8"/>
  <c r="E994" i="8" l="1"/>
  <c r="D994" i="8"/>
  <c r="F994" i="8" s="1"/>
  <c r="A996" i="8"/>
  <c r="C995" i="8"/>
  <c r="B995" i="8"/>
  <c r="E995" i="8" l="1"/>
  <c r="D995" i="8"/>
  <c r="F995" i="8" s="1"/>
  <c r="A997" i="8"/>
  <c r="C996" i="8"/>
  <c r="B996" i="8"/>
  <c r="E996" i="8" l="1"/>
  <c r="D996" i="8"/>
  <c r="F996" i="8" s="1"/>
  <c r="A998" i="8"/>
  <c r="C997" i="8"/>
  <c r="B997" i="8"/>
  <c r="E997" i="8" l="1"/>
  <c r="D997" i="8"/>
  <c r="F997" i="8" s="1"/>
  <c r="A999" i="8"/>
  <c r="C998" i="8"/>
  <c r="B998" i="8"/>
  <c r="E998" i="8" l="1"/>
  <c r="D998" i="8"/>
  <c r="F998" i="8" s="1"/>
  <c r="A1000" i="8"/>
  <c r="C999" i="8"/>
  <c r="B999" i="8"/>
  <c r="E999" i="8" l="1"/>
  <c r="D999" i="8"/>
  <c r="F999" i="8" s="1"/>
  <c r="A1001" i="8"/>
  <c r="C1000" i="8"/>
  <c r="B1000" i="8"/>
  <c r="E1000" i="8" l="1"/>
  <c r="D1000" i="8"/>
  <c r="F1000" i="8" s="1"/>
  <c r="A1002" i="8"/>
  <c r="C1001" i="8"/>
  <c r="B1001" i="8"/>
  <c r="E1001" i="8" l="1"/>
  <c r="D1001" i="8"/>
  <c r="A1003" i="8"/>
  <c r="C1002" i="8"/>
  <c r="B1002" i="8"/>
  <c r="F1001" i="8" l="1"/>
  <c r="E1002" i="8"/>
  <c r="D1002" i="8"/>
  <c r="A1004" i="8"/>
  <c r="C1003" i="8"/>
  <c r="B1003" i="8"/>
  <c r="F1002" i="8" l="1"/>
  <c r="E1003" i="8"/>
  <c r="D1003" i="8"/>
  <c r="F1003" i="8" s="1"/>
  <c r="A1005" i="8"/>
  <c r="C1004" i="8"/>
  <c r="B1004" i="8"/>
  <c r="E1004" i="8" l="1"/>
  <c r="D1004" i="8"/>
  <c r="F1004" i="8" s="1"/>
  <c r="A1006" i="8"/>
  <c r="C1005" i="8"/>
  <c r="B1005" i="8"/>
  <c r="E1005" i="8" l="1"/>
  <c r="D1005" i="8"/>
  <c r="A1007" i="8"/>
  <c r="C1006" i="8"/>
  <c r="B1006" i="8"/>
  <c r="E1006" i="8" l="1"/>
  <c r="D1006" i="8"/>
  <c r="F1006" i="8" s="1"/>
  <c r="F1005" i="8"/>
  <c r="A1008" i="8"/>
  <c r="C1007" i="8"/>
  <c r="B1007" i="8"/>
  <c r="E1007" i="8" l="1"/>
  <c r="D1007" i="8"/>
  <c r="F1007" i="8" s="1"/>
  <c r="A1009" i="8"/>
  <c r="C1008" i="8"/>
  <c r="B1008" i="8"/>
  <c r="E1008" i="8" l="1"/>
  <c r="D1008" i="8"/>
  <c r="F1008" i="8" s="1"/>
  <c r="A1010" i="8"/>
  <c r="C1009" i="8"/>
  <c r="B1009" i="8"/>
  <c r="E1009" i="8" l="1"/>
  <c r="D1009" i="8"/>
  <c r="F1009" i="8" s="1"/>
  <c r="A1011" i="8"/>
  <c r="C1010" i="8"/>
  <c r="B1010" i="8"/>
  <c r="E1010" i="8" l="1"/>
  <c r="D1010" i="8"/>
  <c r="F1010" i="8" s="1"/>
  <c r="A1012" i="8"/>
  <c r="C1011" i="8"/>
  <c r="B1011" i="8"/>
  <c r="E1011" i="8" l="1"/>
  <c r="D1011" i="8"/>
  <c r="F1011" i="8" s="1"/>
  <c r="A1013" i="8"/>
  <c r="C1012" i="8"/>
  <c r="B1012" i="8"/>
  <c r="E1012" i="8" l="1"/>
  <c r="D1012" i="8"/>
  <c r="F1012" i="8" s="1"/>
  <c r="A1014" i="8"/>
  <c r="C1013" i="8"/>
  <c r="B1013" i="8"/>
  <c r="E1013" i="8" l="1"/>
  <c r="D1013" i="8"/>
  <c r="A1015" i="8"/>
  <c r="C1014" i="8"/>
  <c r="B1014" i="8"/>
  <c r="F1013" i="8" l="1"/>
  <c r="E1014" i="8"/>
  <c r="D1014" i="8"/>
  <c r="F1014" i="8" s="1"/>
  <c r="A1016" i="8"/>
  <c r="C1015" i="8"/>
  <c r="B1015" i="8"/>
  <c r="E1015" i="8" l="1"/>
  <c r="D1015" i="8"/>
  <c r="F1015" i="8" s="1"/>
  <c r="A1017" i="8"/>
  <c r="C1016" i="8"/>
  <c r="B1016" i="8"/>
  <c r="E1016" i="8" l="1"/>
  <c r="D1016" i="8"/>
  <c r="A1018" i="8"/>
  <c r="C1017" i="8"/>
  <c r="B1017" i="8"/>
  <c r="F1016" i="8" l="1"/>
  <c r="E1017" i="8"/>
  <c r="D1017" i="8"/>
  <c r="A1019" i="8"/>
  <c r="C1018" i="8"/>
  <c r="B1018" i="8"/>
  <c r="F1017" i="8" l="1"/>
  <c r="E1018" i="8"/>
  <c r="D1018" i="8"/>
  <c r="F1018" i="8" s="1"/>
  <c r="A1020" i="8"/>
  <c r="C1019" i="8"/>
  <c r="B1019" i="8"/>
  <c r="E1019" i="8" l="1"/>
  <c r="D1019" i="8"/>
  <c r="F1019" i="8" s="1"/>
  <c r="A1021" i="8"/>
  <c r="C1020" i="8"/>
  <c r="B1020" i="8"/>
  <c r="E1020" i="8" l="1"/>
  <c r="D1020" i="8"/>
  <c r="F1020" i="8" s="1"/>
  <c r="A1022" i="8"/>
  <c r="C1021" i="8"/>
  <c r="B1021" i="8"/>
  <c r="E1021" i="8" l="1"/>
  <c r="D1021" i="8"/>
  <c r="F1021" i="8" s="1"/>
  <c r="A1023" i="8"/>
  <c r="C1022" i="8"/>
  <c r="B1022" i="8"/>
  <c r="E1022" i="8" l="1"/>
  <c r="D1022" i="8"/>
  <c r="F1022" i="8" s="1"/>
  <c r="A1024" i="8"/>
  <c r="C1023" i="8"/>
  <c r="B1023" i="8"/>
  <c r="E1023" i="8" l="1"/>
  <c r="D1023" i="8"/>
  <c r="A1025" i="8"/>
  <c r="C1024" i="8"/>
  <c r="B1024" i="8"/>
  <c r="F1023" i="8" l="1"/>
  <c r="E1024" i="8"/>
  <c r="D1024" i="8"/>
  <c r="F1024" i="8" s="1"/>
  <c r="A1026" i="8"/>
  <c r="C1025" i="8"/>
  <c r="B1025" i="8"/>
  <c r="E1025" i="8" l="1"/>
  <c r="D1025" i="8"/>
  <c r="F1025" i="8" s="1"/>
  <c r="A1027" i="8"/>
  <c r="C1026" i="8"/>
  <c r="B1026" i="8"/>
  <c r="E1026" i="8" l="1"/>
  <c r="D1026" i="8"/>
  <c r="F1026" i="8" s="1"/>
  <c r="A1028" i="8"/>
  <c r="C1027" i="8"/>
  <c r="B1027" i="8"/>
  <c r="E1027" i="8" l="1"/>
  <c r="D1027" i="8"/>
  <c r="A1029" i="8"/>
  <c r="C1028" i="8"/>
  <c r="B1028" i="8"/>
  <c r="F1027" i="8" l="1"/>
  <c r="E1028" i="8"/>
  <c r="D1028" i="8"/>
  <c r="F1028" i="8" s="1"/>
  <c r="A1030" i="8"/>
  <c r="C1029" i="8"/>
  <c r="B1029" i="8"/>
  <c r="E1029" i="8" l="1"/>
  <c r="D1029" i="8"/>
  <c r="F1029" i="8" s="1"/>
  <c r="A1031" i="8"/>
  <c r="C1030" i="8"/>
  <c r="B1030" i="8"/>
  <c r="E1030" i="8" l="1"/>
  <c r="D1030" i="8"/>
  <c r="F1030" i="8" s="1"/>
  <c r="A1032" i="8"/>
  <c r="C1031" i="8"/>
  <c r="B1031" i="8"/>
  <c r="E1031" i="8" l="1"/>
  <c r="D1031" i="8"/>
  <c r="F1031" i="8" s="1"/>
  <c r="A1033" i="8"/>
  <c r="C1032" i="8"/>
  <c r="B1032" i="8"/>
  <c r="E1032" i="8" l="1"/>
  <c r="D1032" i="8"/>
  <c r="F1032" i="8" s="1"/>
  <c r="A1034" i="8"/>
  <c r="C1033" i="8"/>
  <c r="B1033" i="8"/>
  <c r="E1033" i="8" l="1"/>
  <c r="D1033" i="8"/>
  <c r="A1035" i="8"/>
  <c r="C1034" i="8"/>
  <c r="B1034" i="8"/>
  <c r="E1034" i="8" l="1"/>
  <c r="D1034" i="8"/>
  <c r="F1034" i="8" s="1"/>
  <c r="F1033" i="8"/>
  <c r="A1036" i="8"/>
  <c r="C1035" i="8"/>
  <c r="B1035" i="8"/>
  <c r="E1035" i="8" l="1"/>
  <c r="D1035" i="8"/>
  <c r="F1035" i="8" s="1"/>
  <c r="A1037" i="8"/>
  <c r="C1036" i="8"/>
  <c r="B1036" i="8"/>
  <c r="E1036" i="8" l="1"/>
  <c r="D1036" i="8"/>
  <c r="F1036" i="8" s="1"/>
  <c r="A1038" i="8"/>
  <c r="C1037" i="8"/>
  <c r="B1037" i="8"/>
  <c r="E1037" i="8" l="1"/>
  <c r="D1037" i="8"/>
  <c r="F1037" i="8" s="1"/>
  <c r="A1039" i="8"/>
  <c r="C1038" i="8"/>
  <c r="B1038" i="8"/>
  <c r="E1038" i="8" l="1"/>
  <c r="D1038" i="8"/>
  <c r="F1038" i="8" s="1"/>
  <c r="A1040" i="8"/>
  <c r="C1039" i="8"/>
  <c r="B1039" i="8"/>
  <c r="E1039" i="8" l="1"/>
  <c r="D1039" i="8"/>
  <c r="F1039" i="8" s="1"/>
  <c r="A1041" i="8"/>
  <c r="C1040" i="8"/>
  <c r="B1040" i="8"/>
  <c r="E1040" i="8" l="1"/>
  <c r="D1040" i="8"/>
  <c r="F1040" i="8" s="1"/>
  <c r="A1042" i="8"/>
  <c r="C1041" i="8"/>
  <c r="B1041" i="8"/>
  <c r="E1041" i="8" l="1"/>
  <c r="D1041" i="8"/>
  <c r="F1041" i="8" s="1"/>
  <c r="A1043" i="8"/>
  <c r="C1042" i="8"/>
  <c r="B1042" i="8"/>
  <c r="E1042" i="8" l="1"/>
  <c r="D1042" i="8"/>
  <c r="F1042" i="8" s="1"/>
  <c r="A1044" i="8"/>
  <c r="C1043" i="8"/>
  <c r="B1043" i="8"/>
  <c r="E1043" i="8" l="1"/>
  <c r="D1043" i="8"/>
  <c r="F1043" i="8" s="1"/>
  <c r="A1045" i="8"/>
  <c r="C1044" i="8"/>
  <c r="B1044" i="8"/>
  <c r="E1044" i="8" l="1"/>
  <c r="D1044" i="8"/>
  <c r="F1044" i="8" s="1"/>
  <c r="A1046" i="8"/>
  <c r="C1045" i="8"/>
  <c r="B1045" i="8"/>
  <c r="E1045" i="8" l="1"/>
  <c r="D1045" i="8"/>
  <c r="F1045" i="8" s="1"/>
  <c r="A1047" i="8"/>
  <c r="C1046" i="8"/>
  <c r="B1046" i="8"/>
  <c r="E1046" i="8" l="1"/>
  <c r="D1046" i="8"/>
  <c r="A1048" i="8"/>
  <c r="C1047" i="8"/>
  <c r="B1047" i="8"/>
  <c r="F1046" i="8" l="1"/>
  <c r="E1047" i="8"/>
  <c r="D1047" i="8"/>
  <c r="F1047" i="8" s="1"/>
  <c r="A1049" i="8"/>
  <c r="C1048" i="8"/>
  <c r="B1048" i="8"/>
  <c r="E1048" i="8" l="1"/>
  <c r="D1048" i="8"/>
  <c r="A1050" i="8"/>
  <c r="C1049" i="8"/>
  <c r="B1049" i="8"/>
  <c r="E1049" i="8" l="1"/>
  <c r="D1049" i="8"/>
  <c r="F1049" i="8" s="1"/>
  <c r="F1048" i="8"/>
  <c r="A1051" i="8"/>
  <c r="C1050" i="8"/>
  <c r="B1050" i="8"/>
  <c r="E1050" i="8" l="1"/>
  <c r="D1050" i="8"/>
  <c r="F1050" i="8" s="1"/>
  <c r="A1052" i="8"/>
  <c r="C1051" i="8"/>
  <c r="B1051" i="8"/>
  <c r="E1051" i="8" l="1"/>
  <c r="D1051" i="8"/>
  <c r="F1051" i="8" s="1"/>
  <c r="A1053" i="8"/>
  <c r="C1052" i="8"/>
  <c r="B1052" i="8"/>
  <c r="E1052" i="8" l="1"/>
  <c r="D1052" i="8"/>
  <c r="F1052" i="8" s="1"/>
  <c r="A1054" i="8"/>
  <c r="C1053" i="8"/>
  <c r="B1053" i="8"/>
  <c r="E1053" i="8" l="1"/>
  <c r="D1053" i="8"/>
  <c r="F1053" i="8" s="1"/>
  <c r="A1055" i="8"/>
  <c r="C1054" i="8"/>
  <c r="B1054" i="8"/>
  <c r="E1054" i="8" l="1"/>
  <c r="D1054" i="8"/>
  <c r="F1054" i="8" s="1"/>
  <c r="A1056" i="8"/>
  <c r="C1055" i="8"/>
  <c r="B1055" i="8"/>
  <c r="E1055" i="8" l="1"/>
  <c r="D1055" i="8"/>
  <c r="F1055" i="8" s="1"/>
  <c r="A1057" i="8"/>
  <c r="C1056" i="8"/>
  <c r="B1056" i="8"/>
  <c r="E1056" i="8" l="1"/>
  <c r="D1056" i="8"/>
  <c r="F1056" i="8" s="1"/>
  <c r="A1058" i="8"/>
  <c r="C1057" i="8"/>
  <c r="B1057" i="8"/>
  <c r="E1057" i="8" l="1"/>
  <c r="D1057" i="8"/>
  <c r="F1057" i="8" s="1"/>
  <c r="A1059" i="8"/>
  <c r="C1058" i="8"/>
  <c r="B1058" i="8"/>
  <c r="E1058" i="8" l="1"/>
  <c r="D1058" i="8"/>
  <c r="F1058" i="8" s="1"/>
  <c r="A1060" i="8"/>
  <c r="C1059" i="8"/>
  <c r="B1059" i="8"/>
  <c r="E1059" i="8" l="1"/>
  <c r="D1059" i="8"/>
  <c r="F1059" i="8" s="1"/>
  <c r="A1061" i="8"/>
  <c r="C1060" i="8"/>
  <c r="B1060" i="8"/>
  <c r="E1060" i="8" l="1"/>
  <c r="D1060" i="8"/>
  <c r="F1060" i="8" s="1"/>
  <c r="A1062" i="8"/>
  <c r="C1061" i="8"/>
  <c r="B1061" i="8"/>
  <c r="E1061" i="8" l="1"/>
  <c r="D1061" i="8"/>
  <c r="F1061" i="8" s="1"/>
  <c r="A1063" i="8"/>
  <c r="C1062" i="8"/>
  <c r="B1062" i="8"/>
  <c r="E1062" i="8" l="1"/>
  <c r="D1062" i="8"/>
  <c r="A1064" i="8"/>
  <c r="C1063" i="8"/>
  <c r="B1063" i="8"/>
  <c r="F1062" i="8" l="1"/>
  <c r="E1063" i="8"/>
  <c r="D1063" i="8"/>
  <c r="F1063" i="8" s="1"/>
  <c r="A1065" i="8"/>
  <c r="C1064" i="8"/>
  <c r="B1064" i="8"/>
  <c r="E1064" i="8" l="1"/>
  <c r="D1064" i="8"/>
  <c r="F1064" i="8" s="1"/>
  <c r="A1066" i="8"/>
  <c r="C1065" i="8"/>
  <c r="B1065" i="8"/>
  <c r="E1065" i="8" l="1"/>
  <c r="D1065" i="8"/>
  <c r="F1065" i="8" s="1"/>
  <c r="A1067" i="8"/>
  <c r="C1066" i="8"/>
  <c r="B1066" i="8"/>
  <c r="E1066" i="8" l="1"/>
  <c r="D1066" i="8"/>
  <c r="F1066" i="8" s="1"/>
  <c r="A1068" i="8"/>
  <c r="C1067" i="8"/>
  <c r="B1067" i="8"/>
  <c r="E1067" i="8" l="1"/>
  <c r="D1067" i="8"/>
  <c r="F1067" i="8" s="1"/>
  <c r="A1069" i="8"/>
  <c r="C1068" i="8"/>
  <c r="B1068" i="8"/>
  <c r="E1068" i="8" l="1"/>
  <c r="D1068" i="8"/>
  <c r="F1068" i="8" s="1"/>
  <c r="A1070" i="8"/>
  <c r="C1069" i="8"/>
  <c r="B1069" i="8"/>
  <c r="E1069" i="8" l="1"/>
  <c r="D1069" i="8"/>
  <c r="A1071" i="8"/>
  <c r="C1070" i="8"/>
  <c r="B1070" i="8"/>
  <c r="F1069" i="8" l="1"/>
  <c r="E1070" i="8"/>
  <c r="D1070" i="8"/>
  <c r="F1070" i="8" s="1"/>
  <c r="A1072" i="8"/>
  <c r="C1071" i="8"/>
  <c r="B1071" i="8"/>
  <c r="E1071" i="8" l="1"/>
  <c r="D1071" i="8"/>
  <c r="F1071" i="8" s="1"/>
  <c r="A1073" i="8"/>
  <c r="C1072" i="8"/>
  <c r="B1072" i="8"/>
  <c r="E1072" i="8" l="1"/>
  <c r="D1072" i="8"/>
  <c r="F1072" i="8" s="1"/>
  <c r="A1074" i="8"/>
  <c r="C1073" i="8"/>
  <c r="B1073" i="8"/>
  <c r="E1073" i="8" l="1"/>
  <c r="D1073" i="8"/>
  <c r="F1073" i="8" s="1"/>
  <c r="A1075" i="8"/>
  <c r="C1074" i="8"/>
  <c r="B1074" i="8"/>
  <c r="E1074" i="8" l="1"/>
  <c r="D1074" i="8"/>
  <c r="F1074" i="8" s="1"/>
  <c r="A1076" i="8"/>
  <c r="C1075" i="8"/>
  <c r="B1075" i="8"/>
  <c r="E1075" i="8" l="1"/>
  <c r="D1075" i="8"/>
  <c r="F1075" i="8" s="1"/>
  <c r="A1077" i="8"/>
  <c r="C1076" i="8"/>
  <c r="B1076" i="8"/>
  <c r="E1076" i="8" l="1"/>
  <c r="D1076" i="8"/>
  <c r="A1078" i="8"/>
  <c r="C1077" i="8"/>
  <c r="B1077" i="8"/>
  <c r="F1076" i="8" l="1"/>
  <c r="E1077" i="8"/>
  <c r="D1077" i="8"/>
  <c r="F1077" i="8" s="1"/>
  <c r="A1079" i="8"/>
  <c r="C1078" i="8"/>
  <c r="B1078" i="8"/>
  <c r="E1078" i="8" l="1"/>
  <c r="D1078" i="8"/>
  <c r="F1078" i="8" s="1"/>
  <c r="A1080" i="8"/>
  <c r="C1079" i="8"/>
  <c r="B1079" i="8"/>
  <c r="E1079" i="8" l="1"/>
  <c r="D1079" i="8"/>
  <c r="F1079" i="8" s="1"/>
  <c r="A1081" i="8"/>
  <c r="C1080" i="8"/>
  <c r="B1080" i="8"/>
  <c r="E1080" i="8" l="1"/>
  <c r="D1080" i="8"/>
  <c r="F1080" i="8" s="1"/>
  <c r="A1082" i="8"/>
  <c r="C1081" i="8"/>
  <c r="B1081" i="8"/>
  <c r="E1081" i="8" l="1"/>
  <c r="D1081" i="8"/>
  <c r="F1081" i="8" s="1"/>
  <c r="A1083" i="8"/>
  <c r="C1082" i="8"/>
  <c r="B1082" i="8"/>
  <c r="E1082" i="8" l="1"/>
  <c r="D1082" i="8"/>
  <c r="F1082" i="8" s="1"/>
  <c r="A1084" i="8"/>
  <c r="C1083" i="8"/>
  <c r="B1083" i="8"/>
  <c r="E1083" i="8" l="1"/>
  <c r="D1083" i="8"/>
  <c r="F1083" i="8" s="1"/>
  <c r="A1085" i="8"/>
  <c r="C1084" i="8"/>
  <c r="B1084" i="8"/>
  <c r="E1084" i="8" l="1"/>
  <c r="D1084" i="8"/>
  <c r="F1084" i="8" s="1"/>
  <c r="A1086" i="8"/>
  <c r="C1085" i="8"/>
  <c r="B1085" i="8"/>
  <c r="E1085" i="8" l="1"/>
  <c r="D1085" i="8"/>
  <c r="F1085" i="8" s="1"/>
  <c r="A1087" i="8"/>
  <c r="C1086" i="8"/>
  <c r="B1086" i="8"/>
  <c r="E1086" i="8" l="1"/>
  <c r="D1086" i="8"/>
  <c r="F1086" i="8" s="1"/>
  <c r="A1088" i="8"/>
  <c r="C1087" i="8"/>
  <c r="B1087" i="8"/>
  <c r="E1087" i="8" l="1"/>
  <c r="D1087" i="8"/>
  <c r="F1087" i="8" s="1"/>
  <c r="A1089" i="8"/>
  <c r="C1088" i="8"/>
  <c r="B1088" i="8"/>
  <c r="E1088" i="8" l="1"/>
  <c r="D1088" i="8"/>
  <c r="F1088" i="8" s="1"/>
  <c r="A1090" i="8"/>
  <c r="C1089" i="8"/>
  <c r="B1089" i="8"/>
  <c r="E1089" i="8" l="1"/>
  <c r="D1089" i="8"/>
  <c r="A1091" i="8"/>
  <c r="C1090" i="8"/>
  <c r="B1090" i="8"/>
  <c r="F1089" i="8" l="1"/>
  <c r="E1090" i="8"/>
  <c r="D1090" i="8"/>
  <c r="F1090" i="8" s="1"/>
  <c r="A1092" i="8"/>
  <c r="C1091" i="8"/>
  <c r="B1091" i="8"/>
  <c r="E1091" i="8" l="1"/>
  <c r="D1091" i="8"/>
  <c r="F1091" i="8" s="1"/>
  <c r="A1093" i="8"/>
  <c r="C1092" i="8"/>
  <c r="B1092" i="8"/>
  <c r="E1092" i="8" l="1"/>
  <c r="D1092" i="8"/>
  <c r="F1092" i="8" s="1"/>
  <c r="A1094" i="8"/>
  <c r="C1093" i="8"/>
  <c r="B1093" i="8"/>
  <c r="E1093" i="8" l="1"/>
  <c r="D1093" i="8"/>
  <c r="A1095" i="8"/>
  <c r="C1094" i="8"/>
  <c r="B1094" i="8"/>
  <c r="F1093" i="8" l="1"/>
  <c r="E1094" i="8"/>
  <c r="D1094" i="8"/>
  <c r="F1094" i="8" s="1"/>
  <c r="A1096" i="8"/>
  <c r="C1095" i="8"/>
  <c r="B1095" i="8"/>
  <c r="E1095" i="8" l="1"/>
  <c r="D1095" i="8"/>
  <c r="F1095" i="8" s="1"/>
  <c r="A1097" i="8"/>
  <c r="C1096" i="8"/>
  <c r="B1096" i="8"/>
  <c r="E1096" i="8" l="1"/>
  <c r="D1096" i="8"/>
  <c r="F1096" i="8" s="1"/>
  <c r="A1098" i="8"/>
  <c r="C1097" i="8"/>
  <c r="B1097" i="8"/>
  <c r="E1097" i="8" l="1"/>
  <c r="D1097" i="8"/>
  <c r="F1097" i="8" s="1"/>
  <c r="A1099" i="8"/>
  <c r="C1098" i="8"/>
  <c r="B1098" i="8"/>
  <c r="E1098" i="8" l="1"/>
  <c r="D1098" i="8"/>
  <c r="F1098" i="8" s="1"/>
  <c r="A1100" i="8"/>
  <c r="C1099" i="8"/>
  <c r="B1099" i="8"/>
  <c r="E1099" i="8" l="1"/>
  <c r="D1099" i="8"/>
  <c r="F1099" i="8" s="1"/>
  <c r="A1101" i="8"/>
  <c r="C1100" i="8"/>
  <c r="B1100" i="8"/>
  <c r="E1100" i="8" l="1"/>
  <c r="D1100" i="8"/>
  <c r="F1100" i="8" s="1"/>
  <c r="A1102" i="8"/>
  <c r="C1101" i="8"/>
  <c r="B1101" i="8"/>
  <c r="E1101" i="8" l="1"/>
  <c r="D1101" i="8"/>
  <c r="F1101" i="8" s="1"/>
  <c r="A1103" i="8"/>
  <c r="C1102" i="8"/>
  <c r="B1102" i="8"/>
  <c r="E1102" i="8" l="1"/>
  <c r="D1102" i="8"/>
  <c r="F1102" i="8" s="1"/>
  <c r="A1104" i="8"/>
  <c r="C1103" i="8"/>
  <c r="B1103" i="8"/>
  <c r="E1103" i="8" l="1"/>
  <c r="D1103" i="8"/>
  <c r="F1103" i="8" s="1"/>
  <c r="A1105" i="8"/>
  <c r="C1104" i="8"/>
  <c r="B1104" i="8"/>
  <c r="E1104" i="8" l="1"/>
  <c r="D1104" i="8"/>
  <c r="F1104" i="8" s="1"/>
  <c r="A1106" i="8"/>
  <c r="C1105" i="8"/>
  <c r="B1105" i="8"/>
  <c r="E1105" i="8" l="1"/>
  <c r="D1105" i="8"/>
  <c r="F1105" i="8" s="1"/>
  <c r="A1107" i="8"/>
  <c r="C1106" i="8"/>
  <c r="B1106" i="8"/>
  <c r="E1106" i="8" l="1"/>
  <c r="D1106" i="8"/>
  <c r="F1106" i="8" s="1"/>
  <c r="A1108" i="8"/>
  <c r="C1107" i="8"/>
  <c r="B1107" i="8"/>
  <c r="E1107" i="8" l="1"/>
  <c r="D1107" i="8"/>
  <c r="F1107" i="8" s="1"/>
  <c r="A1109" i="8"/>
  <c r="C1108" i="8"/>
  <c r="B1108" i="8"/>
  <c r="E1108" i="8" l="1"/>
  <c r="D1108" i="8"/>
  <c r="F1108" i="8" s="1"/>
  <c r="A1110" i="8"/>
  <c r="C1109" i="8"/>
  <c r="B1109" i="8"/>
  <c r="E1109" i="8" l="1"/>
  <c r="D1109" i="8"/>
  <c r="F1109" i="8" s="1"/>
  <c r="A1111" i="8"/>
  <c r="C1110" i="8"/>
  <c r="B1110" i="8"/>
  <c r="E1110" i="8" l="1"/>
  <c r="D1110" i="8"/>
  <c r="F1110" i="8" s="1"/>
  <c r="A1112" i="8"/>
  <c r="C1111" i="8"/>
  <c r="B1111" i="8"/>
  <c r="E1111" i="8" l="1"/>
  <c r="D1111" i="8"/>
  <c r="F1111" i="8" s="1"/>
  <c r="A1113" i="8"/>
  <c r="C1112" i="8"/>
  <c r="B1112" i="8"/>
  <c r="E1112" i="8" l="1"/>
  <c r="D1112" i="8"/>
  <c r="F1112" i="8" s="1"/>
  <c r="A1114" i="8"/>
  <c r="C1113" i="8"/>
  <c r="B1113" i="8"/>
  <c r="E1113" i="8" l="1"/>
  <c r="D1113" i="8"/>
  <c r="F1113" i="8" s="1"/>
  <c r="A1115" i="8"/>
  <c r="C1114" i="8"/>
  <c r="B1114" i="8"/>
  <c r="E1114" i="8" l="1"/>
  <c r="D1114" i="8"/>
  <c r="F1114" i="8" s="1"/>
  <c r="A1116" i="8"/>
  <c r="C1115" i="8"/>
  <c r="B1115" i="8"/>
  <c r="E1115" i="8" l="1"/>
  <c r="D1115" i="8"/>
  <c r="A1117" i="8"/>
  <c r="C1116" i="8"/>
  <c r="B1116" i="8"/>
  <c r="F1115" i="8" l="1"/>
  <c r="E1116" i="8"/>
  <c r="D1116" i="8"/>
  <c r="A1118" i="8"/>
  <c r="C1117" i="8"/>
  <c r="B1117" i="8"/>
  <c r="F1116" i="8" l="1"/>
  <c r="E1117" i="8"/>
  <c r="D1117" i="8"/>
  <c r="A1119" i="8"/>
  <c r="C1118" i="8"/>
  <c r="B1118" i="8"/>
  <c r="F1117" i="8" l="1"/>
  <c r="E1118" i="8"/>
  <c r="D1118" i="8"/>
  <c r="F1118" i="8" s="1"/>
  <c r="A1120" i="8"/>
  <c r="C1119" i="8"/>
  <c r="B1119" i="8"/>
  <c r="E1119" i="8" l="1"/>
  <c r="D1119" i="8"/>
  <c r="F1119" i="8" s="1"/>
  <c r="A1121" i="8"/>
  <c r="C1120" i="8"/>
  <c r="B1120" i="8"/>
  <c r="E1120" i="8" l="1"/>
  <c r="D1120" i="8"/>
  <c r="F1120" i="8" s="1"/>
  <c r="A1122" i="8"/>
  <c r="C1121" i="8"/>
  <c r="B1121" i="8"/>
  <c r="E1121" i="8" l="1"/>
  <c r="D1121" i="8"/>
  <c r="F1121" i="8" s="1"/>
  <c r="A1123" i="8"/>
  <c r="C1122" i="8"/>
  <c r="B1122" i="8"/>
  <c r="E1122" i="8" l="1"/>
  <c r="D1122" i="8"/>
  <c r="F1122" i="8" s="1"/>
  <c r="A1124" i="8"/>
  <c r="C1123" i="8"/>
  <c r="B1123" i="8"/>
  <c r="E1123" i="8" l="1"/>
  <c r="D1123" i="8"/>
  <c r="F1123" i="8" s="1"/>
  <c r="A1125" i="8"/>
  <c r="C1124" i="8"/>
  <c r="B1124" i="8"/>
  <c r="E1124" i="8" l="1"/>
  <c r="D1124" i="8"/>
  <c r="F1124" i="8" s="1"/>
  <c r="A1126" i="8"/>
  <c r="C1125" i="8"/>
  <c r="B1125" i="8"/>
  <c r="E1125" i="8" l="1"/>
  <c r="D1125" i="8"/>
  <c r="F1125" i="8" s="1"/>
  <c r="A1127" i="8"/>
  <c r="C1126" i="8"/>
  <c r="B1126" i="8"/>
  <c r="E1126" i="8" l="1"/>
  <c r="D1126" i="8"/>
  <c r="F1126" i="8" s="1"/>
  <c r="A1128" i="8"/>
  <c r="C1127" i="8"/>
  <c r="B1127" i="8"/>
  <c r="E1127" i="8" l="1"/>
  <c r="D1127" i="8"/>
  <c r="F1127" i="8" s="1"/>
  <c r="A1129" i="8"/>
  <c r="C1128" i="8"/>
  <c r="B1128" i="8"/>
  <c r="E1128" i="8" l="1"/>
  <c r="D1128" i="8"/>
  <c r="F1128" i="8" s="1"/>
  <c r="A1130" i="8"/>
  <c r="C1129" i="8"/>
  <c r="B1129" i="8"/>
  <c r="E1129" i="8" l="1"/>
  <c r="D1129" i="8"/>
  <c r="F1129" i="8" s="1"/>
  <c r="A1131" i="8"/>
  <c r="C1130" i="8"/>
  <c r="B1130" i="8"/>
  <c r="E1130" i="8" l="1"/>
  <c r="D1130" i="8"/>
  <c r="F1130" i="8" s="1"/>
  <c r="A1132" i="8"/>
  <c r="C1131" i="8"/>
  <c r="B1131" i="8"/>
  <c r="E1131" i="8" l="1"/>
  <c r="D1131" i="8"/>
  <c r="F1131" i="8" s="1"/>
  <c r="A1133" i="8"/>
  <c r="C1132" i="8"/>
  <c r="B1132" i="8"/>
  <c r="E1132" i="8" l="1"/>
  <c r="D1132" i="8"/>
  <c r="F1132" i="8" s="1"/>
  <c r="A1134" i="8"/>
  <c r="C1133" i="8"/>
  <c r="B1133" i="8"/>
  <c r="E1133" i="8" l="1"/>
  <c r="D1133" i="8"/>
  <c r="F1133" i="8" s="1"/>
  <c r="A1135" i="8"/>
  <c r="C1134" i="8"/>
  <c r="B1134" i="8"/>
  <c r="E1134" i="8" l="1"/>
  <c r="D1134" i="8"/>
  <c r="F1134" i="8" s="1"/>
  <c r="A1136" i="8"/>
  <c r="C1135" i="8"/>
  <c r="B1135" i="8"/>
  <c r="E1135" i="8" l="1"/>
  <c r="D1135" i="8"/>
  <c r="F1135" i="8" s="1"/>
  <c r="A1137" i="8"/>
  <c r="C1136" i="8"/>
  <c r="B1136" i="8"/>
  <c r="E1136" i="8" l="1"/>
  <c r="D1136" i="8"/>
  <c r="A1138" i="8"/>
  <c r="C1137" i="8"/>
  <c r="B1137" i="8"/>
  <c r="F1136" i="8" l="1"/>
  <c r="E1137" i="8"/>
  <c r="D1137" i="8"/>
  <c r="F1137" i="8" s="1"/>
  <c r="A1139" i="8"/>
  <c r="C1138" i="8"/>
  <c r="B1138" i="8"/>
  <c r="E1138" i="8" l="1"/>
  <c r="D1138" i="8"/>
  <c r="F1138" i="8" s="1"/>
  <c r="A1140" i="8"/>
  <c r="C1139" i="8"/>
  <c r="B1139" i="8"/>
  <c r="E1139" i="8" l="1"/>
  <c r="D1139" i="8"/>
  <c r="F1139" i="8" s="1"/>
  <c r="A1141" i="8"/>
  <c r="C1140" i="8"/>
  <c r="B1140" i="8"/>
  <c r="E1140" i="8" l="1"/>
  <c r="D1140" i="8"/>
  <c r="F1140" i="8" s="1"/>
  <c r="A1142" i="8"/>
  <c r="C1141" i="8"/>
  <c r="B1141" i="8"/>
  <c r="E1141" i="8" l="1"/>
  <c r="D1141" i="8"/>
  <c r="F1141" i="8" s="1"/>
  <c r="A1143" i="8"/>
  <c r="C1142" i="8"/>
  <c r="B1142" i="8"/>
  <c r="E1142" i="8" l="1"/>
  <c r="D1142" i="8"/>
  <c r="F1142" i="8" s="1"/>
  <c r="A1144" i="8"/>
  <c r="C1143" i="8"/>
  <c r="B1143" i="8"/>
  <c r="E1143" i="8" l="1"/>
  <c r="D1143" i="8"/>
  <c r="F1143" i="8" s="1"/>
  <c r="A1145" i="8"/>
  <c r="C1144" i="8"/>
  <c r="B1144" i="8"/>
  <c r="E1144" i="8" l="1"/>
  <c r="D1144" i="8"/>
  <c r="F1144" i="8" s="1"/>
  <c r="A1146" i="8"/>
  <c r="C1145" i="8"/>
  <c r="B1145" i="8"/>
  <c r="E1145" i="8" l="1"/>
  <c r="D1145" i="8"/>
  <c r="A1147" i="8"/>
  <c r="C1146" i="8"/>
  <c r="B1146" i="8"/>
  <c r="E1146" i="8" l="1"/>
  <c r="D1146" i="8"/>
  <c r="F1146" i="8" s="1"/>
  <c r="F1145" i="8"/>
  <c r="A1148" i="8"/>
  <c r="C1147" i="8"/>
  <c r="B1147" i="8"/>
  <c r="E1147" i="8" l="1"/>
  <c r="D1147" i="8"/>
  <c r="F1147" i="8" s="1"/>
  <c r="A1149" i="8"/>
  <c r="C1148" i="8"/>
  <c r="B1148" i="8"/>
  <c r="E1148" i="8" l="1"/>
  <c r="D1148" i="8"/>
  <c r="F1148" i="8" s="1"/>
  <c r="A1150" i="8"/>
  <c r="C1149" i="8"/>
  <c r="B1149" i="8"/>
  <c r="E1149" i="8" l="1"/>
  <c r="D1149" i="8"/>
  <c r="F1149" i="8" s="1"/>
  <c r="A1151" i="8"/>
  <c r="C1150" i="8"/>
  <c r="B1150" i="8"/>
  <c r="E1150" i="8" l="1"/>
  <c r="D1150" i="8"/>
  <c r="F1150" i="8" s="1"/>
  <c r="A1152" i="8"/>
  <c r="C1151" i="8"/>
  <c r="B1151" i="8"/>
  <c r="E1151" i="8" l="1"/>
  <c r="D1151" i="8"/>
  <c r="F1151" i="8" s="1"/>
  <c r="A1153" i="8"/>
  <c r="C1152" i="8"/>
  <c r="B1152" i="8"/>
  <c r="E1152" i="8" l="1"/>
  <c r="D1152" i="8"/>
  <c r="F1152" i="8" s="1"/>
  <c r="A1154" i="8"/>
  <c r="C1153" i="8"/>
  <c r="B1153" i="8"/>
  <c r="E1153" i="8" l="1"/>
  <c r="D1153" i="8"/>
  <c r="F1153" i="8" s="1"/>
  <c r="A1155" i="8"/>
  <c r="C1154" i="8"/>
  <c r="B1154" i="8"/>
  <c r="E1154" i="8" l="1"/>
  <c r="D1154" i="8"/>
  <c r="F1154" i="8" s="1"/>
  <c r="A1156" i="8"/>
  <c r="C1155" i="8"/>
  <c r="B1155" i="8"/>
  <c r="E1155" i="8" l="1"/>
  <c r="D1155" i="8"/>
  <c r="F1155" i="8" s="1"/>
  <c r="A1157" i="8"/>
  <c r="C1156" i="8"/>
  <c r="B1156" i="8"/>
  <c r="E1156" i="8" l="1"/>
  <c r="D1156" i="8"/>
  <c r="F1156" i="8" s="1"/>
  <c r="A1158" i="8"/>
  <c r="C1157" i="8"/>
  <c r="B1157" i="8"/>
  <c r="E1157" i="8" l="1"/>
  <c r="D1157" i="8"/>
  <c r="A1159" i="8"/>
  <c r="C1158" i="8"/>
  <c r="B1158" i="8"/>
  <c r="E1158" i="8" l="1"/>
  <c r="D1158" i="8"/>
  <c r="F1158" i="8" s="1"/>
  <c r="F1157" i="8"/>
  <c r="A1160" i="8"/>
  <c r="C1159" i="8"/>
  <c r="B1159" i="8"/>
  <c r="E1159" i="8" l="1"/>
  <c r="D1159" i="8"/>
  <c r="F1159" i="8" s="1"/>
  <c r="A1161" i="8"/>
  <c r="C1160" i="8"/>
  <c r="B1160" i="8"/>
  <c r="E1160" i="8" l="1"/>
  <c r="D1160" i="8"/>
  <c r="F1160" i="8" s="1"/>
  <c r="A1162" i="8"/>
  <c r="C1161" i="8"/>
  <c r="B1161" i="8"/>
  <c r="E1161" i="8" l="1"/>
  <c r="D1161" i="8"/>
  <c r="F1161" i="8" s="1"/>
  <c r="A1163" i="8"/>
  <c r="C1162" i="8"/>
  <c r="B1162" i="8"/>
  <c r="E1162" i="8" l="1"/>
  <c r="D1162" i="8"/>
  <c r="F1162" i="8" s="1"/>
  <c r="A1164" i="8"/>
  <c r="C1163" i="8"/>
  <c r="B1163" i="8"/>
  <c r="E1163" i="8" l="1"/>
  <c r="D1163" i="8"/>
  <c r="F1163" i="8" s="1"/>
  <c r="A1165" i="8"/>
  <c r="C1164" i="8"/>
  <c r="B1164" i="8"/>
  <c r="E1164" i="8" l="1"/>
  <c r="D1164" i="8"/>
  <c r="A1166" i="8"/>
  <c r="C1165" i="8"/>
  <c r="B1165" i="8"/>
  <c r="F1164" i="8" l="1"/>
  <c r="E1165" i="8"/>
  <c r="D1165" i="8"/>
  <c r="F1165" i="8" s="1"/>
  <c r="A1167" i="8"/>
  <c r="C1166" i="8"/>
  <c r="B1166" i="8"/>
  <c r="E1166" i="8" l="1"/>
  <c r="D1166" i="8"/>
  <c r="F1166" i="8" s="1"/>
  <c r="A1168" i="8"/>
  <c r="C1167" i="8"/>
  <c r="B1167" i="8"/>
  <c r="E1167" i="8" l="1"/>
  <c r="D1167" i="8"/>
  <c r="F1167" i="8" s="1"/>
  <c r="A1169" i="8"/>
  <c r="C1168" i="8"/>
  <c r="B1168" i="8"/>
  <c r="E1168" i="8" l="1"/>
  <c r="D1168" i="8"/>
  <c r="F1168" i="8" s="1"/>
  <c r="A1170" i="8"/>
  <c r="C1169" i="8"/>
  <c r="B1169" i="8"/>
  <c r="E1169" i="8" l="1"/>
  <c r="D1169" i="8"/>
  <c r="F1169" i="8" s="1"/>
  <c r="A1171" i="8"/>
  <c r="C1170" i="8"/>
  <c r="B1170" i="8"/>
  <c r="E1170" i="8" l="1"/>
  <c r="D1170" i="8"/>
  <c r="F1170" i="8" s="1"/>
  <c r="A1172" i="8"/>
  <c r="C1171" i="8"/>
  <c r="B1171" i="8"/>
  <c r="E1171" i="8" l="1"/>
  <c r="D1171" i="8"/>
  <c r="F1171" i="8" s="1"/>
  <c r="A1173" i="8"/>
  <c r="C1172" i="8"/>
  <c r="B1172" i="8"/>
  <c r="E1172" i="8" l="1"/>
  <c r="D1172" i="8"/>
  <c r="F1172" i="8" s="1"/>
  <c r="A1174" i="8"/>
  <c r="C1173" i="8"/>
  <c r="B1173" i="8"/>
  <c r="E1173" i="8" l="1"/>
  <c r="D1173" i="8"/>
  <c r="F1173" i="8" s="1"/>
  <c r="A1175" i="8"/>
  <c r="C1174" i="8"/>
  <c r="B1174" i="8"/>
  <c r="E1174" i="8" l="1"/>
  <c r="D1174" i="8"/>
  <c r="F1174" i="8" s="1"/>
  <c r="A1176" i="8"/>
  <c r="C1175" i="8"/>
  <c r="B1175" i="8"/>
  <c r="E1175" i="8" l="1"/>
  <c r="D1175" i="8"/>
  <c r="A1177" i="8"/>
  <c r="C1176" i="8"/>
  <c r="B1176" i="8"/>
  <c r="E1176" i="8" l="1"/>
  <c r="D1176" i="8"/>
  <c r="F1176" i="8" s="1"/>
  <c r="F1175" i="8"/>
  <c r="A1178" i="8"/>
  <c r="C1177" i="8"/>
  <c r="B1177" i="8"/>
  <c r="E1177" i="8" l="1"/>
  <c r="D1177" i="8"/>
  <c r="A1179" i="8"/>
  <c r="C1178" i="8"/>
  <c r="B1178" i="8"/>
  <c r="F1177" i="8" l="1"/>
  <c r="E1178" i="8"/>
  <c r="D1178" i="8"/>
  <c r="F1178" i="8" s="1"/>
  <c r="A1180" i="8"/>
  <c r="C1179" i="8"/>
  <c r="B1179" i="8"/>
  <c r="E1179" i="8" l="1"/>
  <c r="D1179" i="8"/>
  <c r="A1181" i="8"/>
  <c r="C1180" i="8"/>
  <c r="B1180" i="8"/>
  <c r="F1179" i="8" l="1"/>
  <c r="E1180" i="8"/>
  <c r="D1180" i="8"/>
  <c r="F1180" i="8" s="1"/>
  <c r="A1182" i="8"/>
  <c r="C1181" i="8"/>
  <c r="B1181" i="8"/>
  <c r="E1181" i="8" l="1"/>
  <c r="D1181" i="8"/>
  <c r="F1181" i="8" s="1"/>
  <c r="A1183" i="8"/>
  <c r="C1182" i="8"/>
  <c r="B1182" i="8"/>
  <c r="E1182" i="8" l="1"/>
  <c r="D1182" i="8"/>
  <c r="F1182" i="8" s="1"/>
  <c r="A1184" i="8"/>
  <c r="C1183" i="8"/>
  <c r="B1183" i="8"/>
  <c r="E1183" i="8" l="1"/>
  <c r="D1183" i="8"/>
  <c r="F1183" i="8" s="1"/>
  <c r="A1185" i="8"/>
  <c r="C1184" i="8"/>
  <c r="B1184" i="8"/>
  <c r="E1184" i="8" l="1"/>
  <c r="D1184" i="8"/>
  <c r="F1184" i="8" s="1"/>
  <c r="A1186" i="8"/>
  <c r="C1185" i="8"/>
  <c r="B1185" i="8"/>
  <c r="E1185" i="8" l="1"/>
  <c r="D1185" i="8"/>
  <c r="F1185" i="8" s="1"/>
  <c r="A1187" i="8"/>
  <c r="C1186" i="8"/>
  <c r="B1186" i="8"/>
  <c r="E1186" i="8" l="1"/>
  <c r="D1186" i="8"/>
  <c r="F1186" i="8" s="1"/>
  <c r="A1188" i="8"/>
  <c r="C1187" i="8"/>
  <c r="B1187" i="8"/>
  <c r="E1187" i="8" l="1"/>
  <c r="D1187" i="8"/>
  <c r="F1187" i="8" s="1"/>
  <c r="A1189" i="8"/>
  <c r="C1188" i="8"/>
  <c r="B1188" i="8"/>
  <c r="E1188" i="8" l="1"/>
  <c r="D1188" i="8"/>
  <c r="F1188" i="8" s="1"/>
  <c r="A1190" i="8"/>
  <c r="C1189" i="8"/>
  <c r="B1189" i="8"/>
  <c r="E1189" i="8" l="1"/>
  <c r="D1189" i="8"/>
  <c r="A1191" i="8"/>
  <c r="C1190" i="8"/>
  <c r="B1190" i="8"/>
  <c r="F1189" i="8" l="1"/>
  <c r="E1190" i="8"/>
  <c r="D1190" i="8"/>
  <c r="F1190" i="8" s="1"/>
  <c r="A1192" i="8"/>
  <c r="C1191" i="8"/>
  <c r="B1191" i="8"/>
  <c r="E1191" i="8" l="1"/>
  <c r="D1191" i="8"/>
  <c r="F1191" i="8" s="1"/>
  <c r="A1193" i="8"/>
  <c r="C1192" i="8"/>
  <c r="B1192" i="8"/>
  <c r="E1192" i="8" l="1"/>
  <c r="D1192" i="8"/>
  <c r="F1192" i="8" s="1"/>
  <c r="A1194" i="8"/>
  <c r="C1193" i="8"/>
  <c r="B1193" i="8"/>
  <c r="E1193" i="8" l="1"/>
  <c r="D1193" i="8"/>
  <c r="F1193" i="8" s="1"/>
  <c r="A1195" i="8"/>
  <c r="C1194" i="8"/>
  <c r="B1194" i="8"/>
  <c r="E1194" i="8" l="1"/>
  <c r="D1194" i="8"/>
  <c r="F1194" i="8" s="1"/>
  <c r="A1196" i="8"/>
  <c r="C1195" i="8"/>
  <c r="B1195" i="8"/>
  <c r="E1195" i="8" l="1"/>
  <c r="D1195" i="8"/>
  <c r="F1195" i="8" s="1"/>
  <c r="A1197" i="8"/>
  <c r="C1196" i="8"/>
  <c r="B1196" i="8"/>
  <c r="E1196" i="8" l="1"/>
  <c r="D1196" i="8"/>
  <c r="F1196" i="8" s="1"/>
  <c r="A1198" i="8"/>
  <c r="C1197" i="8"/>
  <c r="B1197" i="8"/>
  <c r="E1197" i="8" l="1"/>
  <c r="D1197" i="8"/>
  <c r="A1199" i="8"/>
  <c r="C1198" i="8"/>
  <c r="B1198" i="8"/>
  <c r="E1198" i="8" l="1"/>
  <c r="D1198" i="8"/>
  <c r="F1198" i="8" s="1"/>
  <c r="F1197" i="8"/>
  <c r="A1200" i="8"/>
  <c r="C1199" i="8"/>
  <c r="B1199" i="8"/>
  <c r="E1199" i="8" l="1"/>
  <c r="D1199" i="8"/>
  <c r="F1199" i="8" s="1"/>
  <c r="A1201" i="8"/>
  <c r="C1200" i="8"/>
  <c r="B1200" i="8"/>
  <c r="E1200" i="8" l="1"/>
  <c r="D1200" i="8"/>
  <c r="F1200" i="8" s="1"/>
  <c r="A1202" i="8"/>
  <c r="C1201" i="8"/>
  <c r="B1201" i="8"/>
  <c r="E1201" i="8" l="1"/>
  <c r="D1201" i="8"/>
  <c r="F1201" i="8" s="1"/>
  <c r="A1203" i="8"/>
  <c r="C1202" i="8"/>
  <c r="B1202" i="8"/>
  <c r="E1202" i="8" l="1"/>
  <c r="D1202" i="8"/>
  <c r="F1202" i="8" s="1"/>
  <c r="A1204" i="8"/>
  <c r="C1203" i="8"/>
  <c r="B1203" i="8"/>
  <c r="E1203" i="8" l="1"/>
  <c r="D1203" i="8"/>
  <c r="F1203" i="8" s="1"/>
  <c r="A1205" i="8"/>
  <c r="C1204" i="8"/>
  <c r="B1204" i="8"/>
  <c r="E1204" i="8" l="1"/>
  <c r="D1204" i="8"/>
  <c r="F1204" i="8" s="1"/>
  <c r="A1206" i="8"/>
  <c r="C1205" i="8"/>
  <c r="B1205" i="8"/>
  <c r="E1205" i="8" l="1"/>
  <c r="D1205" i="8"/>
  <c r="F1205" i="8" s="1"/>
  <c r="A1207" i="8"/>
  <c r="C1206" i="8"/>
  <c r="B1206" i="8"/>
  <c r="E1206" i="8" l="1"/>
  <c r="D1206" i="8"/>
  <c r="A1208" i="8"/>
  <c r="C1207" i="8"/>
  <c r="B1207" i="8"/>
  <c r="F1206" i="8" l="1"/>
  <c r="E1207" i="8"/>
  <c r="D1207" i="8"/>
  <c r="F1207" i="8" s="1"/>
  <c r="A1209" i="8"/>
  <c r="C1208" i="8"/>
  <c r="B1208" i="8"/>
  <c r="E1208" i="8" l="1"/>
  <c r="D1208" i="8"/>
  <c r="F1208" i="8" s="1"/>
  <c r="A1210" i="8"/>
  <c r="C1209" i="8"/>
  <c r="B1209" i="8"/>
  <c r="E1209" i="8" l="1"/>
  <c r="D1209" i="8"/>
  <c r="A1211" i="8"/>
  <c r="C1210" i="8"/>
  <c r="B1210" i="8"/>
  <c r="F1209" i="8" l="1"/>
  <c r="E1210" i="8"/>
  <c r="D1210" i="8"/>
  <c r="F1210" i="8" s="1"/>
  <c r="A1212" i="8"/>
  <c r="C1211" i="8"/>
  <c r="B1211" i="8"/>
  <c r="E1211" i="8" l="1"/>
  <c r="D1211" i="8"/>
  <c r="F1211" i="8" s="1"/>
  <c r="A1213" i="8"/>
  <c r="C1212" i="8"/>
  <c r="B1212" i="8"/>
  <c r="E1212" i="8" l="1"/>
  <c r="D1212" i="8"/>
  <c r="F1212" i="8" s="1"/>
  <c r="A1214" i="8"/>
  <c r="C1213" i="8"/>
  <c r="B1213" i="8"/>
  <c r="E1213" i="8" l="1"/>
  <c r="D1213" i="8"/>
  <c r="F1213" i="8" s="1"/>
  <c r="A1215" i="8"/>
  <c r="C1214" i="8"/>
  <c r="B1214" i="8"/>
  <c r="E1214" i="8" l="1"/>
  <c r="D1214" i="8"/>
  <c r="A1216" i="8"/>
  <c r="C1215" i="8"/>
  <c r="B1215" i="8"/>
  <c r="F1214" i="8" l="1"/>
  <c r="E1215" i="8"/>
  <c r="D1215" i="8"/>
  <c r="F1215" i="8" s="1"/>
  <c r="A1217" i="8"/>
  <c r="C1216" i="8"/>
  <c r="B1216" i="8"/>
  <c r="E1216" i="8" l="1"/>
  <c r="D1216" i="8"/>
  <c r="A1218" i="8"/>
  <c r="C1217" i="8"/>
  <c r="B1217" i="8"/>
  <c r="F1216" i="8" l="1"/>
  <c r="E1217" i="8"/>
  <c r="D1217" i="8"/>
  <c r="A1219" i="8"/>
  <c r="C1218" i="8"/>
  <c r="B1218" i="8"/>
  <c r="F1217" i="8" l="1"/>
  <c r="E1218" i="8"/>
  <c r="D1218" i="8"/>
  <c r="F1218" i="8" s="1"/>
  <c r="A1220" i="8"/>
  <c r="C1219" i="8"/>
  <c r="B1219" i="8"/>
  <c r="E1219" i="8" l="1"/>
  <c r="D1219" i="8"/>
  <c r="F1219" i="8" s="1"/>
  <c r="A1221" i="8"/>
  <c r="C1220" i="8"/>
  <c r="B1220" i="8"/>
  <c r="E1220" i="8" l="1"/>
  <c r="D1220" i="8"/>
  <c r="A1222" i="8"/>
  <c r="C1221" i="8"/>
  <c r="B1221" i="8"/>
  <c r="F1220" i="8" l="1"/>
  <c r="E1221" i="8"/>
  <c r="D1221" i="8"/>
  <c r="F1221" i="8" s="1"/>
  <c r="A1223" i="8"/>
  <c r="C1222" i="8"/>
  <c r="B1222" i="8"/>
  <c r="E1222" i="8" l="1"/>
  <c r="D1222" i="8"/>
  <c r="F1222" i="8" s="1"/>
  <c r="A1224" i="8"/>
  <c r="C1223" i="8"/>
  <c r="B1223" i="8"/>
  <c r="E1223" i="8" l="1"/>
  <c r="D1223" i="8"/>
  <c r="A1225" i="8"/>
  <c r="C1224" i="8"/>
  <c r="B1224" i="8"/>
  <c r="F1223" i="8" l="1"/>
  <c r="E1224" i="8"/>
  <c r="D1224" i="8"/>
  <c r="F1224" i="8" s="1"/>
  <c r="A1226" i="8"/>
  <c r="C1225" i="8"/>
  <c r="B1225" i="8"/>
  <c r="E1225" i="8" l="1"/>
  <c r="D1225" i="8"/>
  <c r="F1225" i="8" s="1"/>
  <c r="A1227" i="8"/>
  <c r="C1226" i="8"/>
  <c r="B1226" i="8"/>
  <c r="E1226" i="8" l="1"/>
  <c r="D1226" i="8"/>
  <c r="F1226" i="8" s="1"/>
  <c r="A1228" i="8"/>
  <c r="C1227" i="8"/>
  <c r="B1227" i="8"/>
  <c r="E1227" i="8" l="1"/>
  <c r="D1227" i="8"/>
  <c r="F1227" i="8" s="1"/>
  <c r="A1229" i="8"/>
  <c r="C1228" i="8"/>
  <c r="B1228" i="8"/>
  <c r="E1228" i="8" l="1"/>
  <c r="D1228" i="8"/>
  <c r="F1228" i="8" s="1"/>
  <c r="A1230" i="8"/>
  <c r="C1229" i="8"/>
  <c r="B1229" i="8"/>
  <c r="E1229" i="8" l="1"/>
  <c r="D1229" i="8"/>
  <c r="F1229" i="8" s="1"/>
  <c r="A1231" i="8"/>
  <c r="C1230" i="8"/>
  <c r="B1230" i="8"/>
  <c r="E1230" i="8" l="1"/>
  <c r="D1230" i="8"/>
  <c r="F1230" i="8" s="1"/>
  <c r="A1232" i="8"/>
  <c r="C1231" i="8"/>
  <c r="B1231" i="8"/>
  <c r="E1231" i="8" l="1"/>
  <c r="D1231" i="8"/>
  <c r="F1231" i="8" s="1"/>
  <c r="A1233" i="8"/>
  <c r="C1232" i="8"/>
  <c r="B1232" i="8"/>
  <c r="E1232" i="8" l="1"/>
  <c r="D1232" i="8"/>
  <c r="A1234" i="8"/>
  <c r="C1233" i="8"/>
  <c r="B1233" i="8"/>
  <c r="E1233" i="8" l="1"/>
  <c r="D1233" i="8"/>
  <c r="F1232" i="8"/>
  <c r="A1235" i="8"/>
  <c r="C1234" i="8"/>
  <c r="B1234" i="8"/>
  <c r="F1233" i="8" l="1"/>
  <c r="E1234" i="8"/>
  <c r="D1234" i="8"/>
  <c r="F1234" i="8" s="1"/>
  <c r="A1236" i="8"/>
  <c r="C1235" i="8"/>
  <c r="B1235" i="8"/>
  <c r="E1235" i="8" l="1"/>
  <c r="D1235" i="8"/>
  <c r="A1237" i="8"/>
  <c r="C1236" i="8"/>
  <c r="B1236" i="8"/>
  <c r="F1235" i="8" l="1"/>
  <c r="E1236" i="8"/>
  <c r="D1236" i="8"/>
  <c r="A1238" i="8"/>
  <c r="C1237" i="8"/>
  <c r="B1237" i="8"/>
  <c r="F1236" i="8" l="1"/>
  <c r="E1237" i="8"/>
  <c r="D1237" i="8"/>
  <c r="F1237" i="8" s="1"/>
  <c r="A1239" i="8"/>
  <c r="C1238" i="8"/>
  <c r="B1238" i="8"/>
  <c r="E1238" i="8" l="1"/>
  <c r="D1238" i="8"/>
  <c r="F1238" i="8" s="1"/>
  <c r="A1240" i="8"/>
  <c r="C1239" i="8"/>
  <c r="B1239" i="8"/>
  <c r="E1239" i="8" l="1"/>
  <c r="D1239" i="8"/>
  <c r="F1239" i="8" s="1"/>
  <c r="A1241" i="8"/>
  <c r="C1240" i="8"/>
  <c r="B1240" i="8"/>
  <c r="E1240" i="8" l="1"/>
  <c r="D1240" i="8"/>
  <c r="F1240" i="8" s="1"/>
  <c r="A1242" i="8"/>
  <c r="C1241" i="8"/>
  <c r="B1241" i="8"/>
  <c r="E1241" i="8" l="1"/>
  <c r="D1241" i="8"/>
  <c r="F1241" i="8" s="1"/>
  <c r="A1243" i="8"/>
  <c r="C1242" i="8"/>
  <c r="B1242" i="8"/>
  <c r="E1242" i="8" l="1"/>
  <c r="D1242" i="8"/>
  <c r="A1244" i="8"/>
  <c r="C1243" i="8"/>
  <c r="B1243" i="8"/>
  <c r="F1242" i="8" l="1"/>
  <c r="E1243" i="8"/>
  <c r="D1243" i="8"/>
  <c r="F1243" i="8" s="1"/>
  <c r="A1245" i="8"/>
  <c r="C1244" i="8"/>
  <c r="B1244" i="8"/>
  <c r="E1244" i="8" l="1"/>
  <c r="D1244" i="8"/>
  <c r="F1244" i="8" s="1"/>
  <c r="A1246" i="8"/>
  <c r="C1245" i="8"/>
  <c r="B1245" i="8"/>
  <c r="E1245" i="8" l="1"/>
  <c r="D1245" i="8"/>
  <c r="F1245" i="8" s="1"/>
  <c r="A1247" i="8"/>
  <c r="C1246" i="8"/>
  <c r="B1246" i="8"/>
  <c r="E1246" i="8" l="1"/>
  <c r="D1246" i="8"/>
  <c r="F1246" i="8" s="1"/>
  <c r="A1248" i="8"/>
  <c r="C1247" i="8"/>
  <c r="B1247" i="8"/>
  <c r="E1247" i="8" l="1"/>
  <c r="D1247" i="8"/>
  <c r="F1247" i="8" s="1"/>
  <c r="A1249" i="8"/>
  <c r="C1248" i="8"/>
  <c r="B1248" i="8"/>
  <c r="E1248" i="8" l="1"/>
  <c r="D1248" i="8"/>
  <c r="F1248" i="8" s="1"/>
  <c r="A1250" i="8"/>
  <c r="C1249" i="8"/>
  <c r="B1249" i="8"/>
  <c r="E1249" i="8" l="1"/>
  <c r="D1249" i="8"/>
  <c r="F1249" i="8" s="1"/>
  <c r="A1251" i="8"/>
  <c r="C1250" i="8"/>
  <c r="B1250" i="8"/>
  <c r="E1250" i="8" l="1"/>
  <c r="D1250" i="8"/>
  <c r="A1252" i="8"/>
  <c r="C1251" i="8"/>
  <c r="B1251" i="8"/>
  <c r="F1250" i="8" l="1"/>
  <c r="E1251" i="8"/>
  <c r="D1251" i="8"/>
  <c r="A1253" i="8"/>
  <c r="C1252" i="8"/>
  <c r="B1252" i="8"/>
  <c r="F1251" i="8" l="1"/>
  <c r="E1252" i="8"/>
  <c r="D1252" i="8"/>
  <c r="F1252" i="8" s="1"/>
  <c r="A1254" i="8"/>
  <c r="C1253" i="8"/>
  <c r="B1253" i="8"/>
  <c r="E1253" i="8" l="1"/>
  <c r="D1253" i="8"/>
  <c r="F1253" i="8" s="1"/>
  <c r="A1255" i="8"/>
  <c r="C1254" i="8"/>
  <c r="B1254" i="8"/>
  <c r="E1254" i="8" l="1"/>
  <c r="D1254" i="8"/>
  <c r="F1254" i="8" s="1"/>
  <c r="A1256" i="8"/>
  <c r="C1255" i="8"/>
  <c r="B1255" i="8"/>
  <c r="E1255" i="8" l="1"/>
  <c r="D1255" i="8"/>
  <c r="F1255" i="8" s="1"/>
  <c r="A1257" i="8"/>
  <c r="C1256" i="8"/>
  <c r="B1256" i="8"/>
  <c r="E1256" i="8" l="1"/>
  <c r="D1256" i="8"/>
  <c r="F1256" i="8" s="1"/>
  <c r="A1258" i="8"/>
  <c r="C1257" i="8"/>
  <c r="B1257" i="8"/>
  <c r="E1257" i="8" l="1"/>
  <c r="D1257" i="8"/>
  <c r="F1257" i="8" s="1"/>
  <c r="A1259" i="8"/>
  <c r="C1258" i="8"/>
  <c r="B1258" i="8"/>
  <c r="E1258" i="8" l="1"/>
  <c r="D1258" i="8"/>
  <c r="F1258" i="8" s="1"/>
  <c r="A1260" i="8"/>
  <c r="C1259" i="8"/>
  <c r="B1259" i="8"/>
  <c r="E1259" i="8" l="1"/>
  <c r="D1259" i="8"/>
  <c r="F1259" i="8" s="1"/>
  <c r="A1261" i="8"/>
  <c r="C1260" i="8"/>
  <c r="B1260" i="8"/>
  <c r="E1260" i="8" l="1"/>
  <c r="D1260" i="8"/>
  <c r="F1260" i="8" s="1"/>
  <c r="A1262" i="8"/>
  <c r="C1261" i="8"/>
  <c r="B1261" i="8"/>
  <c r="E1261" i="8" l="1"/>
  <c r="D1261" i="8"/>
  <c r="F1261" i="8" s="1"/>
  <c r="A1263" i="8"/>
  <c r="C1262" i="8"/>
  <c r="B1262" i="8"/>
  <c r="E1262" i="8" l="1"/>
  <c r="D1262" i="8"/>
  <c r="A1264" i="8"/>
  <c r="C1263" i="8"/>
  <c r="B1263" i="8"/>
  <c r="F1262" i="8" l="1"/>
  <c r="E1263" i="8"/>
  <c r="D1263" i="8"/>
  <c r="F1263" i="8" s="1"/>
  <c r="A1265" i="8"/>
  <c r="C1264" i="8"/>
  <c r="B1264" i="8"/>
  <c r="E1264" i="8" l="1"/>
  <c r="D1264" i="8"/>
  <c r="F1264" i="8" s="1"/>
  <c r="A1266" i="8"/>
  <c r="C1265" i="8"/>
  <c r="B1265" i="8"/>
  <c r="E1265" i="8" l="1"/>
  <c r="D1265" i="8"/>
  <c r="F1265" i="8" s="1"/>
  <c r="A1267" i="8"/>
  <c r="C1266" i="8"/>
  <c r="B1266" i="8"/>
  <c r="E1266" i="8" l="1"/>
  <c r="D1266" i="8"/>
  <c r="F1266" i="8" s="1"/>
  <c r="A1268" i="8"/>
  <c r="C1267" i="8"/>
  <c r="B1267" i="8"/>
  <c r="E1267" i="8" l="1"/>
  <c r="D1267" i="8"/>
  <c r="F1267" i="8" s="1"/>
  <c r="A1269" i="8"/>
  <c r="C1268" i="8"/>
  <c r="B1268" i="8"/>
  <c r="E1268" i="8" l="1"/>
  <c r="D1268" i="8"/>
  <c r="F1268" i="8" s="1"/>
  <c r="A1270" i="8"/>
  <c r="C1269" i="8"/>
  <c r="B1269" i="8"/>
  <c r="E1269" i="8" l="1"/>
  <c r="D1269" i="8"/>
  <c r="F1269" i="8" s="1"/>
  <c r="A1271" i="8"/>
  <c r="C1270" i="8"/>
  <c r="B1270" i="8"/>
  <c r="E1270" i="8" l="1"/>
  <c r="D1270" i="8"/>
  <c r="A1272" i="8"/>
  <c r="C1271" i="8"/>
  <c r="B1271" i="8"/>
  <c r="F1270" i="8" l="1"/>
  <c r="E1271" i="8"/>
  <c r="D1271" i="8"/>
  <c r="A1273" i="8"/>
  <c r="C1272" i="8"/>
  <c r="B1272" i="8"/>
  <c r="F1271" i="8" l="1"/>
  <c r="E1272" i="8"/>
  <c r="D1272" i="8"/>
  <c r="F1272" i="8" s="1"/>
  <c r="A1274" i="8"/>
  <c r="C1273" i="8"/>
  <c r="B1273" i="8"/>
  <c r="E1273" i="8" l="1"/>
  <c r="D1273" i="8"/>
  <c r="F1273" i="8" s="1"/>
  <c r="A1275" i="8"/>
  <c r="C1274" i="8"/>
  <c r="B1274" i="8"/>
  <c r="E1274" i="8" l="1"/>
  <c r="D1274" i="8"/>
  <c r="F1274" i="8" s="1"/>
  <c r="A1276" i="8"/>
  <c r="C1275" i="8"/>
  <c r="B1275" i="8"/>
  <c r="E1275" i="8" l="1"/>
  <c r="D1275" i="8"/>
  <c r="A1277" i="8"/>
  <c r="C1276" i="8"/>
  <c r="B1276" i="8"/>
  <c r="F1275" i="8" l="1"/>
  <c r="E1276" i="8"/>
  <c r="D1276" i="8"/>
  <c r="A1278" i="8"/>
  <c r="C1277" i="8"/>
  <c r="B1277" i="8"/>
  <c r="F1276" i="8" l="1"/>
  <c r="E1277" i="8"/>
  <c r="D1277" i="8"/>
  <c r="F1277" i="8" s="1"/>
  <c r="A1279" i="8"/>
  <c r="C1278" i="8"/>
  <c r="B1278" i="8"/>
  <c r="E1278" i="8" l="1"/>
  <c r="D1278" i="8"/>
  <c r="F1278" i="8" s="1"/>
  <c r="A1280" i="8"/>
  <c r="C1279" i="8"/>
  <c r="B1279" i="8"/>
  <c r="E1279" i="8" l="1"/>
  <c r="D1279" i="8"/>
  <c r="F1279" i="8" s="1"/>
  <c r="A1281" i="8"/>
  <c r="C1280" i="8"/>
  <c r="B1280" i="8"/>
  <c r="E1280" i="8" l="1"/>
  <c r="D1280" i="8"/>
  <c r="F1280" i="8" s="1"/>
  <c r="A1282" i="8"/>
  <c r="C1281" i="8"/>
  <c r="B1281" i="8"/>
  <c r="E1281" i="8" l="1"/>
  <c r="D1281" i="8"/>
  <c r="F1281" i="8" s="1"/>
  <c r="A1283" i="8"/>
  <c r="C1282" i="8"/>
  <c r="B1282" i="8"/>
  <c r="E1282" i="8" l="1"/>
  <c r="D1282" i="8"/>
  <c r="A1284" i="8"/>
  <c r="C1283" i="8"/>
  <c r="B1283" i="8"/>
  <c r="F1282" i="8" l="1"/>
  <c r="E1283" i="8"/>
  <c r="D1283" i="8"/>
  <c r="A1285" i="8"/>
  <c r="C1284" i="8"/>
  <c r="B1284" i="8"/>
  <c r="F1283" i="8" l="1"/>
  <c r="E1284" i="8"/>
  <c r="D1284" i="8"/>
  <c r="A1286" i="8"/>
  <c r="C1285" i="8"/>
  <c r="B1285" i="8"/>
  <c r="F1284" i="8" l="1"/>
  <c r="E1285" i="8"/>
  <c r="D1285" i="8"/>
  <c r="A1287" i="8"/>
  <c r="C1286" i="8"/>
  <c r="B1286" i="8"/>
  <c r="F1285" i="8" l="1"/>
  <c r="E1286" i="8"/>
  <c r="D1286" i="8"/>
  <c r="A1288" i="8"/>
  <c r="C1287" i="8"/>
  <c r="B1287" i="8"/>
  <c r="F1286" i="8" l="1"/>
  <c r="E1287" i="8"/>
  <c r="D1287" i="8"/>
  <c r="A1289" i="8"/>
  <c r="C1288" i="8"/>
  <c r="B1288" i="8"/>
  <c r="F1287" i="8" l="1"/>
  <c r="E1288" i="8"/>
  <c r="D1288" i="8"/>
  <c r="F1288" i="8" s="1"/>
  <c r="A1290" i="8"/>
  <c r="C1289" i="8"/>
  <c r="B1289" i="8"/>
  <c r="E1289" i="8" l="1"/>
  <c r="D1289" i="8"/>
  <c r="F1289" i="8" s="1"/>
  <c r="A1291" i="8"/>
  <c r="C1290" i="8"/>
  <c r="B1290" i="8"/>
  <c r="E1290" i="8" l="1"/>
  <c r="D1290" i="8"/>
  <c r="F1290" i="8" s="1"/>
  <c r="A1292" i="8"/>
  <c r="C1291" i="8"/>
  <c r="B1291" i="8"/>
  <c r="E1291" i="8" l="1"/>
  <c r="D1291" i="8"/>
  <c r="F1291" i="8" s="1"/>
  <c r="A1293" i="8"/>
  <c r="C1292" i="8"/>
  <c r="B1292" i="8"/>
  <c r="E1292" i="8" l="1"/>
  <c r="D1292" i="8"/>
  <c r="F1292" i="8" s="1"/>
  <c r="A1294" i="8"/>
  <c r="C1293" i="8"/>
  <c r="B1293" i="8"/>
  <c r="E1293" i="8" l="1"/>
  <c r="D1293" i="8"/>
  <c r="F1293" i="8" s="1"/>
  <c r="A1295" i="8"/>
  <c r="C1294" i="8"/>
  <c r="B1294" i="8"/>
  <c r="E1294" i="8" l="1"/>
  <c r="D1294" i="8"/>
  <c r="F1294" i="8" s="1"/>
  <c r="A1296" i="8"/>
  <c r="C1295" i="8"/>
  <c r="B1295" i="8"/>
  <c r="E1295" i="8" l="1"/>
  <c r="D1295" i="8"/>
  <c r="F1295" i="8" s="1"/>
  <c r="A1297" i="8"/>
  <c r="C1296" i="8"/>
  <c r="B1296" i="8"/>
  <c r="E1296" i="8" l="1"/>
  <c r="D1296" i="8"/>
  <c r="F1296" i="8" s="1"/>
  <c r="A1298" i="8"/>
  <c r="C1297" i="8"/>
  <c r="B1297" i="8"/>
  <c r="E1297" i="8" l="1"/>
  <c r="D1297" i="8"/>
  <c r="A1299" i="8"/>
  <c r="C1298" i="8"/>
  <c r="B1298" i="8"/>
  <c r="F1297" i="8" l="1"/>
  <c r="E1298" i="8"/>
  <c r="D1298" i="8"/>
  <c r="A1300" i="8"/>
  <c r="C1299" i="8"/>
  <c r="B1299" i="8"/>
  <c r="F1298" i="8" l="1"/>
  <c r="E1299" i="8"/>
  <c r="D1299" i="8"/>
  <c r="A1301" i="8"/>
  <c r="C1300" i="8"/>
  <c r="B1300" i="8"/>
  <c r="F1299" i="8" l="1"/>
  <c r="E1300" i="8"/>
  <c r="D1300" i="8"/>
  <c r="F1300" i="8" s="1"/>
  <c r="A1302" i="8"/>
  <c r="C1301" i="8"/>
  <c r="B1301" i="8"/>
  <c r="E1301" i="8" l="1"/>
  <c r="D1301" i="8"/>
  <c r="A1303" i="8"/>
  <c r="C1302" i="8"/>
  <c r="B1302" i="8"/>
  <c r="F1301" i="8" l="1"/>
  <c r="E1302" i="8"/>
  <c r="D1302" i="8"/>
  <c r="A1304" i="8"/>
  <c r="C1303" i="8"/>
  <c r="B1303" i="8"/>
  <c r="F1302" i="8" l="1"/>
  <c r="E1303" i="8"/>
  <c r="D1303" i="8"/>
  <c r="F1303" i="8" s="1"/>
  <c r="A1305" i="8"/>
  <c r="C1304" i="8"/>
  <c r="B1304" i="8"/>
  <c r="E1304" i="8" l="1"/>
  <c r="D1304" i="8"/>
  <c r="F1304" i="8" s="1"/>
  <c r="A1306" i="8"/>
  <c r="C1305" i="8"/>
  <c r="B1305" i="8"/>
  <c r="E1305" i="8" l="1"/>
  <c r="D1305" i="8"/>
  <c r="F1305" i="8" s="1"/>
  <c r="A1307" i="8"/>
  <c r="C1306" i="8"/>
  <c r="B1306" i="8"/>
  <c r="E1306" i="8" l="1"/>
  <c r="D1306" i="8"/>
  <c r="F1306" i="8" s="1"/>
  <c r="A1308" i="8"/>
  <c r="C1307" i="8"/>
  <c r="B1307" i="8"/>
  <c r="E1307" i="8" l="1"/>
  <c r="D1307" i="8"/>
  <c r="F1307" i="8" s="1"/>
  <c r="A1309" i="8"/>
  <c r="C1308" i="8"/>
  <c r="B1308" i="8"/>
  <c r="E1308" i="8" l="1"/>
  <c r="D1308" i="8"/>
  <c r="A1310" i="8"/>
  <c r="C1309" i="8"/>
  <c r="B1309" i="8"/>
  <c r="E1309" i="8" l="1"/>
  <c r="D1309" i="8"/>
  <c r="F1309" i="8" s="1"/>
  <c r="F1308" i="8"/>
  <c r="A1311" i="8"/>
  <c r="C1310" i="8"/>
  <c r="B1310" i="8"/>
  <c r="E1310" i="8" l="1"/>
  <c r="D1310" i="8"/>
  <c r="F1310" i="8" s="1"/>
  <c r="A1312" i="8"/>
  <c r="C1311" i="8"/>
  <c r="B1311" i="8"/>
  <c r="E1311" i="8" l="1"/>
  <c r="D1311" i="8"/>
  <c r="F1311" i="8" s="1"/>
  <c r="A1313" i="8"/>
  <c r="C1312" i="8"/>
  <c r="B1312" i="8"/>
  <c r="E1312" i="8" l="1"/>
  <c r="D1312" i="8"/>
  <c r="F1312" i="8" s="1"/>
  <c r="A1314" i="8"/>
  <c r="C1313" i="8"/>
  <c r="B1313" i="8"/>
  <c r="E1313" i="8" l="1"/>
  <c r="D1313" i="8"/>
  <c r="F1313" i="8" s="1"/>
  <c r="A1315" i="8"/>
  <c r="C1314" i="8"/>
  <c r="B1314" i="8"/>
  <c r="E1314" i="8" l="1"/>
  <c r="D1314" i="8"/>
  <c r="F1314" i="8" s="1"/>
  <c r="A1316" i="8"/>
  <c r="C1315" i="8"/>
  <c r="B1315" i="8"/>
  <c r="E1315" i="8" l="1"/>
  <c r="D1315" i="8"/>
  <c r="F1315" i="8" s="1"/>
  <c r="A1317" i="8"/>
  <c r="C1316" i="8"/>
  <c r="B1316" i="8"/>
  <c r="E1316" i="8" l="1"/>
  <c r="D1316" i="8"/>
  <c r="F1316" i="8" s="1"/>
  <c r="A1318" i="8"/>
  <c r="C1317" i="8"/>
  <c r="B1317" i="8"/>
  <c r="E1317" i="8" l="1"/>
  <c r="D1317" i="8"/>
  <c r="A1319" i="8"/>
  <c r="C1318" i="8"/>
  <c r="B1318" i="8"/>
  <c r="F1317" i="8" l="1"/>
  <c r="E1318" i="8"/>
  <c r="D1318" i="8"/>
  <c r="F1318" i="8" s="1"/>
  <c r="A1320" i="8"/>
  <c r="C1319" i="8"/>
  <c r="B1319" i="8"/>
  <c r="E1319" i="8" l="1"/>
  <c r="D1319" i="8"/>
  <c r="F1319" i="8" s="1"/>
  <c r="A1321" i="8"/>
  <c r="C1320" i="8"/>
  <c r="B1320" i="8"/>
  <c r="E1320" i="8" l="1"/>
  <c r="D1320" i="8"/>
  <c r="A1322" i="8"/>
  <c r="C1321" i="8"/>
  <c r="B1321" i="8"/>
  <c r="E1321" i="8" l="1"/>
  <c r="D1321" i="8"/>
  <c r="F1321" i="8" s="1"/>
  <c r="F1320" i="8"/>
  <c r="A1323" i="8"/>
  <c r="C1322" i="8"/>
  <c r="B1322" i="8"/>
  <c r="E1322" i="8" l="1"/>
  <c r="D1322" i="8"/>
  <c r="F1322" i="8" s="1"/>
  <c r="A1324" i="8"/>
  <c r="C1323" i="8"/>
  <c r="B1323" i="8"/>
  <c r="E1323" i="8" l="1"/>
  <c r="D1323" i="8"/>
  <c r="F1323" i="8" s="1"/>
  <c r="A1325" i="8"/>
  <c r="C1324" i="8"/>
  <c r="B1324" i="8"/>
  <c r="E1324" i="8" l="1"/>
  <c r="D1324" i="8"/>
  <c r="A1326" i="8"/>
  <c r="C1325" i="8"/>
  <c r="B1325" i="8"/>
  <c r="F1324" i="8" l="1"/>
  <c r="E1325" i="8"/>
  <c r="D1325" i="8"/>
  <c r="A1327" i="8"/>
  <c r="C1326" i="8"/>
  <c r="B1326" i="8"/>
  <c r="F1325" i="8" l="1"/>
  <c r="E1326" i="8"/>
  <c r="D1326" i="8"/>
  <c r="F1326" i="8" s="1"/>
  <c r="A1328" i="8"/>
  <c r="C1327" i="8"/>
  <c r="B1327" i="8"/>
  <c r="E1327" i="8" l="1"/>
  <c r="D1327" i="8"/>
  <c r="F1327" i="8" s="1"/>
  <c r="A1329" i="8"/>
  <c r="C1328" i="8"/>
  <c r="B1328" i="8"/>
  <c r="E1328" i="8" l="1"/>
  <c r="D1328" i="8"/>
  <c r="A1330" i="8"/>
  <c r="C1329" i="8"/>
  <c r="B1329" i="8"/>
  <c r="E1329" i="8" l="1"/>
  <c r="D1329" i="8"/>
  <c r="F1329" i="8" s="1"/>
  <c r="F1328" i="8"/>
  <c r="A1331" i="8"/>
  <c r="C1330" i="8"/>
  <c r="B1330" i="8"/>
  <c r="E1330" i="8" l="1"/>
  <c r="D1330" i="8"/>
  <c r="A1332" i="8"/>
  <c r="C1331" i="8"/>
  <c r="B1331" i="8"/>
  <c r="E1331" i="8" l="1"/>
  <c r="D1331" i="8"/>
  <c r="F1331" i="8" s="1"/>
  <c r="F1330" i="8"/>
  <c r="A1333" i="8"/>
  <c r="C1332" i="8"/>
  <c r="B1332" i="8"/>
  <c r="E1332" i="8" l="1"/>
  <c r="D1332" i="8"/>
  <c r="F1332" i="8" s="1"/>
  <c r="A1334" i="8"/>
  <c r="C1333" i="8"/>
  <c r="B1333" i="8"/>
  <c r="E1333" i="8" l="1"/>
  <c r="D1333" i="8"/>
  <c r="F1333" i="8" s="1"/>
  <c r="A1335" i="8"/>
  <c r="C1334" i="8"/>
  <c r="B1334" i="8"/>
  <c r="E1334" i="8" l="1"/>
  <c r="D1334" i="8"/>
  <c r="F1334" i="8" s="1"/>
  <c r="A1336" i="8"/>
  <c r="C1335" i="8"/>
  <c r="B1335" i="8"/>
  <c r="E1335" i="8" l="1"/>
  <c r="D1335" i="8"/>
  <c r="A1337" i="8"/>
  <c r="C1336" i="8"/>
  <c r="B1336" i="8"/>
  <c r="E1336" i="8" l="1"/>
  <c r="D1336" i="8"/>
  <c r="F1336" i="8" s="1"/>
  <c r="F1335" i="8"/>
  <c r="A1338" i="8"/>
  <c r="C1337" i="8"/>
  <c r="B1337" i="8"/>
  <c r="E1337" i="8" l="1"/>
  <c r="D1337" i="8"/>
  <c r="F1337" i="8" s="1"/>
  <c r="A1339" i="8"/>
  <c r="C1338" i="8"/>
  <c r="B1338" i="8"/>
  <c r="E1338" i="8" l="1"/>
  <c r="D1338" i="8"/>
  <c r="F1338" i="8" s="1"/>
  <c r="A1340" i="8"/>
  <c r="C1339" i="8"/>
  <c r="B1339" i="8"/>
  <c r="E1339" i="8" l="1"/>
  <c r="D1339" i="8"/>
  <c r="A1341" i="8"/>
  <c r="C1340" i="8"/>
  <c r="B1340" i="8"/>
  <c r="F1339" i="8" l="1"/>
  <c r="E1340" i="8"/>
  <c r="D1340" i="8"/>
  <c r="F1340" i="8" s="1"/>
  <c r="A1342" i="8"/>
  <c r="C1341" i="8"/>
  <c r="B1341" i="8"/>
  <c r="E1341" i="8" l="1"/>
  <c r="D1341" i="8"/>
  <c r="F1341" i="8" s="1"/>
  <c r="A1343" i="8"/>
  <c r="C1342" i="8"/>
  <c r="B1342" i="8"/>
  <c r="E1342" i="8" l="1"/>
  <c r="D1342" i="8"/>
  <c r="F1342" i="8" s="1"/>
  <c r="A1344" i="8"/>
  <c r="C1343" i="8"/>
  <c r="B1343" i="8"/>
  <c r="E1343" i="8" l="1"/>
  <c r="D1343" i="8"/>
  <c r="A1345" i="8"/>
  <c r="C1344" i="8"/>
  <c r="B1344" i="8"/>
  <c r="F1343" i="8" l="1"/>
  <c r="E1344" i="8"/>
  <c r="D1344" i="8"/>
  <c r="A1346" i="8"/>
  <c r="C1345" i="8"/>
  <c r="B1345" i="8"/>
  <c r="F1344" i="8" l="1"/>
  <c r="E1345" i="8"/>
  <c r="D1345" i="8"/>
  <c r="F1345" i="8" s="1"/>
  <c r="A1347" i="8"/>
  <c r="C1346" i="8"/>
  <c r="B1346" i="8"/>
  <c r="E1346" i="8" l="1"/>
  <c r="D1346" i="8"/>
  <c r="A1348" i="8"/>
  <c r="C1347" i="8"/>
  <c r="B1347" i="8"/>
  <c r="F1346" i="8" l="1"/>
  <c r="E1347" i="8"/>
  <c r="D1347" i="8"/>
  <c r="A1349" i="8"/>
  <c r="C1348" i="8"/>
  <c r="B1348" i="8"/>
  <c r="F1347" i="8" l="1"/>
  <c r="E1348" i="8"/>
  <c r="D1348" i="8"/>
  <c r="F1348" i="8" s="1"/>
  <c r="A1350" i="8"/>
  <c r="C1349" i="8"/>
  <c r="B1349" i="8"/>
  <c r="E1349" i="8" l="1"/>
  <c r="D1349" i="8"/>
  <c r="F1349" i="8" s="1"/>
  <c r="A1351" i="8"/>
  <c r="C1350" i="8"/>
  <c r="B1350" i="8"/>
  <c r="E1350" i="8" l="1"/>
  <c r="D1350" i="8"/>
  <c r="F1350" i="8" s="1"/>
  <c r="A1352" i="8"/>
  <c r="C1351" i="8"/>
  <c r="B1351" i="8"/>
  <c r="E1351" i="8" l="1"/>
  <c r="D1351" i="8"/>
  <c r="F1351" i="8" s="1"/>
  <c r="A1353" i="8"/>
  <c r="C1352" i="8"/>
  <c r="B1352" i="8"/>
  <c r="E1352" i="8" l="1"/>
  <c r="D1352" i="8"/>
  <c r="A1354" i="8"/>
  <c r="C1353" i="8"/>
  <c r="B1353" i="8"/>
  <c r="F1352" i="8" l="1"/>
  <c r="E1353" i="8"/>
  <c r="D1353" i="8"/>
  <c r="A1355" i="8"/>
  <c r="C1354" i="8"/>
  <c r="B1354" i="8"/>
  <c r="F1353" i="8" l="1"/>
  <c r="E1354" i="8"/>
  <c r="D1354" i="8"/>
  <c r="F1354" i="8" s="1"/>
  <c r="A1356" i="8"/>
  <c r="C1355" i="8"/>
  <c r="B1355" i="8"/>
  <c r="E1355" i="8" l="1"/>
  <c r="D1355" i="8"/>
  <c r="F1355" i="8" s="1"/>
  <c r="A1357" i="8"/>
  <c r="C1356" i="8"/>
  <c r="B1356" i="8"/>
  <c r="E1356" i="8" l="1"/>
  <c r="D1356" i="8"/>
  <c r="A1358" i="8"/>
  <c r="C1357" i="8"/>
  <c r="B1357" i="8"/>
  <c r="F1356" i="8" l="1"/>
  <c r="E1357" i="8"/>
  <c r="D1357" i="8"/>
  <c r="F1357" i="8" s="1"/>
  <c r="A1359" i="8"/>
  <c r="C1358" i="8"/>
  <c r="B1358" i="8"/>
  <c r="E1358" i="8" l="1"/>
  <c r="D1358" i="8"/>
  <c r="A1360" i="8"/>
  <c r="C1359" i="8"/>
  <c r="B1359" i="8"/>
  <c r="F1358" i="8" l="1"/>
  <c r="E1359" i="8"/>
  <c r="D1359" i="8"/>
  <c r="F1359" i="8" s="1"/>
  <c r="A1361" i="8"/>
  <c r="C1360" i="8"/>
  <c r="B1360" i="8"/>
  <c r="E1360" i="8" l="1"/>
  <c r="D1360" i="8"/>
  <c r="F1360" i="8" s="1"/>
  <c r="A1362" i="8"/>
  <c r="C1361" i="8"/>
  <c r="B1361" i="8"/>
  <c r="E1361" i="8" l="1"/>
  <c r="D1361" i="8"/>
  <c r="A1363" i="8"/>
  <c r="C1362" i="8"/>
  <c r="B1362" i="8"/>
  <c r="F1361" i="8" l="1"/>
  <c r="E1362" i="8"/>
  <c r="D1362" i="8"/>
  <c r="F1362" i="8" s="1"/>
  <c r="A1364" i="8"/>
  <c r="C1363" i="8"/>
  <c r="B1363" i="8"/>
  <c r="E1363" i="8" l="1"/>
  <c r="D1363" i="8"/>
  <c r="F1363" i="8" s="1"/>
  <c r="A1365" i="8"/>
  <c r="C1364" i="8"/>
  <c r="B1364" i="8"/>
  <c r="E1364" i="8" l="1"/>
  <c r="D1364" i="8"/>
  <c r="F1364" i="8" s="1"/>
  <c r="A1366" i="8"/>
  <c r="C1365" i="8"/>
  <c r="B1365" i="8"/>
  <c r="E1365" i="8" l="1"/>
  <c r="D1365" i="8"/>
  <c r="F1365" i="8" s="1"/>
  <c r="A1367" i="8"/>
  <c r="C1366" i="8"/>
  <c r="B1366" i="8"/>
  <c r="E1366" i="8" l="1"/>
  <c r="D1366" i="8"/>
  <c r="F1366" i="8" s="1"/>
  <c r="A1368" i="8"/>
  <c r="C1367" i="8"/>
  <c r="B1367" i="8"/>
  <c r="E1367" i="8" l="1"/>
  <c r="D1367" i="8"/>
  <c r="A1369" i="8"/>
  <c r="C1368" i="8"/>
  <c r="B1368" i="8"/>
  <c r="F1367" i="8" l="1"/>
  <c r="E1368" i="8"/>
  <c r="D1368" i="8"/>
  <c r="F1368" i="8" s="1"/>
  <c r="A1370" i="8"/>
  <c r="C1369" i="8"/>
  <c r="B1369" i="8"/>
  <c r="E1369" i="8" l="1"/>
  <c r="D1369" i="8"/>
  <c r="A1371" i="8"/>
  <c r="C1370" i="8"/>
  <c r="B1370" i="8"/>
  <c r="F1369" i="8" l="1"/>
  <c r="E1370" i="8"/>
  <c r="D1370" i="8"/>
  <c r="A1372" i="8"/>
  <c r="C1371" i="8"/>
  <c r="B1371" i="8"/>
  <c r="F1370" i="8" l="1"/>
  <c r="E1371" i="8"/>
  <c r="D1371" i="8"/>
  <c r="F1371" i="8" s="1"/>
  <c r="A1373" i="8"/>
  <c r="C1372" i="8"/>
  <c r="B1372" i="8"/>
  <c r="E1372" i="8" l="1"/>
  <c r="D1372" i="8"/>
  <c r="F1372" i="8" s="1"/>
  <c r="A1374" i="8"/>
  <c r="C1373" i="8"/>
  <c r="B1373" i="8"/>
  <c r="E1373" i="8" l="1"/>
  <c r="D1373" i="8"/>
  <c r="A1375" i="8"/>
  <c r="C1374" i="8"/>
  <c r="B1374" i="8"/>
  <c r="F1373" i="8" l="1"/>
  <c r="E1374" i="8"/>
  <c r="D1374" i="8"/>
  <c r="F1374" i="8" s="1"/>
  <c r="A1376" i="8"/>
  <c r="C1375" i="8"/>
  <c r="B1375" i="8"/>
  <c r="E1375" i="8" l="1"/>
  <c r="D1375" i="8"/>
  <c r="A1377" i="8"/>
  <c r="C1376" i="8"/>
  <c r="B1376" i="8"/>
  <c r="F1375" i="8" l="1"/>
  <c r="E1376" i="8"/>
  <c r="D1376" i="8"/>
  <c r="A1378" i="8"/>
  <c r="C1377" i="8"/>
  <c r="B1377" i="8"/>
  <c r="F1376" i="8" l="1"/>
  <c r="E1377" i="8"/>
  <c r="D1377" i="8"/>
  <c r="F1377" i="8" s="1"/>
  <c r="A1379" i="8"/>
  <c r="C1378" i="8"/>
  <c r="B1378" i="8"/>
  <c r="E1378" i="8" l="1"/>
  <c r="D1378" i="8"/>
  <c r="F1378" i="8" s="1"/>
  <c r="A1380" i="8"/>
  <c r="C1379" i="8"/>
  <c r="B1379" i="8"/>
  <c r="E1379" i="8" l="1"/>
  <c r="D1379" i="8"/>
  <c r="F1379" i="8" s="1"/>
  <c r="A1381" i="8"/>
  <c r="C1380" i="8"/>
  <c r="B1380" i="8"/>
  <c r="E1380" i="8" l="1"/>
  <c r="D1380" i="8"/>
  <c r="F1380" i="8" s="1"/>
  <c r="A1382" i="8"/>
  <c r="C1381" i="8"/>
  <c r="B1381" i="8"/>
  <c r="E1381" i="8" l="1"/>
  <c r="D1381" i="8"/>
  <c r="F1381" i="8" s="1"/>
  <c r="A1383" i="8"/>
  <c r="C1382" i="8"/>
  <c r="B1382" i="8"/>
  <c r="E1382" i="8" l="1"/>
  <c r="D1382" i="8"/>
  <c r="A1384" i="8"/>
  <c r="C1383" i="8"/>
  <c r="B1383" i="8"/>
  <c r="F1382" i="8" l="1"/>
  <c r="E1383" i="8"/>
  <c r="D1383" i="8"/>
  <c r="F1383" i="8" s="1"/>
  <c r="A1385" i="8"/>
  <c r="C1384" i="8"/>
  <c r="B1384" i="8"/>
  <c r="E1384" i="8" l="1"/>
  <c r="D1384" i="8"/>
  <c r="F1384" i="8" s="1"/>
  <c r="A1386" i="8"/>
  <c r="C1385" i="8"/>
  <c r="B1385" i="8"/>
  <c r="E1385" i="8" l="1"/>
  <c r="D1385" i="8"/>
  <c r="F1385" i="8" s="1"/>
  <c r="A1387" i="8"/>
  <c r="C1386" i="8"/>
  <c r="B1386" i="8"/>
  <c r="E1386" i="8" l="1"/>
  <c r="D1386" i="8"/>
  <c r="F1386" i="8" s="1"/>
  <c r="A1388" i="8"/>
  <c r="C1387" i="8"/>
  <c r="B1387" i="8"/>
  <c r="E1387" i="8" l="1"/>
  <c r="D1387" i="8"/>
  <c r="F1387" i="8" s="1"/>
  <c r="A1389" i="8"/>
  <c r="C1388" i="8"/>
  <c r="B1388" i="8"/>
  <c r="E1388" i="8" l="1"/>
  <c r="D1388" i="8"/>
  <c r="F1388" i="8" s="1"/>
  <c r="A1390" i="8"/>
  <c r="C1389" i="8"/>
  <c r="B1389" i="8"/>
  <c r="E1389" i="8" l="1"/>
  <c r="D1389" i="8"/>
  <c r="F1389" i="8" s="1"/>
  <c r="A1391" i="8"/>
  <c r="C1390" i="8"/>
  <c r="B1390" i="8"/>
  <c r="E1390" i="8" l="1"/>
  <c r="D1390" i="8"/>
  <c r="A1392" i="8"/>
  <c r="C1391" i="8"/>
  <c r="B1391" i="8"/>
  <c r="E1391" i="8" l="1"/>
  <c r="D1391" i="8"/>
  <c r="F1391" i="8" s="1"/>
  <c r="F1390" i="8"/>
  <c r="A1393" i="8"/>
  <c r="C1392" i="8"/>
  <c r="B1392" i="8"/>
  <c r="E1392" i="8" l="1"/>
  <c r="D1392" i="8"/>
  <c r="F1392" i="8" s="1"/>
  <c r="A1394" i="8"/>
  <c r="C1393" i="8"/>
  <c r="B1393" i="8"/>
  <c r="E1393" i="8" l="1"/>
  <c r="D1393" i="8"/>
  <c r="F1393" i="8" s="1"/>
  <c r="A1395" i="8"/>
  <c r="C1394" i="8"/>
  <c r="B1394" i="8"/>
  <c r="E1394" i="8" l="1"/>
  <c r="D1394" i="8"/>
  <c r="F1394" i="8" s="1"/>
  <c r="A1396" i="8"/>
  <c r="C1395" i="8"/>
  <c r="B1395" i="8"/>
  <c r="E1395" i="8" l="1"/>
  <c r="D1395" i="8"/>
  <c r="A1397" i="8"/>
  <c r="C1396" i="8"/>
  <c r="B1396" i="8"/>
  <c r="F1395" i="8" l="1"/>
  <c r="E1396" i="8"/>
  <c r="D1396" i="8"/>
  <c r="A1398" i="8"/>
  <c r="C1397" i="8"/>
  <c r="B1397" i="8"/>
  <c r="F1396" i="8" l="1"/>
  <c r="E1397" i="8"/>
  <c r="D1397" i="8"/>
  <c r="F1397" i="8" s="1"/>
  <c r="A1399" i="8"/>
  <c r="C1398" i="8"/>
  <c r="B1398" i="8"/>
  <c r="E1398" i="8" l="1"/>
  <c r="D1398" i="8"/>
  <c r="F1398" i="8" s="1"/>
  <c r="A1400" i="8"/>
  <c r="C1399" i="8"/>
  <c r="B1399" i="8"/>
  <c r="E1399" i="8" l="1"/>
  <c r="D1399" i="8"/>
  <c r="F1399" i="8" s="1"/>
  <c r="A1401" i="8"/>
  <c r="C1400" i="8"/>
  <c r="B1400" i="8"/>
  <c r="E1400" i="8" l="1"/>
  <c r="D1400" i="8"/>
  <c r="F1400" i="8" s="1"/>
  <c r="A1402" i="8"/>
  <c r="C1401" i="8"/>
  <c r="B1401" i="8"/>
  <c r="E1401" i="8" l="1"/>
  <c r="D1401" i="8"/>
  <c r="A1403" i="8"/>
  <c r="C1402" i="8"/>
  <c r="B1402" i="8"/>
  <c r="E1402" i="8" l="1"/>
  <c r="D1402" i="8"/>
  <c r="F1402" i="8" s="1"/>
  <c r="F1401" i="8"/>
  <c r="A1404" i="8"/>
  <c r="C1403" i="8"/>
  <c r="B1403" i="8"/>
  <c r="E1403" i="8" l="1"/>
  <c r="D1403" i="8"/>
  <c r="F1403" i="8" s="1"/>
  <c r="A1405" i="8"/>
  <c r="C1404" i="8"/>
  <c r="B1404" i="8"/>
  <c r="E1404" i="8" l="1"/>
  <c r="D1404" i="8"/>
  <c r="A1406" i="8"/>
  <c r="C1405" i="8"/>
  <c r="B1405" i="8"/>
  <c r="E1405" i="8" l="1"/>
  <c r="D1405" i="8"/>
  <c r="F1405" i="8" s="1"/>
  <c r="F1404" i="8"/>
  <c r="A1407" i="8"/>
  <c r="C1406" i="8"/>
  <c r="B1406" i="8"/>
  <c r="E1406" i="8" l="1"/>
  <c r="D1406" i="8"/>
  <c r="F1406" i="8" s="1"/>
  <c r="A1408" i="8"/>
  <c r="C1407" i="8"/>
  <c r="B1407" i="8"/>
  <c r="E1407" i="8" l="1"/>
  <c r="D1407" i="8"/>
  <c r="A1409" i="8"/>
  <c r="C1408" i="8"/>
  <c r="B1408" i="8"/>
  <c r="E1408" i="8" l="1"/>
  <c r="D1408" i="8"/>
  <c r="F1408" i="8" s="1"/>
  <c r="F1407" i="8"/>
  <c r="A1410" i="8"/>
  <c r="C1409" i="8"/>
  <c r="B1409" i="8"/>
  <c r="E1409" i="8" l="1"/>
  <c r="D1409" i="8"/>
  <c r="A1411" i="8"/>
  <c r="C1410" i="8"/>
  <c r="B1410" i="8"/>
  <c r="F1409" i="8" l="1"/>
  <c r="E1410" i="8"/>
  <c r="D1410" i="8"/>
  <c r="F1410" i="8" s="1"/>
  <c r="A1412" i="8"/>
  <c r="C1411" i="8"/>
  <c r="B1411" i="8"/>
  <c r="E1411" i="8" l="1"/>
  <c r="D1411" i="8"/>
  <c r="F1411" i="8" s="1"/>
  <c r="A1413" i="8"/>
  <c r="C1412" i="8"/>
  <c r="B1412" i="8"/>
  <c r="E1412" i="8" l="1"/>
  <c r="D1412" i="8"/>
  <c r="F1412" i="8" s="1"/>
  <c r="A1414" i="8"/>
  <c r="C1413" i="8"/>
  <c r="B1413" i="8"/>
  <c r="E1413" i="8" l="1"/>
  <c r="D1413" i="8"/>
  <c r="F1413" i="8" s="1"/>
  <c r="A1415" i="8"/>
  <c r="C1414" i="8"/>
  <c r="B1414" i="8"/>
  <c r="E1414" i="8" l="1"/>
  <c r="D1414" i="8"/>
  <c r="F1414" i="8" s="1"/>
  <c r="A1416" i="8"/>
  <c r="C1415" i="8"/>
  <c r="B1415" i="8"/>
  <c r="E1415" i="8" l="1"/>
  <c r="D1415" i="8"/>
  <c r="F1415" i="8" s="1"/>
  <c r="A1417" i="8"/>
  <c r="C1416" i="8"/>
  <c r="B1416" i="8"/>
  <c r="E1416" i="8" l="1"/>
  <c r="D1416" i="8"/>
  <c r="F1416" i="8" s="1"/>
  <c r="A1418" i="8"/>
  <c r="C1417" i="8"/>
  <c r="B1417" i="8"/>
  <c r="E1417" i="8" l="1"/>
  <c r="D1417" i="8"/>
  <c r="F1417" i="8" s="1"/>
  <c r="A1419" i="8"/>
  <c r="C1418" i="8"/>
  <c r="B1418" i="8"/>
  <c r="E1418" i="8" l="1"/>
  <c r="D1418" i="8"/>
  <c r="F1418" i="8" s="1"/>
  <c r="A1420" i="8"/>
  <c r="C1419" i="8"/>
  <c r="B1419" i="8"/>
  <c r="E1419" i="8" l="1"/>
  <c r="D1419" i="8"/>
  <c r="A1421" i="8"/>
  <c r="C1420" i="8"/>
  <c r="B1420" i="8"/>
  <c r="E1420" i="8" l="1"/>
  <c r="D1420" i="8"/>
  <c r="F1420" i="8" s="1"/>
  <c r="F1419" i="8"/>
  <c r="A1422" i="8"/>
  <c r="C1421" i="8"/>
  <c r="B1421" i="8"/>
  <c r="E1421" i="8" l="1"/>
  <c r="D1421" i="8"/>
  <c r="F1421" i="8" s="1"/>
  <c r="A1423" i="8"/>
  <c r="C1422" i="8"/>
  <c r="B1422" i="8"/>
  <c r="E1422" i="8" l="1"/>
  <c r="D1422" i="8"/>
  <c r="F1422" i="8" s="1"/>
  <c r="A1424" i="8"/>
  <c r="C1423" i="8"/>
  <c r="B1423" i="8"/>
  <c r="E1423" i="8" l="1"/>
  <c r="D1423" i="8"/>
  <c r="F1423" i="8" s="1"/>
  <c r="A1425" i="8"/>
  <c r="C1424" i="8"/>
  <c r="B1424" i="8"/>
  <c r="E1424" i="8" l="1"/>
  <c r="D1424" i="8"/>
  <c r="F1424" i="8" s="1"/>
  <c r="A1426" i="8"/>
  <c r="C1425" i="8"/>
  <c r="B1425" i="8"/>
  <c r="E1425" i="8" l="1"/>
  <c r="D1425" i="8"/>
  <c r="F1425" i="8" s="1"/>
  <c r="A1427" i="8"/>
  <c r="C1426" i="8"/>
  <c r="B1426" i="8"/>
  <c r="E1426" i="8" l="1"/>
  <c r="D1426" i="8"/>
  <c r="F1426" i="8" s="1"/>
  <c r="A1428" i="8"/>
  <c r="C1427" i="8"/>
  <c r="B1427" i="8"/>
  <c r="E1427" i="8" l="1"/>
  <c r="D1427" i="8"/>
  <c r="F1427" i="8" s="1"/>
  <c r="A1429" i="8"/>
  <c r="C1428" i="8"/>
  <c r="B1428" i="8"/>
  <c r="E1428" i="8" l="1"/>
  <c r="D1428" i="8"/>
  <c r="F1428" i="8" s="1"/>
  <c r="A1430" i="8"/>
  <c r="C1429" i="8"/>
  <c r="B1429" i="8"/>
  <c r="E1429" i="8" l="1"/>
  <c r="D1429" i="8"/>
  <c r="F1429" i="8" s="1"/>
  <c r="A1431" i="8"/>
  <c r="C1430" i="8"/>
  <c r="B1430" i="8"/>
  <c r="E1430" i="8" l="1"/>
  <c r="D1430" i="8"/>
  <c r="F1430" i="8" s="1"/>
  <c r="A1432" i="8"/>
  <c r="C1431" i="8"/>
  <c r="B1431" i="8"/>
  <c r="E1431" i="8" l="1"/>
  <c r="D1431" i="8"/>
  <c r="F1431" i="8" s="1"/>
  <c r="A1433" i="8"/>
  <c r="C1432" i="8"/>
  <c r="B1432" i="8"/>
  <c r="E1432" i="8" l="1"/>
  <c r="D1432" i="8"/>
  <c r="A1434" i="8"/>
  <c r="C1433" i="8"/>
  <c r="B1433" i="8"/>
  <c r="F1432" i="8" l="1"/>
  <c r="E1433" i="8"/>
  <c r="D1433" i="8"/>
  <c r="F1433" i="8" s="1"/>
  <c r="A1435" i="8"/>
  <c r="C1434" i="8"/>
  <c r="B1434" i="8"/>
  <c r="E1434" i="8" l="1"/>
  <c r="D1434" i="8"/>
  <c r="F1434" i="8" s="1"/>
  <c r="A1436" i="8"/>
  <c r="C1435" i="8"/>
  <c r="B1435" i="8"/>
  <c r="E1435" i="8" l="1"/>
  <c r="D1435" i="8"/>
  <c r="F1435" i="8" s="1"/>
  <c r="A1437" i="8"/>
  <c r="C1436" i="8"/>
  <c r="B1436" i="8"/>
  <c r="E1436" i="8" l="1"/>
  <c r="D1436" i="8"/>
  <c r="F1436" i="8" s="1"/>
  <c r="A1438" i="8"/>
  <c r="C1437" i="8"/>
  <c r="B1437" i="8"/>
  <c r="E1437" i="8" l="1"/>
  <c r="D1437" i="8"/>
  <c r="F1437" i="8" s="1"/>
  <c r="A1439" i="8"/>
  <c r="C1438" i="8"/>
  <c r="B1438" i="8"/>
  <c r="E1438" i="8" l="1"/>
  <c r="D1438" i="8"/>
  <c r="F1438" i="8" s="1"/>
  <c r="A1440" i="8"/>
  <c r="C1439" i="8"/>
  <c r="B1439" i="8"/>
  <c r="E1439" i="8" l="1"/>
  <c r="D1439" i="8"/>
  <c r="F1439" i="8" s="1"/>
  <c r="A1441" i="8"/>
  <c r="C1440" i="8"/>
  <c r="B1440" i="8"/>
  <c r="E1440" i="8" l="1"/>
  <c r="D1440" i="8"/>
  <c r="F1440" i="8" s="1"/>
  <c r="A1442" i="8"/>
  <c r="C1441" i="8"/>
  <c r="B1441" i="8"/>
  <c r="E1441" i="8" l="1"/>
  <c r="D1441" i="8"/>
  <c r="F1441" i="8" s="1"/>
  <c r="A1443" i="8"/>
  <c r="C1442" i="8"/>
  <c r="B1442" i="8"/>
  <c r="E1442" i="8" l="1"/>
  <c r="D1442" i="8"/>
  <c r="F1442" i="8" s="1"/>
  <c r="A1444" i="8"/>
  <c r="C1443" i="8"/>
  <c r="B1443" i="8"/>
  <c r="E1443" i="8" l="1"/>
  <c r="D1443" i="8"/>
  <c r="F1443" i="8" s="1"/>
  <c r="A1445" i="8"/>
  <c r="C1444" i="8"/>
  <c r="B1444" i="8"/>
  <c r="E1444" i="8" l="1"/>
  <c r="D1444" i="8"/>
  <c r="F1444" i="8" s="1"/>
  <c r="A1446" i="8"/>
  <c r="C1445" i="8"/>
  <c r="B1445" i="8"/>
  <c r="E1445" i="8" l="1"/>
  <c r="D1445" i="8"/>
  <c r="F1445" i="8" s="1"/>
  <c r="A1447" i="8"/>
  <c r="C1446" i="8"/>
  <c r="B1446" i="8"/>
  <c r="E1446" i="8" l="1"/>
  <c r="D1446" i="8"/>
  <c r="F1446" i="8" s="1"/>
  <c r="A1448" i="8"/>
  <c r="C1447" i="8"/>
  <c r="B1447" i="8"/>
  <c r="E1447" i="8" l="1"/>
  <c r="D1447" i="8"/>
  <c r="F1447" i="8" s="1"/>
  <c r="A1449" i="8"/>
  <c r="C1448" i="8"/>
  <c r="B1448" i="8"/>
  <c r="E1448" i="8" l="1"/>
  <c r="D1448" i="8"/>
  <c r="F1448" i="8" s="1"/>
  <c r="A1450" i="8"/>
  <c r="C1449" i="8"/>
  <c r="B1449" i="8"/>
  <c r="E1449" i="8" l="1"/>
  <c r="D1449" i="8"/>
  <c r="F1449" i="8" s="1"/>
  <c r="A1451" i="8"/>
  <c r="C1450" i="8"/>
  <c r="B1450" i="8"/>
  <c r="E1450" i="8" l="1"/>
  <c r="D1450" i="8"/>
  <c r="F1450" i="8" s="1"/>
  <c r="A1452" i="8"/>
  <c r="C1451" i="8"/>
  <c r="B1451" i="8"/>
  <c r="E1451" i="8" l="1"/>
  <c r="D1451" i="8"/>
  <c r="A1453" i="8"/>
  <c r="C1452" i="8"/>
  <c r="B1452" i="8"/>
  <c r="F1451" i="8" l="1"/>
  <c r="E1452" i="8"/>
  <c r="D1452" i="8"/>
  <c r="F1452" i="8" s="1"/>
  <c r="A1454" i="8"/>
  <c r="C1453" i="8"/>
  <c r="B1453" i="8"/>
  <c r="E1453" i="8" l="1"/>
  <c r="D1453" i="8"/>
  <c r="F1453" i="8" s="1"/>
  <c r="A1455" i="8"/>
  <c r="C1454" i="8"/>
  <c r="B1454" i="8"/>
  <c r="E1454" i="8" l="1"/>
  <c r="D1454" i="8"/>
  <c r="F1454" i="8" s="1"/>
  <c r="A1456" i="8"/>
  <c r="C1455" i="8"/>
  <c r="B1455" i="8"/>
  <c r="E1455" i="8" l="1"/>
  <c r="D1455" i="8"/>
  <c r="F1455" i="8" s="1"/>
  <c r="A1457" i="8"/>
  <c r="C1456" i="8"/>
  <c r="B1456" i="8"/>
  <c r="E1456" i="8" l="1"/>
  <c r="D1456" i="8"/>
  <c r="F1456" i="8" s="1"/>
  <c r="A1458" i="8"/>
  <c r="C1457" i="8"/>
  <c r="B1457" i="8"/>
  <c r="E1457" i="8" l="1"/>
  <c r="D1457" i="8"/>
  <c r="F1457" i="8" s="1"/>
  <c r="A1459" i="8"/>
  <c r="C1458" i="8"/>
  <c r="B1458" i="8"/>
  <c r="E1458" i="8" l="1"/>
  <c r="D1458" i="8"/>
  <c r="F1458" i="8" s="1"/>
  <c r="A1460" i="8"/>
  <c r="C1459" i="8"/>
  <c r="B1459" i="8"/>
  <c r="E1459" i="8" l="1"/>
  <c r="D1459" i="8"/>
  <c r="F1459" i="8" s="1"/>
  <c r="A1461" i="8"/>
  <c r="C1460" i="8"/>
  <c r="B1460" i="8"/>
  <c r="E1460" i="8" l="1"/>
  <c r="D1460" i="8"/>
  <c r="A1462" i="8"/>
  <c r="C1461" i="8"/>
  <c r="B1461" i="8"/>
  <c r="F1460" i="8" l="1"/>
  <c r="E1461" i="8"/>
  <c r="D1461" i="8"/>
  <c r="F1461" i="8" s="1"/>
  <c r="A1463" i="8"/>
  <c r="C1462" i="8"/>
  <c r="B1462" i="8"/>
  <c r="E1462" i="8" l="1"/>
  <c r="D1462" i="8"/>
  <c r="A1464" i="8"/>
  <c r="C1463" i="8"/>
  <c r="B1463" i="8"/>
  <c r="F1462" i="8" l="1"/>
  <c r="E1463" i="8"/>
  <c r="D1463" i="8"/>
  <c r="F1463" i="8" s="1"/>
  <c r="A1465" i="8"/>
  <c r="C1464" i="8"/>
  <c r="B1464" i="8"/>
  <c r="E1464" i="8" l="1"/>
  <c r="D1464" i="8"/>
  <c r="F1464" i="8" s="1"/>
  <c r="A1466" i="8"/>
  <c r="C1465" i="8"/>
  <c r="B1465" i="8"/>
  <c r="E1465" i="8" l="1"/>
  <c r="D1465" i="8"/>
  <c r="F1465" i="8" s="1"/>
  <c r="A1467" i="8"/>
  <c r="C1466" i="8"/>
  <c r="B1466" i="8"/>
  <c r="E1466" i="8" l="1"/>
  <c r="D1466" i="8"/>
  <c r="F1466" i="8" s="1"/>
  <c r="A1468" i="8"/>
  <c r="C1467" i="8"/>
  <c r="B1467" i="8"/>
  <c r="E1467" i="8" l="1"/>
  <c r="D1467" i="8"/>
  <c r="F1467" i="8" s="1"/>
  <c r="A1469" i="8"/>
  <c r="C1468" i="8"/>
  <c r="B1468" i="8"/>
  <c r="E1468" i="8" l="1"/>
  <c r="D1468" i="8"/>
  <c r="A1470" i="8"/>
  <c r="C1469" i="8"/>
  <c r="B1469" i="8"/>
  <c r="E1469" i="8" l="1"/>
  <c r="D1469" i="8"/>
  <c r="F1469" i="8" s="1"/>
  <c r="F1468" i="8"/>
  <c r="A1471" i="8"/>
  <c r="C1470" i="8"/>
  <c r="B1470" i="8"/>
  <c r="E1470" i="8" l="1"/>
  <c r="D1470" i="8"/>
  <c r="F1470" i="8" s="1"/>
  <c r="A1472" i="8"/>
  <c r="C1471" i="8"/>
  <c r="B1471" i="8"/>
  <c r="E1471" i="8" l="1"/>
  <c r="D1471" i="8"/>
  <c r="F1471" i="8" s="1"/>
  <c r="A1473" i="8"/>
  <c r="C1472" i="8"/>
  <c r="B1472" i="8"/>
  <c r="E1472" i="8" l="1"/>
  <c r="D1472" i="8"/>
  <c r="F1472" i="8" s="1"/>
  <c r="A1474" i="8"/>
  <c r="C1473" i="8"/>
  <c r="B1473" i="8"/>
  <c r="E1473" i="8" l="1"/>
  <c r="D1473" i="8"/>
  <c r="F1473" i="8" s="1"/>
  <c r="A1475" i="8"/>
  <c r="C1474" i="8"/>
  <c r="B1474" i="8"/>
  <c r="E1474" i="8" l="1"/>
  <c r="D1474" i="8"/>
  <c r="A1476" i="8"/>
  <c r="C1475" i="8"/>
  <c r="B1475" i="8"/>
  <c r="F1474" i="8" l="1"/>
  <c r="E1475" i="8"/>
  <c r="D1475" i="8"/>
  <c r="F1475" i="8" s="1"/>
  <c r="A1477" i="8"/>
  <c r="C1476" i="8"/>
  <c r="B1476" i="8"/>
  <c r="E1476" i="8" l="1"/>
  <c r="D1476" i="8"/>
  <c r="F1476" i="8" s="1"/>
  <c r="A1478" i="8"/>
  <c r="C1477" i="8"/>
  <c r="B1477" i="8"/>
  <c r="E1477" i="8" l="1"/>
  <c r="D1477" i="8"/>
  <c r="F1477" i="8" s="1"/>
  <c r="A1479" i="8"/>
  <c r="C1478" i="8"/>
  <c r="B1478" i="8"/>
  <c r="E1478" i="8" l="1"/>
  <c r="D1478" i="8"/>
  <c r="F1478" i="8" s="1"/>
  <c r="A1480" i="8"/>
  <c r="C1479" i="8"/>
  <c r="B1479" i="8"/>
  <c r="E1479" i="8" l="1"/>
  <c r="D1479" i="8"/>
  <c r="F1479" i="8" s="1"/>
  <c r="A1481" i="8"/>
  <c r="C1480" i="8"/>
  <c r="B1480" i="8"/>
  <c r="E1480" i="8" l="1"/>
  <c r="D1480" i="8"/>
  <c r="F1480" i="8" s="1"/>
  <c r="A1482" i="8"/>
  <c r="C1481" i="8"/>
  <c r="B1481" i="8"/>
  <c r="E1481" i="8" l="1"/>
  <c r="D1481" i="8"/>
  <c r="A1483" i="8"/>
  <c r="C1482" i="8"/>
  <c r="B1482" i="8"/>
  <c r="F1481" i="8" l="1"/>
  <c r="E1482" i="8"/>
  <c r="D1482" i="8"/>
  <c r="A1484" i="8"/>
  <c r="C1483" i="8"/>
  <c r="B1483" i="8"/>
  <c r="F1482" i="8" l="1"/>
  <c r="E1483" i="8"/>
  <c r="D1483" i="8"/>
  <c r="A1485" i="8"/>
  <c r="C1484" i="8"/>
  <c r="B1484" i="8"/>
  <c r="F1483" i="8" l="1"/>
  <c r="E1484" i="8"/>
  <c r="D1484" i="8"/>
  <c r="A1486" i="8"/>
  <c r="C1485" i="8"/>
  <c r="B1485" i="8"/>
  <c r="F1484" i="8" l="1"/>
  <c r="E1485" i="8"/>
  <c r="D1485" i="8"/>
  <c r="A1487" i="8"/>
  <c r="C1486" i="8"/>
  <c r="B1486" i="8"/>
  <c r="F1485" i="8" l="1"/>
  <c r="E1486" i="8"/>
  <c r="D1486" i="8"/>
  <c r="A1488" i="8"/>
  <c r="C1487" i="8"/>
  <c r="B1487" i="8"/>
  <c r="F1486" i="8" l="1"/>
  <c r="E1487" i="8"/>
  <c r="D1487" i="8"/>
  <c r="A1489" i="8"/>
  <c r="C1488" i="8"/>
  <c r="B1488" i="8"/>
  <c r="E1488" i="8" l="1"/>
  <c r="D1488" i="8"/>
  <c r="F1488" i="8" s="1"/>
  <c r="F1487" i="8"/>
  <c r="A1490" i="8"/>
  <c r="C1489" i="8"/>
  <c r="B1489" i="8"/>
  <c r="E1489" i="8" l="1"/>
  <c r="D1489" i="8"/>
  <c r="F1489" i="8" s="1"/>
  <c r="A1491" i="8"/>
  <c r="C1490" i="8"/>
  <c r="B1490" i="8"/>
  <c r="E1490" i="8" l="1"/>
  <c r="D1490" i="8"/>
  <c r="A1492" i="8"/>
  <c r="C1491" i="8"/>
  <c r="B1491" i="8"/>
  <c r="F1490" i="8" l="1"/>
  <c r="E1491" i="8"/>
  <c r="D1491" i="8"/>
  <c r="F1491" i="8" s="1"/>
  <c r="A1493" i="8"/>
  <c r="C1492" i="8"/>
  <c r="B1492" i="8"/>
  <c r="E1492" i="8" l="1"/>
  <c r="D1492" i="8"/>
  <c r="F1492" i="8" s="1"/>
  <c r="A1494" i="8"/>
  <c r="C1493" i="8"/>
  <c r="B1493" i="8"/>
  <c r="E1493" i="8" l="1"/>
  <c r="D1493" i="8"/>
  <c r="A1495" i="8"/>
  <c r="C1494" i="8"/>
  <c r="B1494" i="8"/>
  <c r="F1493" i="8" l="1"/>
  <c r="E1494" i="8"/>
  <c r="D1494" i="8"/>
  <c r="F1494" i="8" s="1"/>
  <c r="A1496" i="8"/>
  <c r="C1495" i="8"/>
  <c r="B1495" i="8"/>
  <c r="E1495" i="8" l="1"/>
  <c r="D1495" i="8"/>
  <c r="F1495" i="8" s="1"/>
  <c r="A1497" i="8"/>
  <c r="C1496" i="8"/>
  <c r="B1496" i="8"/>
  <c r="E1496" i="8" l="1"/>
  <c r="D1496" i="8"/>
  <c r="F1496" i="8" s="1"/>
  <c r="A1498" i="8"/>
  <c r="C1497" i="8"/>
  <c r="B1497" i="8"/>
  <c r="E1497" i="8" l="1"/>
  <c r="D1497" i="8"/>
  <c r="F1497" i="8" s="1"/>
  <c r="A1499" i="8"/>
  <c r="C1498" i="8"/>
  <c r="B1498" i="8"/>
  <c r="E1498" i="8" l="1"/>
  <c r="D1498" i="8"/>
  <c r="F1498" i="8" s="1"/>
  <c r="A1500" i="8"/>
  <c r="C1499" i="8"/>
  <c r="B1499" i="8"/>
  <c r="E1499" i="8" l="1"/>
  <c r="D1499" i="8"/>
  <c r="F1499" i="8" s="1"/>
  <c r="A1501" i="8"/>
  <c r="C1500" i="8"/>
  <c r="B1500" i="8"/>
  <c r="E1500" i="8" l="1"/>
  <c r="D1500" i="8"/>
  <c r="F1500" i="8" s="1"/>
  <c r="A1502" i="8"/>
  <c r="C1501" i="8"/>
  <c r="B1501" i="8"/>
  <c r="E1501" i="8" l="1"/>
  <c r="D1501" i="8"/>
  <c r="A1503" i="8"/>
  <c r="C1502" i="8"/>
  <c r="B1502" i="8"/>
  <c r="F1501" i="8" l="1"/>
  <c r="E1502" i="8"/>
  <c r="D1502" i="8"/>
  <c r="A1504" i="8"/>
  <c r="C1503" i="8"/>
  <c r="B1503" i="8"/>
  <c r="F1502" i="8" l="1"/>
  <c r="E1503" i="8"/>
  <c r="D1503" i="8"/>
  <c r="A1505" i="8"/>
  <c r="C1504" i="8"/>
  <c r="B1504" i="8"/>
  <c r="F1503" i="8" l="1"/>
  <c r="E1504" i="8"/>
  <c r="D1504" i="8"/>
  <c r="A1506" i="8"/>
  <c r="C1505" i="8"/>
  <c r="B1505" i="8"/>
  <c r="F1504" i="8" l="1"/>
  <c r="E1505" i="8"/>
  <c r="D1505" i="8"/>
  <c r="A1507" i="8"/>
  <c r="C1506" i="8"/>
  <c r="B1506" i="8"/>
  <c r="F1505" i="8" l="1"/>
  <c r="E1506" i="8"/>
  <c r="D1506" i="8"/>
  <c r="F1506" i="8" s="1"/>
  <c r="A1508" i="8"/>
  <c r="C1507" i="8"/>
  <c r="B1507" i="8"/>
  <c r="E1507" i="8" l="1"/>
  <c r="D1507" i="8"/>
  <c r="F1507" i="8" s="1"/>
  <c r="A1509" i="8"/>
  <c r="C1508" i="8"/>
  <c r="B1508" i="8"/>
  <c r="E1508" i="8" l="1"/>
  <c r="D1508" i="8"/>
  <c r="F1508" i="8" s="1"/>
  <c r="A1510" i="8"/>
  <c r="C1509" i="8"/>
  <c r="B1509" i="8"/>
  <c r="E1509" i="8" l="1"/>
  <c r="D1509" i="8"/>
  <c r="F1509" i="8" s="1"/>
  <c r="A1511" i="8"/>
  <c r="C1510" i="8"/>
  <c r="B1510" i="8"/>
  <c r="E1510" i="8" l="1"/>
  <c r="D1510" i="8"/>
  <c r="A1512" i="8"/>
  <c r="C1511" i="8"/>
  <c r="B1511" i="8"/>
  <c r="F1510" i="8" l="1"/>
  <c r="E1511" i="8"/>
  <c r="D1511" i="8"/>
  <c r="F1511" i="8" s="1"/>
  <c r="A1513" i="8"/>
  <c r="C1512" i="8"/>
  <c r="B1512" i="8"/>
  <c r="E1512" i="8" l="1"/>
  <c r="D1512" i="8"/>
  <c r="F1512" i="8" s="1"/>
  <c r="A1514" i="8"/>
  <c r="C1513" i="8"/>
  <c r="B1513" i="8"/>
  <c r="E1513" i="8" l="1"/>
  <c r="D1513" i="8"/>
  <c r="A1515" i="8"/>
  <c r="C1514" i="8"/>
  <c r="B1514" i="8"/>
  <c r="E1514" i="8" l="1"/>
  <c r="D1514" i="8"/>
  <c r="F1514" i="8" s="1"/>
  <c r="F1513" i="8"/>
  <c r="A1516" i="8"/>
  <c r="C1515" i="8"/>
  <c r="B1515" i="8"/>
  <c r="E1515" i="8" l="1"/>
  <c r="D1515" i="8"/>
  <c r="F1515" i="8" s="1"/>
  <c r="A1517" i="8"/>
  <c r="C1516" i="8"/>
  <c r="B1516" i="8"/>
  <c r="E1516" i="8" l="1"/>
  <c r="D1516" i="8"/>
  <c r="F1516" i="8" s="1"/>
  <c r="A1518" i="8"/>
  <c r="C1517" i="8"/>
  <c r="B1517" i="8"/>
  <c r="E1517" i="8" l="1"/>
  <c r="D1517" i="8"/>
  <c r="F1517" i="8" s="1"/>
  <c r="A1519" i="8"/>
  <c r="C1518" i="8"/>
  <c r="B1518" i="8"/>
  <c r="E1518" i="8" l="1"/>
  <c r="D1518" i="8"/>
  <c r="F1518" i="8" s="1"/>
  <c r="A1520" i="8"/>
  <c r="C1519" i="8"/>
  <c r="B1519" i="8"/>
  <c r="E1519" i="8" l="1"/>
  <c r="D1519" i="8"/>
  <c r="F1519" i="8" s="1"/>
  <c r="A1521" i="8"/>
  <c r="C1520" i="8"/>
  <c r="B1520" i="8"/>
  <c r="E1520" i="8" l="1"/>
  <c r="D1520" i="8"/>
  <c r="A1522" i="8"/>
  <c r="C1521" i="8"/>
  <c r="B1521" i="8"/>
  <c r="F1520" i="8" l="1"/>
  <c r="E1521" i="8"/>
  <c r="D1521" i="8"/>
  <c r="F1521" i="8" s="1"/>
  <c r="A1523" i="8"/>
  <c r="C1522" i="8"/>
  <c r="B1522" i="8"/>
  <c r="E1522" i="8" l="1"/>
  <c r="D1522" i="8"/>
  <c r="A1524" i="8"/>
  <c r="C1523" i="8"/>
  <c r="B1523" i="8"/>
  <c r="F1522" i="8" l="1"/>
  <c r="E1523" i="8"/>
  <c r="D1523" i="8"/>
  <c r="F1523" i="8" s="1"/>
  <c r="A1525" i="8"/>
  <c r="C1524" i="8"/>
  <c r="B1524" i="8"/>
  <c r="E1524" i="8" l="1"/>
  <c r="D1524" i="8"/>
  <c r="F1524" i="8" s="1"/>
  <c r="A1526" i="8"/>
  <c r="C1525" i="8"/>
  <c r="B1525" i="8"/>
  <c r="E1525" i="8" l="1"/>
  <c r="D1525" i="8"/>
  <c r="F1525" i="8" s="1"/>
  <c r="A1527" i="8"/>
  <c r="C1526" i="8"/>
  <c r="B1526" i="8"/>
  <c r="E1526" i="8" l="1"/>
  <c r="D1526" i="8"/>
  <c r="F1526" i="8" s="1"/>
  <c r="A1528" i="8"/>
  <c r="C1527" i="8"/>
  <c r="B1527" i="8"/>
  <c r="E1527" i="8" l="1"/>
  <c r="D1527" i="8"/>
  <c r="A1529" i="8"/>
  <c r="C1528" i="8"/>
  <c r="B1528" i="8"/>
  <c r="F1527" i="8" l="1"/>
  <c r="E1528" i="8"/>
  <c r="D1528" i="8"/>
  <c r="F1528" i="8" s="1"/>
  <c r="A1530" i="8"/>
  <c r="C1529" i="8"/>
  <c r="B1529" i="8"/>
  <c r="E1529" i="8" l="1"/>
  <c r="D1529" i="8"/>
  <c r="F1529" i="8" s="1"/>
  <c r="A1531" i="8"/>
  <c r="C1530" i="8"/>
  <c r="B1530" i="8"/>
  <c r="E1530" i="8" l="1"/>
  <c r="D1530" i="8"/>
  <c r="F1530" i="8" s="1"/>
  <c r="A1532" i="8"/>
  <c r="C1531" i="8"/>
  <c r="B1531" i="8"/>
  <c r="E1531" i="8" l="1"/>
  <c r="D1531" i="8"/>
  <c r="F1531" i="8" s="1"/>
  <c r="A1533" i="8"/>
  <c r="C1532" i="8"/>
  <c r="B1532" i="8"/>
  <c r="E1532" i="8" l="1"/>
  <c r="D1532" i="8"/>
  <c r="F1532" i="8" s="1"/>
  <c r="A1534" i="8"/>
  <c r="C1533" i="8"/>
  <c r="B1533" i="8"/>
  <c r="E1533" i="8" l="1"/>
  <c r="D1533" i="8"/>
  <c r="A1535" i="8"/>
  <c r="C1534" i="8"/>
  <c r="B1534" i="8"/>
  <c r="F1533" i="8" l="1"/>
  <c r="E1534" i="8"/>
  <c r="D1534" i="8"/>
  <c r="F1534" i="8" s="1"/>
  <c r="A1536" i="8"/>
  <c r="C1535" i="8"/>
  <c r="B1535" i="8"/>
  <c r="E1535" i="8" l="1"/>
  <c r="D1535" i="8"/>
  <c r="F1535" i="8" s="1"/>
  <c r="A1537" i="8"/>
  <c r="C1536" i="8"/>
  <c r="B1536" i="8"/>
  <c r="E1536" i="8" l="1"/>
  <c r="D1536" i="8"/>
  <c r="A1538" i="8"/>
  <c r="C1537" i="8"/>
  <c r="B1537" i="8"/>
  <c r="F1536" i="8" l="1"/>
  <c r="E1537" i="8"/>
  <c r="D1537" i="8"/>
  <c r="F1537" i="8" s="1"/>
  <c r="A1539" i="8"/>
  <c r="C1538" i="8"/>
  <c r="B1538" i="8"/>
  <c r="E1538" i="8" l="1"/>
  <c r="D1538" i="8"/>
  <c r="F1538" i="8" s="1"/>
  <c r="A1540" i="8"/>
  <c r="C1539" i="8"/>
  <c r="B1539" i="8"/>
  <c r="E1539" i="8" l="1"/>
  <c r="D1539" i="8"/>
  <c r="F1539" i="8" s="1"/>
  <c r="A1541" i="8"/>
  <c r="C1540" i="8"/>
  <c r="B1540" i="8"/>
  <c r="E1540" i="8" l="1"/>
  <c r="D1540" i="8"/>
  <c r="F1540" i="8" s="1"/>
  <c r="A1542" i="8"/>
  <c r="C1541" i="8"/>
  <c r="B1541" i="8"/>
  <c r="E1541" i="8" l="1"/>
  <c r="D1541" i="8"/>
  <c r="F1541" i="8" s="1"/>
  <c r="A1543" i="8"/>
  <c r="C1542" i="8"/>
  <c r="B1542" i="8"/>
  <c r="E1542" i="8" l="1"/>
  <c r="D1542" i="8"/>
  <c r="F1542" i="8" s="1"/>
  <c r="A1544" i="8"/>
  <c r="C1543" i="8"/>
  <c r="B1543" i="8"/>
  <c r="E1543" i="8" l="1"/>
  <c r="D1543" i="8"/>
  <c r="F1543" i="8" s="1"/>
  <c r="A1545" i="8"/>
  <c r="C1544" i="8"/>
  <c r="B1544" i="8"/>
  <c r="E1544" i="8" l="1"/>
  <c r="D1544" i="8"/>
  <c r="A1546" i="8"/>
  <c r="C1545" i="8"/>
  <c r="B1545" i="8"/>
  <c r="F1544" i="8" l="1"/>
  <c r="E1545" i="8"/>
  <c r="D1545" i="8"/>
  <c r="F1545" i="8" s="1"/>
  <c r="A1547" i="8"/>
  <c r="C1547" i="8" s="1"/>
  <c r="C1546" i="8"/>
  <c r="B1546" i="8"/>
  <c r="E1547" i="8" l="1"/>
  <c r="D1547" i="8"/>
  <c r="F1547" i="8" s="1"/>
  <c r="E1546" i="8"/>
  <c r="D1546" i="8"/>
  <c r="F1546" i="8" s="1"/>
  <c r="B1547" i="8"/>
  <c r="F9" i="8" s="1"/>
  <c r="F1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M2" authorId="0" shapeId="0" xr:uid="{93556A48-7F6F-4E59-A066-D71E4287D6B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地址打拍
数据打拍
Vld打拍</t>
        </r>
      </text>
    </comment>
    <comment ref="O2" authorId="0" shapeId="0" xr:uid="{724BAED8-2DCF-4409-8E53-422D44DB137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数据打拍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D1" authorId="0" shapeId="0" xr:uid="{D0B6A3A6-072B-4745-B80D-1F98C0A2B1B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D2" authorId="0" shapeId="0" xr:uid="{594AA76F-1B80-4F92-BD86-8B0FC27BAAE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H6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6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6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11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11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16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16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E26" authorId="0" shapeId="0" xr:uid="{07F20CED-56CF-4CED-85AE-F31562B3623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26" authorId="0" shapeId="0" xr:uid="{0A3201EE-87E0-4F01-8F8B-2CA1A579E957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31" authorId="0" shapeId="0" xr:uid="{B46359D9-26E3-46EE-84D3-435297C22D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31" authorId="0" shapeId="0" xr:uid="{854043B2-C242-4C4E-8129-4B139B97CEF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31" authorId="0" shapeId="0" xr:uid="{74AC76D8-EA33-480E-B2C7-2524BB93393D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31" authorId="0" shapeId="0" xr:uid="{1698211C-A65D-4E03-A8B5-63DDD8DF83A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31" authorId="0" shapeId="0" xr:uid="{DAE19874-FF95-4587-B31D-006410099A5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31" authorId="0" shapeId="0" xr:uid="{716FE05C-CD45-477B-B9F0-1D5529A2BC2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G35" authorId="0" shapeId="0" xr:uid="{D9410E5A-14F6-4AB4-9226-B89B815CAFA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非零，则生成输入指针表。一般用于BDPA指针</t>
        </r>
      </text>
    </comment>
    <comment ref="P35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40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40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40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<sst xmlns="http://schemas.openxmlformats.org/spreadsheetml/2006/main" count="322" uniqueCount="210">
  <si>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</si>
  <si>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</si>
  <si>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</si>
  <si>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</si>
  <si>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</si>
  <si>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</si>
  <si>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</si>
  <si>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</si>
  <si>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</si>
  <si>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</si>
  <si>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</si>
  <si>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</si>
  <si>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</si>
  <si>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</si>
  <si>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</si>
  <si>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</si>
  <si>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</si>
  <si>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</si>
  <si>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</si>
  <si>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</si>
  <si>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</si>
  <si>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</si>
  <si>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</si>
  <si>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</si>
  <si>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</si>
  <si>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</si>
  <si>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</si>
  <si>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</si>
  <si>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</si>
  <si>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</si>
  <si>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</si>
  <si>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</si>
  <si>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</si>
  <si>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</si>
  <si>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</si>
  <si>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</si>
  <si>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</si>
  <si>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</si>
  <si>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</si>
  <si>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</si>
  <si>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</si>
  <si>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</si>
  <si>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</si>
  <si>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</si>
  <si>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</si>
  <si>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</si>
  <si>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</si>
  <si>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</si>
  <si>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</si>
  <si>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</si>
  <si>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</si>
  <si>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</si>
  <si>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</si>
  <si>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</si>
  <si>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</si>
  <si>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</si>
  <si>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</si>
  <si>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</si>
  <si>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Weight</t>
    <phoneticPr fontId="1" type="noConversion"/>
  </si>
  <si>
    <t>Copy Num</t>
    <phoneticPr fontId="1" type="noConversion"/>
  </si>
  <si>
    <t>Name</t>
    <phoneticPr fontId="1" type="noConversion"/>
  </si>
  <si>
    <t>Id</t>
    <phoneticPr fontId="1" type="noConversion"/>
  </si>
  <si>
    <t>Pid</t>
    <phoneticPr fontId="1" type="noConversion"/>
  </si>
  <si>
    <t>镜像</t>
    <phoneticPr fontId="1" type="noConversion"/>
  </si>
  <si>
    <t>原始多播</t>
    <phoneticPr fontId="1" type="noConversion"/>
  </si>
  <si>
    <t>Mirror</t>
    <phoneticPr fontId="1" type="noConversion"/>
  </si>
  <si>
    <t>Sample</t>
    <phoneticPr fontId="1" type="noConversion"/>
  </si>
  <si>
    <t>Copy</t>
    <phoneticPr fontId="1" type="noConversion"/>
  </si>
  <si>
    <t>上环多播</t>
    <phoneticPr fontId="1" type="noConversion"/>
  </si>
  <si>
    <t>平面复制</t>
    <phoneticPr fontId="1" type="noConversion"/>
  </si>
  <si>
    <t>平面内复制</t>
    <phoneticPr fontId="1" type="noConversion"/>
  </si>
  <si>
    <t>FNUM bits</t>
    <phoneticPr fontId="1" type="noConversion"/>
  </si>
  <si>
    <t>FCNT bits</t>
    <phoneticPr fontId="1" type="noConversion"/>
  </si>
  <si>
    <t>Stage</t>
    <phoneticPr fontId="1" type="noConversion"/>
  </si>
  <si>
    <t>Stage</t>
    <phoneticPr fontId="1" type="noConversion"/>
  </si>
  <si>
    <t>Copy among SWP</t>
    <phoneticPr fontId="1" type="noConversion"/>
  </si>
  <si>
    <t>上环Mirror</t>
    <phoneticPr fontId="1" type="noConversion"/>
  </si>
  <si>
    <t>上环Mirror复制</t>
    <phoneticPr fontId="1" type="noConversion"/>
  </si>
  <si>
    <t>本地平面复制</t>
    <phoneticPr fontId="1" type="noConversion"/>
  </si>
  <si>
    <t>本地复制</t>
    <phoneticPr fontId="1" type="noConversion"/>
  </si>
  <si>
    <t>上环Sample</t>
    <phoneticPr fontId="1" type="noConversion"/>
  </si>
  <si>
    <t>上环Sample复制</t>
    <phoneticPr fontId="1" type="noConversion"/>
  </si>
  <si>
    <t>本地复制</t>
    <phoneticPr fontId="1" type="noConversion"/>
  </si>
  <si>
    <t>TSMC FF7</t>
    <phoneticPr fontId="1" type="noConversion"/>
  </si>
  <si>
    <t>Memory上走线密度</t>
    <phoneticPr fontId="1" type="noConversion"/>
  </si>
  <si>
    <t>Value</t>
    <phoneticPr fontId="1" type="noConversion"/>
  </si>
  <si>
    <t>lines/100u</t>
    <phoneticPr fontId="1" type="noConversion"/>
  </si>
  <si>
    <t>Fit Through走线密度</t>
    <phoneticPr fontId="1" type="noConversion"/>
  </si>
  <si>
    <t>穿线系数</t>
    <phoneticPr fontId="1" type="noConversion"/>
  </si>
  <si>
    <t>0.7~0.8</t>
    <phoneticPr fontId="1" type="noConversion"/>
  </si>
  <si>
    <t>寄存器驱动距离</t>
    <phoneticPr fontId="1" type="noConversion"/>
  </si>
  <si>
    <t>um</t>
    <phoneticPr fontId="1" type="noConversion"/>
  </si>
  <si>
    <t>700@1.35GHz</t>
    <phoneticPr fontId="1" type="noConversion"/>
  </si>
  <si>
    <t>IO密度</t>
    <phoneticPr fontId="1" type="noConversion"/>
  </si>
  <si>
    <t>IOs/100u</t>
    <phoneticPr fontId="1" type="noConversion"/>
  </si>
  <si>
    <t>Buf驱动距离</t>
    <phoneticPr fontId="1" type="noConversion"/>
  </si>
  <si>
    <t>2300@13layer</t>
    <phoneticPr fontId="1" type="noConversion"/>
  </si>
  <si>
    <t>1150@13layer</t>
    <phoneticPr fontId="1" type="noConversion"/>
  </si>
  <si>
    <t>Step</t>
    <phoneticPr fontId="1" type="noConversion"/>
  </si>
  <si>
    <t>Feature</t>
    <phoneticPr fontId="1" type="noConversion"/>
  </si>
  <si>
    <t>Scenario</t>
    <phoneticPr fontId="1" type="noConversion"/>
  </si>
  <si>
    <t>Latency</t>
    <phoneticPr fontId="1" type="noConversion"/>
  </si>
  <si>
    <t>xxx</t>
  </si>
  <si>
    <t>Latency
(clocks)</t>
    <phoneticPr fontId="1" type="noConversion"/>
  </si>
  <si>
    <t>Scenario1</t>
    <phoneticPr fontId="1" type="noConversion"/>
  </si>
  <si>
    <t>Scenario2</t>
  </si>
  <si>
    <t>Scenario3</t>
  </si>
  <si>
    <t>Scenario4</t>
  </si>
  <si>
    <t>Scenario5</t>
  </si>
  <si>
    <t>Scenario6</t>
  </si>
  <si>
    <t>Scenario Names</t>
    <phoneticPr fontId="1" type="noConversion"/>
  </si>
  <si>
    <t>Path</t>
    <phoneticPr fontId="1" type="noConversion"/>
  </si>
  <si>
    <t>Brach</t>
    <phoneticPr fontId="1" type="noConversion"/>
  </si>
  <si>
    <t>ID</t>
    <phoneticPr fontId="1" type="noConversion"/>
  </si>
  <si>
    <t>END</t>
    <phoneticPr fontId="1" type="noConversion"/>
  </si>
  <si>
    <t>Compensation</t>
    <phoneticPr fontId="1" type="noConversion"/>
  </si>
  <si>
    <t>寄存器面积/bit</t>
    <phoneticPr fontId="1" type="noConversion"/>
  </si>
  <si>
    <t>um^2/bit</t>
    <phoneticPr fontId="1" type="noConversion"/>
  </si>
  <si>
    <t>Packet Length
(Byte)</t>
    <phoneticPr fontId="1" type="noConversion"/>
  </si>
  <si>
    <t>IPG(Byte)</t>
    <phoneticPr fontId="1" type="noConversion"/>
  </si>
  <si>
    <t>BW(Gbps)</t>
    <phoneticPr fontId="1" type="noConversion"/>
  </si>
  <si>
    <t>Packet Rate
(GPPS)</t>
    <phoneticPr fontId="1" type="noConversion"/>
  </si>
  <si>
    <t>Step(Byte)</t>
    <phoneticPr fontId="1" type="noConversion"/>
  </si>
  <si>
    <t>Total(Byte)</t>
    <phoneticPr fontId="1" type="noConversion"/>
  </si>
  <si>
    <t>FCS</t>
    <phoneticPr fontId="1" type="noConversion"/>
  </si>
  <si>
    <t>NP2NP</t>
    <phoneticPr fontId="1" type="noConversion"/>
  </si>
  <si>
    <t>Receive
Packet
Length
(Byte)</t>
    <phoneticPr fontId="1" type="noConversion"/>
  </si>
  <si>
    <t>Slice(Byte)</t>
    <phoneticPr fontId="1" type="noConversion"/>
  </si>
  <si>
    <t>Freq(GHz)</t>
    <phoneticPr fontId="1" type="noConversion"/>
  </si>
  <si>
    <t>SpeedUp
(%)</t>
    <phoneticPr fontId="1" type="noConversion"/>
  </si>
  <si>
    <t>Depth</t>
    <phoneticPr fontId="1" type="noConversion"/>
  </si>
  <si>
    <t>Fold</t>
    <phoneticPr fontId="1" type="noConversion"/>
  </si>
  <si>
    <t>Fields</t>
    <phoneticPr fontId="1" type="noConversion"/>
  </si>
  <si>
    <t>寄存器:TP MEM面积比</t>
    <phoneticPr fontId="1" type="noConversion"/>
  </si>
  <si>
    <t>15：1</t>
    <phoneticPr fontId="1" type="noConversion"/>
  </si>
  <si>
    <t>Scheduler</t>
    <phoneticPr fontId="1" type="noConversion"/>
  </si>
  <si>
    <t>Channel</t>
    <phoneticPr fontId="1" type="noConversion"/>
  </si>
  <si>
    <t>Unit
(Byte)</t>
    <phoneticPr fontId="1" type="noConversion"/>
  </si>
  <si>
    <t>Overflow
(Byte)</t>
    <phoneticPr fontId="1" type="noConversion"/>
  </si>
  <si>
    <t>RTT
(ns)</t>
    <phoneticPr fontId="1" type="noConversion"/>
  </si>
  <si>
    <t>ACK
(ns)</t>
    <phoneticPr fontId="1" type="noConversion"/>
  </si>
  <si>
    <t>Quantity
(Byte)</t>
    <phoneticPr fontId="1" type="noConversion"/>
  </si>
  <si>
    <t>sdf</t>
    <phoneticPr fontId="1" type="noConversion"/>
  </si>
  <si>
    <t>REG</t>
    <phoneticPr fontId="1" type="noConversion"/>
  </si>
  <si>
    <t>R</t>
    <phoneticPr fontId="1" type="noConversion"/>
  </si>
  <si>
    <t>W</t>
    <phoneticPr fontId="1" type="noConversion"/>
  </si>
  <si>
    <t>Read</t>
    <phoneticPr fontId="1" type="noConversion"/>
  </si>
  <si>
    <t>Write</t>
    <phoneticPr fontId="1" type="noConversion"/>
  </si>
  <si>
    <t>Access</t>
    <phoneticPr fontId="1" type="noConversion"/>
  </si>
  <si>
    <t>Physic</t>
  </si>
  <si>
    <t>Memory Wraper</t>
    <phoneticPr fontId="1" type="noConversion"/>
  </si>
  <si>
    <t>I1</t>
    <phoneticPr fontId="1" type="noConversion"/>
  </si>
  <si>
    <t>O1</t>
    <phoneticPr fontId="1" type="noConversion"/>
  </si>
  <si>
    <t>ECC</t>
    <phoneticPr fontId="1" type="noConversion"/>
  </si>
  <si>
    <t>INIT</t>
    <phoneticPr fontId="1" type="noConversion"/>
  </si>
  <si>
    <t>CPU</t>
    <phoneticPr fontId="1" type="noConversion"/>
  </si>
  <si>
    <t>B2B</t>
    <phoneticPr fontId="1" type="noConversion"/>
  </si>
  <si>
    <t>Bits</t>
    <phoneticPr fontId="1" type="noConversion"/>
  </si>
  <si>
    <t>MEM</t>
    <phoneticPr fontId="1" type="noConversion"/>
  </si>
  <si>
    <t>Statistic</t>
    <phoneticPr fontId="1" type="noConversion"/>
  </si>
  <si>
    <t>链个数</t>
    <phoneticPr fontId="1" type="noConversion"/>
  </si>
  <si>
    <t>Class</t>
    <phoneticPr fontId="1" type="noConversion"/>
  </si>
  <si>
    <t>Interupt</t>
    <phoneticPr fontId="1" type="noConversion"/>
  </si>
  <si>
    <t>Count</t>
    <phoneticPr fontId="1" type="noConversion"/>
  </si>
  <si>
    <t>YES</t>
    <phoneticPr fontId="1" type="noConversion"/>
  </si>
  <si>
    <t>按错误类型</t>
    <phoneticPr fontId="1" type="noConversion"/>
  </si>
  <si>
    <t>不区分类型统计</t>
    <phoneticPr fontId="1" type="noConversion"/>
  </si>
  <si>
    <t>1. SOP错误，整包湮灭；
2. 非SOP错误：
    a) 错误位置标识EOP+ABORT;
    b) 错位位置以后直到EOP的数据直接湮灭；</t>
    <phoneticPr fontId="1" type="noConversion"/>
  </si>
  <si>
    <t>错包过滤</t>
    <phoneticPr fontId="1" type="noConversion"/>
  </si>
  <si>
    <t>Function</t>
    <phoneticPr fontId="1" type="noConversion"/>
  </si>
  <si>
    <t>DeadLock</t>
    <phoneticPr fontId="1" type="noConversion"/>
  </si>
  <si>
    <t>队列有数据，但长期无法得到调度</t>
    <phoneticPr fontId="1" type="noConversion"/>
  </si>
  <si>
    <t>NO</t>
    <phoneticPr fontId="1" type="noConversion"/>
  </si>
  <si>
    <t>Detect</t>
    <phoneticPr fontId="1" type="noConversion"/>
  </si>
  <si>
    <t>Recovery</t>
    <phoneticPr fontId="1" type="noConversion"/>
  </si>
  <si>
    <t>条件：队列非空&amp;&amp;配置时间内都没有得到一次调度</t>
    <phoneticPr fontId="1" type="noConversion"/>
  </si>
  <si>
    <t>支持以下恢复触发模式：
1. CPU触发恢复；
2. 逻辑自动触发恢复；</t>
    <phoneticPr fontId="1" type="noConversion"/>
  </si>
  <si>
    <t>Event</t>
    <phoneticPr fontId="1" type="noConversion"/>
  </si>
  <si>
    <t>支持以下几种恢复模式：
1. 排空配置时间；
2. 排空到队列为空；
3. 排空到调度条件满足；</t>
    <phoneticPr fontId="1" type="noConversion"/>
  </si>
  <si>
    <t>Execute</t>
    <phoneticPr fontId="1" type="noConversion"/>
  </si>
  <si>
    <t>支持以下恢复动作：
1. 调度数据，然后丢弃；
2. 调度数据，然后发给下一级；</t>
    <phoneticPr fontId="1" type="noConversion"/>
  </si>
  <si>
    <t>丢弃捕获</t>
    <phoneticPr fontId="1" type="noConversion"/>
  </si>
  <si>
    <t>CT Fly Through</t>
    <phoneticPr fontId="1" type="noConversion"/>
  </si>
  <si>
    <t>Min</t>
  </si>
  <si>
    <t>Min</t>
    <phoneticPr fontId="1" type="noConversion"/>
  </si>
  <si>
    <t>Max</t>
    <phoneticPr fontId="1" type="noConversion"/>
  </si>
  <si>
    <t>CTA</t>
    <phoneticPr fontId="1" type="noConversion"/>
  </si>
  <si>
    <t>Typic</t>
  </si>
  <si>
    <t>Typic</t>
    <phoneticPr fontId="1" type="noConversion"/>
  </si>
  <si>
    <t>CTQ Request</t>
    <phoneticPr fontId="1" type="noConversion"/>
  </si>
  <si>
    <t>Typic</t>
    <phoneticPr fontId="1" type="noConversion"/>
  </si>
  <si>
    <t>Partition Input FF</t>
    <phoneticPr fontId="1" type="noConversion"/>
  </si>
  <si>
    <t>Partition Output FF</t>
    <phoneticPr fontId="1" type="noConversion"/>
  </si>
  <si>
    <t>CTQ Dequeue</t>
    <phoneticPr fontId="1" type="noConversion"/>
  </si>
  <si>
    <t>OXA CT Write</t>
    <phoneticPr fontId="1" type="noConversion"/>
  </si>
  <si>
    <t>OBF位宽延时</t>
    <phoneticPr fontId="1" type="noConversion"/>
  </si>
  <si>
    <t>Init</t>
    <phoneticPr fontId="1" type="noConversion"/>
  </si>
  <si>
    <t>1. SOP错误，整包湮灭；
2. 非SOP错误：
    a) 错误位置标识EOP+ABORT;
    b) 错位位置以后直到EOP的数据直接湮灭；
3. 超长包
    a) 超长第一个位置标识EOP+ABORT;
    b) 错位位置以后直到EOP的数据直接湮灭；
4. 超断包，整包湮灭</t>
    <phoneticPr fontId="1" type="noConversion"/>
  </si>
  <si>
    <t>DepthColumn</t>
    <phoneticPr fontId="1" type="noConversion"/>
  </si>
  <si>
    <t>InstColumn</t>
    <phoneticPr fontId="1" type="noConversion"/>
  </si>
  <si>
    <t>tre</t>
    <phoneticPr fontId="1" type="noConversion"/>
  </si>
  <si>
    <t>dfr</t>
    <phoneticPr fontId="1" type="noConversion"/>
  </si>
  <si>
    <t>Name</t>
    <phoneticPr fontId="1" type="noConversion"/>
  </si>
  <si>
    <t>From</t>
    <phoneticPr fontId="1" type="noConversion"/>
  </si>
  <si>
    <t>To</t>
    <phoneticPr fontId="1" type="noConversion"/>
  </si>
  <si>
    <t>SUM</t>
  </si>
  <si>
    <t>SELECT</t>
  </si>
  <si>
    <t>Pack Unit(Byte)</t>
    <phoneticPr fontId="1" type="noConversion"/>
  </si>
  <si>
    <t>Transmit Clocks
(clocks)</t>
    <phoneticPr fontId="1" type="noConversion"/>
  </si>
  <si>
    <t>Transmit Packets
(N)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</si>
</sst>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color theme="5" tint="0.59999389629810485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"/>
      <name val="Arial"/>
      <family val="2"/>
    </font>
    <font>
      <b/>
      <sz val="11"/>
      <color theme="8" tint="0.59999389629810485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Gray">
        <bgColor theme="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0" fillId="3" borderId="1" xfId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9" borderId="1" xfId="0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2" fillId="8" borderId="1" xfId="0" applyNumberFormat="1" applyFont="1" applyFill="1" applyBorder="1" applyAlignment="1">
      <alignment horizontal="center" vertical="center"/>
    </xf>
    <xf numFmtId="0" fontId="3" fillId="10" borderId="0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1" fillId="8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2" fillId="2" borderId="6" xfId="0" applyFont="1" applyFill="1" applyBorder="1" applyAlignment="1">
      <alignment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0" fontId="0" fillId="9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3" fillId="12" borderId="0" xfId="0" applyFont="1" applyFill="1" applyBorder="1">
      <alignment vertical="center"/>
    </xf>
    <xf numFmtId="0" fontId="15" fillId="2" borderId="4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0" fillId="9" borderId="5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3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Performance!$F$8</c:f>
              <c:strCache>
                <c:ptCount val="1"/>
                <c:pt idx="0">
                  <c:v>SpeedUp
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Performance!$A$11:$A$1548</c:f>
              <c:numCache>
                <c:formatCode>General</c:formatCode>
                <c:ptCount val="1538"/>
                <c:pt idx="0">
                  <c:v>295</c:v>
                </c:pt>
                <c:pt idx="1">
                  <c:v>296</c:v>
                </c:pt>
                <c:pt idx="2">
                  <c:v>297</c:v>
                </c:pt>
                <c:pt idx="3">
                  <c:v>298</c:v>
                </c:pt>
                <c:pt idx="4">
                  <c:v>299</c:v>
                </c:pt>
                <c:pt idx="5">
                  <c:v>300</c:v>
                </c:pt>
                <c:pt idx="6">
                  <c:v>301</c:v>
                </c:pt>
                <c:pt idx="7">
                  <c:v>302</c:v>
                </c:pt>
                <c:pt idx="8">
                  <c:v>303</c:v>
                </c:pt>
                <c:pt idx="9">
                  <c:v>304</c:v>
                </c:pt>
                <c:pt idx="10">
                  <c:v>305</c:v>
                </c:pt>
                <c:pt idx="11">
                  <c:v>306</c:v>
                </c:pt>
                <c:pt idx="12">
                  <c:v>307</c:v>
                </c:pt>
                <c:pt idx="13">
                  <c:v>308</c:v>
                </c:pt>
                <c:pt idx="14">
                  <c:v>309</c:v>
                </c:pt>
                <c:pt idx="15">
                  <c:v>310</c:v>
                </c:pt>
                <c:pt idx="16">
                  <c:v>311</c:v>
                </c:pt>
                <c:pt idx="17">
                  <c:v>312</c:v>
                </c:pt>
                <c:pt idx="18">
                  <c:v>313</c:v>
                </c:pt>
                <c:pt idx="19">
                  <c:v>314</c:v>
                </c:pt>
                <c:pt idx="20">
                  <c:v>315</c:v>
                </c:pt>
                <c:pt idx="21">
                  <c:v>316</c:v>
                </c:pt>
                <c:pt idx="22">
                  <c:v>317</c:v>
                </c:pt>
                <c:pt idx="23">
                  <c:v>318</c:v>
                </c:pt>
                <c:pt idx="24">
                  <c:v>319</c:v>
                </c:pt>
                <c:pt idx="25">
                  <c:v>320</c:v>
                </c:pt>
                <c:pt idx="26">
                  <c:v>321</c:v>
                </c:pt>
                <c:pt idx="27">
                  <c:v>322</c:v>
                </c:pt>
                <c:pt idx="28">
                  <c:v>323</c:v>
                </c:pt>
                <c:pt idx="29">
                  <c:v>324</c:v>
                </c:pt>
                <c:pt idx="30">
                  <c:v>325</c:v>
                </c:pt>
                <c:pt idx="31">
                  <c:v>326</c:v>
                </c:pt>
                <c:pt idx="32">
                  <c:v>327</c:v>
                </c:pt>
                <c:pt idx="33">
                  <c:v>328</c:v>
                </c:pt>
                <c:pt idx="34">
                  <c:v>329</c:v>
                </c:pt>
                <c:pt idx="35">
                  <c:v>330</c:v>
                </c:pt>
                <c:pt idx="36">
                  <c:v>331</c:v>
                </c:pt>
                <c:pt idx="37">
                  <c:v>332</c:v>
                </c:pt>
                <c:pt idx="38">
                  <c:v>333</c:v>
                </c:pt>
                <c:pt idx="39">
                  <c:v>334</c:v>
                </c:pt>
                <c:pt idx="40">
                  <c:v>335</c:v>
                </c:pt>
                <c:pt idx="41">
                  <c:v>336</c:v>
                </c:pt>
                <c:pt idx="42">
                  <c:v>337</c:v>
                </c:pt>
                <c:pt idx="43">
                  <c:v>338</c:v>
                </c:pt>
                <c:pt idx="44">
                  <c:v>339</c:v>
                </c:pt>
                <c:pt idx="45">
                  <c:v>340</c:v>
                </c:pt>
                <c:pt idx="46">
                  <c:v>341</c:v>
                </c:pt>
                <c:pt idx="47">
                  <c:v>342</c:v>
                </c:pt>
                <c:pt idx="48">
                  <c:v>343</c:v>
                </c:pt>
                <c:pt idx="49">
                  <c:v>344</c:v>
                </c:pt>
                <c:pt idx="50">
                  <c:v>345</c:v>
                </c:pt>
                <c:pt idx="51">
                  <c:v>346</c:v>
                </c:pt>
                <c:pt idx="52">
                  <c:v>347</c:v>
                </c:pt>
                <c:pt idx="53">
                  <c:v>348</c:v>
                </c:pt>
                <c:pt idx="54">
                  <c:v>349</c:v>
                </c:pt>
                <c:pt idx="55">
                  <c:v>350</c:v>
                </c:pt>
                <c:pt idx="56">
                  <c:v>351</c:v>
                </c:pt>
                <c:pt idx="57">
                  <c:v>352</c:v>
                </c:pt>
                <c:pt idx="58">
                  <c:v>353</c:v>
                </c:pt>
                <c:pt idx="59">
                  <c:v>354</c:v>
                </c:pt>
                <c:pt idx="60">
                  <c:v>355</c:v>
                </c:pt>
                <c:pt idx="61">
                  <c:v>356</c:v>
                </c:pt>
                <c:pt idx="62">
                  <c:v>357</c:v>
                </c:pt>
                <c:pt idx="63">
                  <c:v>358</c:v>
                </c:pt>
                <c:pt idx="64">
                  <c:v>359</c:v>
                </c:pt>
                <c:pt idx="65">
                  <c:v>360</c:v>
                </c:pt>
                <c:pt idx="66">
                  <c:v>361</c:v>
                </c:pt>
                <c:pt idx="67">
                  <c:v>362</c:v>
                </c:pt>
                <c:pt idx="68">
                  <c:v>363</c:v>
                </c:pt>
                <c:pt idx="69">
                  <c:v>364</c:v>
                </c:pt>
                <c:pt idx="70">
                  <c:v>365</c:v>
                </c:pt>
                <c:pt idx="71">
                  <c:v>366</c:v>
                </c:pt>
                <c:pt idx="72">
                  <c:v>367</c:v>
                </c:pt>
                <c:pt idx="73">
                  <c:v>368</c:v>
                </c:pt>
                <c:pt idx="74">
                  <c:v>369</c:v>
                </c:pt>
                <c:pt idx="75">
                  <c:v>370</c:v>
                </c:pt>
                <c:pt idx="76">
                  <c:v>371</c:v>
                </c:pt>
                <c:pt idx="77">
                  <c:v>372</c:v>
                </c:pt>
                <c:pt idx="78">
                  <c:v>373</c:v>
                </c:pt>
                <c:pt idx="79">
                  <c:v>374</c:v>
                </c:pt>
                <c:pt idx="80">
                  <c:v>375</c:v>
                </c:pt>
                <c:pt idx="81">
                  <c:v>376</c:v>
                </c:pt>
                <c:pt idx="82">
                  <c:v>377</c:v>
                </c:pt>
                <c:pt idx="83">
                  <c:v>378</c:v>
                </c:pt>
                <c:pt idx="84">
                  <c:v>379</c:v>
                </c:pt>
                <c:pt idx="85">
                  <c:v>380</c:v>
                </c:pt>
                <c:pt idx="86">
                  <c:v>381</c:v>
                </c:pt>
                <c:pt idx="87">
                  <c:v>382</c:v>
                </c:pt>
                <c:pt idx="88">
                  <c:v>383</c:v>
                </c:pt>
                <c:pt idx="89">
                  <c:v>384</c:v>
                </c:pt>
                <c:pt idx="90">
                  <c:v>385</c:v>
                </c:pt>
                <c:pt idx="91">
                  <c:v>386</c:v>
                </c:pt>
                <c:pt idx="92">
                  <c:v>387</c:v>
                </c:pt>
                <c:pt idx="93">
                  <c:v>388</c:v>
                </c:pt>
                <c:pt idx="94">
                  <c:v>389</c:v>
                </c:pt>
                <c:pt idx="95">
                  <c:v>390</c:v>
                </c:pt>
                <c:pt idx="96">
                  <c:v>391</c:v>
                </c:pt>
                <c:pt idx="97">
                  <c:v>392</c:v>
                </c:pt>
                <c:pt idx="98">
                  <c:v>393</c:v>
                </c:pt>
                <c:pt idx="99">
                  <c:v>394</c:v>
                </c:pt>
                <c:pt idx="100">
                  <c:v>395</c:v>
                </c:pt>
                <c:pt idx="101">
                  <c:v>396</c:v>
                </c:pt>
                <c:pt idx="102">
                  <c:v>397</c:v>
                </c:pt>
                <c:pt idx="103">
                  <c:v>398</c:v>
                </c:pt>
                <c:pt idx="104">
                  <c:v>399</c:v>
                </c:pt>
                <c:pt idx="105">
                  <c:v>400</c:v>
                </c:pt>
                <c:pt idx="106">
                  <c:v>401</c:v>
                </c:pt>
                <c:pt idx="107">
                  <c:v>402</c:v>
                </c:pt>
                <c:pt idx="108">
                  <c:v>403</c:v>
                </c:pt>
                <c:pt idx="109">
                  <c:v>404</c:v>
                </c:pt>
                <c:pt idx="110">
                  <c:v>405</c:v>
                </c:pt>
                <c:pt idx="111">
                  <c:v>406</c:v>
                </c:pt>
                <c:pt idx="112">
                  <c:v>407</c:v>
                </c:pt>
                <c:pt idx="113">
                  <c:v>408</c:v>
                </c:pt>
                <c:pt idx="114">
                  <c:v>409</c:v>
                </c:pt>
                <c:pt idx="115">
                  <c:v>410</c:v>
                </c:pt>
                <c:pt idx="116">
                  <c:v>411</c:v>
                </c:pt>
                <c:pt idx="117">
                  <c:v>412</c:v>
                </c:pt>
                <c:pt idx="118">
                  <c:v>413</c:v>
                </c:pt>
                <c:pt idx="119">
                  <c:v>414</c:v>
                </c:pt>
                <c:pt idx="120">
                  <c:v>415</c:v>
                </c:pt>
                <c:pt idx="121">
                  <c:v>416</c:v>
                </c:pt>
                <c:pt idx="122">
                  <c:v>417</c:v>
                </c:pt>
                <c:pt idx="123">
                  <c:v>418</c:v>
                </c:pt>
                <c:pt idx="124">
                  <c:v>419</c:v>
                </c:pt>
                <c:pt idx="125">
                  <c:v>420</c:v>
                </c:pt>
                <c:pt idx="126">
                  <c:v>421</c:v>
                </c:pt>
                <c:pt idx="127">
                  <c:v>422</c:v>
                </c:pt>
                <c:pt idx="128">
                  <c:v>423</c:v>
                </c:pt>
                <c:pt idx="129">
                  <c:v>424</c:v>
                </c:pt>
                <c:pt idx="130">
                  <c:v>425</c:v>
                </c:pt>
                <c:pt idx="131">
                  <c:v>426</c:v>
                </c:pt>
                <c:pt idx="132">
                  <c:v>427</c:v>
                </c:pt>
                <c:pt idx="133">
                  <c:v>428</c:v>
                </c:pt>
                <c:pt idx="134">
                  <c:v>429</c:v>
                </c:pt>
                <c:pt idx="135">
                  <c:v>430</c:v>
                </c:pt>
                <c:pt idx="136">
                  <c:v>431</c:v>
                </c:pt>
                <c:pt idx="137">
                  <c:v>432</c:v>
                </c:pt>
                <c:pt idx="138">
                  <c:v>433</c:v>
                </c:pt>
                <c:pt idx="139">
                  <c:v>434</c:v>
                </c:pt>
                <c:pt idx="140">
                  <c:v>435</c:v>
                </c:pt>
                <c:pt idx="141">
                  <c:v>436</c:v>
                </c:pt>
                <c:pt idx="142">
                  <c:v>437</c:v>
                </c:pt>
                <c:pt idx="143">
                  <c:v>438</c:v>
                </c:pt>
                <c:pt idx="144">
                  <c:v>439</c:v>
                </c:pt>
                <c:pt idx="145">
                  <c:v>440</c:v>
                </c:pt>
                <c:pt idx="146">
                  <c:v>441</c:v>
                </c:pt>
                <c:pt idx="147">
                  <c:v>442</c:v>
                </c:pt>
                <c:pt idx="148">
                  <c:v>443</c:v>
                </c:pt>
                <c:pt idx="149">
                  <c:v>444</c:v>
                </c:pt>
                <c:pt idx="150">
                  <c:v>445</c:v>
                </c:pt>
                <c:pt idx="151">
                  <c:v>446</c:v>
                </c:pt>
                <c:pt idx="152">
                  <c:v>447</c:v>
                </c:pt>
                <c:pt idx="153">
                  <c:v>448</c:v>
                </c:pt>
                <c:pt idx="154">
                  <c:v>449</c:v>
                </c:pt>
                <c:pt idx="155">
                  <c:v>450</c:v>
                </c:pt>
                <c:pt idx="156">
                  <c:v>451</c:v>
                </c:pt>
                <c:pt idx="157">
                  <c:v>452</c:v>
                </c:pt>
                <c:pt idx="158">
                  <c:v>453</c:v>
                </c:pt>
                <c:pt idx="159">
                  <c:v>454</c:v>
                </c:pt>
                <c:pt idx="160">
                  <c:v>455</c:v>
                </c:pt>
                <c:pt idx="161">
                  <c:v>456</c:v>
                </c:pt>
                <c:pt idx="162">
                  <c:v>457</c:v>
                </c:pt>
                <c:pt idx="163">
                  <c:v>458</c:v>
                </c:pt>
                <c:pt idx="164">
                  <c:v>459</c:v>
                </c:pt>
                <c:pt idx="165">
                  <c:v>460</c:v>
                </c:pt>
                <c:pt idx="166">
                  <c:v>461</c:v>
                </c:pt>
                <c:pt idx="167">
                  <c:v>462</c:v>
                </c:pt>
                <c:pt idx="168">
                  <c:v>463</c:v>
                </c:pt>
                <c:pt idx="169">
                  <c:v>464</c:v>
                </c:pt>
                <c:pt idx="170">
                  <c:v>465</c:v>
                </c:pt>
                <c:pt idx="171">
                  <c:v>466</c:v>
                </c:pt>
                <c:pt idx="172">
                  <c:v>467</c:v>
                </c:pt>
                <c:pt idx="173">
                  <c:v>468</c:v>
                </c:pt>
                <c:pt idx="174">
                  <c:v>469</c:v>
                </c:pt>
                <c:pt idx="175">
                  <c:v>470</c:v>
                </c:pt>
                <c:pt idx="176">
                  <c:v>471</c:v>
                </c:pt>
                <c:pt idx="177">
                  <c:v>472</c:v>
                </c:pt>
                <c:pt idx="178">
                  <c:v>473</c:v>
                </c:pt>
                <c:pt idx="179">
                  <c:v>474</c:v>
                </c:pt>
                <c:pt idx="180">
                  <c:v>475</c:v>
                </c:pt>
                <c:pt idx="181">
                  <c:v>476</c:v>
                </c:pt>
                <c:pt idx="182">
                  <c:v>477</c:v>
                </c:pt>
                <c:pt idx="183">
                  <c:v>478</c:v>
                </c:pt>
                <c:pt idx="184">
                  <c:v>479</c:v>
                </c:pt>
                <c:pt idx="185">
                  <c:v>480</c:v>
                </c:pt>
                <c:pt idx="186">
                  <c:v>481</c:v>
                </c:pt>
                <c:pt idx="187">
                  <c:v>482</c:v>
                </c:pt>
                <c:pt idx="188">
                  <c:v>483</c:v>
                </c:pt>
                <c:pt idx="189">
                  <c:v>484</c:v>
                </c:pt>
                <c:pt idx="190">
                  <c:v>485</c:v>
                </c:pt>
                <c:pt idx="191">
                  <c:v>486</c:v>
                </c:pt>
                <c:pt idx="192">
                  <c:v>487</c:v>
                </c:pt>
                <c:pt idx="193">
                  <c:v>488</c:v>
                </c:pt>
                <c:pt idx="194">
                  <c:v>489</c:v>
                </c:pt>
                <c:pt idx="195">
                  <c:v>490</c:v>
                </c:pt>
                <c:pt idx="196">
                  <c:v>491</c:v>
                </c:pt>
                <c:pt idx="197">
                  <c:v>492</c:v>
                </c:pt>
                <c:pt idx="198">
                  <c:v>493</c:v>
                </c:pt>
                <c:pt idx="199">
                  <c:v>494</c:v>
                </c:pt>
                <c:pt idx="200">
                  <c:v>495</c:v>
                </c:pt>
                <c:pt idx="201">
                  <c:v>496</c:v>
                </c:pt>
                <c:pt idx="202">
                  <c:v>497</c:v>
                </c:pt>
                <c:pt idx="203">
                  <c:v>498</c:v>
                </c:pt>
                <c:pt idx="204">
                  <c:v>499</c:v>
                </c:pt>
                <c:pt idx="205">
                  <c:v>500</c:v>
                </c:pt>
                <c:pt idx="206">
                  <c:v>501</c:v>
                </c:pt>
                <c:pt idx="207">
                  <c:v>502</c:v>
                </c:pt>
                <c:pt idx="208">
                  <c:v>503</c:v>
                </c:pt>
                <c:pt idx="209">
                  <c:v>504</c:v>
                </c:pt>
                <c:pt idx="210">
                  <c:v>505</c:v>
                </c:pt>
                <c:pt idx="211">
                  <c:v>506</c:v>
                </c:pt>
                <c:pt idx="212">
                  <c:v>507</c:v>
                </c:pt>
                <c:pt idx="213">
                  <c:v>508</c:v>
                </c:pt>
                <c:pt idx="214">
                  <c:v>509</c:v>
                </c:pt>
                <c:pt idx="215">
                  <c:v>510</c:v>
                </c:pt>
                <c:pt idx="216">
                  <c:v>511</c:v>
                </c:pt>
                <c:pt idx="217">
                  <c:v>512</c:v>
                </c:pt>
                <c:pt idx="218">
                  <c:v>513</c:v>
                </c:pt>
                <c:pt idx="219">
                  <c:v>514</c:v>
                </c:pt>
                <c:pt idx="220">
                  <c:v>515</c:v>
                </c:pt>
                <c:pt idx="221">
                  <c:v>516</c:v>
                </c:pt>
                <c:pt idx="222">
                  <c:v>517</c:v>
                </c:pt>
                <c:pt idx="223">
                  <c:v>518</c:v>
                </c:pt>
                <c:pt idx="224">
                  <c:v>519</c:v>
                </c:pt>
                <c:pt idx="225">
                  <c:v>520</c:v>
                </c:pt>
                <c:pt idx="226">
                  <c:v>521</c:v>
                </c:pt>
                <c:pt idx="227">
                  <c:v>522</c:v>
                </c:pt>
                <c:pt idx="228">
                  <c:v>523</c:v>
                </c:pt>
                <c:pt idx="229">
                  <c:v>524</c:v>
                </c:pt>
                <c:pt idx="230">
                  <c:v>525</c:v>
                </c:pt>
                <c:pt idx="231">
                  <c:v>526</c:v>
                </c:pt>
                <c:pt idx="232">
                  <c:v>527</c:v>
                </c:pt>
                <c:pt idx="233">
                  <c:v>528</c:v>
                </c:pt>
                <c:pt idx="234">
                  <c:v>529</c:v>
                </c:pt>
                <c:pt idx="235">
                  <c:v>530</c:v>
                </c:pt>
                <c:pt idx="236">
                  <c:v>531</c:v>
                </c:pt>
                <c:pt idx="237">
                  <c:v>532</c:v>
                </c:pt>
                <c:pt idx="238">
                  <c:v>533</c:v>
                </c:pt>
                <c:pt idx="239">
                  <c:v>534</c:v>
                </c:pt>
                <c:pt idx="240">
                  <c:v>535</c:v>
                </c:pt>
                <c:pt idx="241">
                  <c:v>536</c:v>
                </c:pt>
                <c:pt idx="242">
                  <c:v>537</c:v>
                </c:pt>
                <c:pt idx="243">
                  <c:v>538</c:v>
                </c:pt>
                <c:pt idx="244">
                  <c:v>539</c:v>
                </c:pt>
                <c:pt idx="245">
                  <c:v>540</c:v>
                </c:pt>
                <c:pt idx="246">
                  <c:v>541</c:v>
                </c:pt>
                <c:pt idx="247">
                  <c:v>542</c:v>
                </c:pt>
                <c:pt idx="248">
                  <c:v>543</c:v>
                </c:pt>
                <c:pt idx="249">
                  <c:v>544</c:v>
                </c:pt>
                <c:pt idx="250">
                  <c:v>545</c:v>
                </c:pt>
                <c:pt idx="251">
                  <c:v>546</c:v>
                </c:pt>
                <c:pt idx="252">
                  <c:v>547</c:v>
                </c:pt>
                <c:pt idx="253">
                  <c:v>548</c:v>
                </c:pt>
                <c:pt idx="254">
                  <c:v>549</c:v>
                </c:pt>
                <c:pt idx="255">
                  <c:v>550</c:v>
                </c:pt>
                <c:pt idx="256">
                  <c:v>551</c:v>
                </c:pt>
                <c:pt idx="257">
                  <c:v>552</c:v>
                </c:pt>
                <c:pt idx="258">
                  <c:v>553</c:v>
                </c:pt>
                <c:pt idx="259">
                  <c:v>554</c:v>
                </c:pt>
                <c:pt idx="260">
                  <c:v>555</c:v>
                </c:pt>
                <c:pt idx="261">
                  <c:v>556</c:v>
                </c:pt>
                <c:pt idx="262">
                  <c:v>557</c:v>
                </c:pt>
                <c:pt idx="263">
                  <c:v>558</c:v>
                </c:pt>
                <c:pt idx="264">
                  <c:v>559</c:v>
                </c:pt>
                <c:pt idx="265">
                  <c:v>560</c:v>
                </c:pt>
                <c:pt idx="266">
                  <c:v>561</c:v>
                </c:pt>
                <c:pt idx="267">
                  <c:v>562</c:v>
                </c:pt>
                <c:pt idx="268">
                  <c:v>563</c:v>
                </c:pt>
                <c:pt idx="269">
                  <c:v>564</c:v>
                </c:pt>
                <c:pt idx="270">
                  <c:v>565</c:v>
                </c:pt>
                <c:pt idx="271">
                  <c:v>566</c:v>
                </c:pt>
                <c:pt idx="272">
                  <c:v>567</c:v>
                </c:pt>
                <c:pt idx="273">
                  <c:v>568</c:v>
                </c:pt>
                <c:pt idx="274">
                  <c:v>569</c:v>
                </c:pt>
                <c:pt idx="275">
                  <c:v>570</c:v>
                </c:pt>
                <c:pt idx="276">
                  <c:v>571</c:v>
                </c:pt>
                <c:pt idx="277">
                  <c:v>572</c:v>
                </c:pt>
                <c:pt idx="278">
                  <c:v>573</c:v>
                </c:pt>
                <c:pt idx="279">
                  <c:v>574</c:v>
                </c:pt>
                <c:pt idx="280">
                  <c:v>575</c:v>
                </c:pt>
                <c:pt idx="281">
                  <c:v>576</c:v>
                </c:pt>
                <c:pt idx="282">
                  <c:v>577</c:v>
                </c:pt>
                <c:pt idx="283">
                  <c:v>578</c:v>
                </c:pt>
                <c:pt idx="284">
                  <c:v>579</c:v>
                </c:pt>
                <c:pt idx="285">
                  <c:v>580</c:v>
                </c:pt>
                <c:pt idx="286">
                  <c:v>581</c:v>
                </c:pt>
                <c:pt idx="287">
                  <c:v>582</c:v>
                </c:pt>
                <c:pt idx="288">
                  <c:v>583</c:v>
                </c:pt>
                <c:pt idx="289">
                  <c:v>584</c:v>
                </c:pt>
                <c:pt idx="290">
                  <c:v>585</c:v>
                </c:pt>
                <c:pt idx="291">
                  <c:v>586</c:v>
                </c:pt>
                <c:pt idx="292">
                  <c:v>587</c:v>
                </c:pt>
                <c:pt idx="293">
                  <c:v>588</c:v>
                </c:pt>
                <c:pt idx="294">
                  <c:v>589</c:v>
                </c:pt>
                <c:pt idx="295">
                  <c:v>590</c:v>
                </c:pt>
                <c:pt idx="296">
                  <c:v>591</c:v>
                </c:pt>
                <c:pt idx="297">
                  <c:v>592</c:v>
                </c:pt>
                <c:pt idx="298">
                  <c:v>593</c:v>
                </c:pt>
                <c:pt idx="299">
                  <c:v>594</c:v>
                </c:pt>
                <c:pt idx="300">
                  <c:v>595</c:v>
                </c:pt>
                <c:pt idx="301">
                  <c:v>596</c:v>
                </c:pt>
                <c:pt idx="302">
                  <c:v>597</c:v>
                </c:pt>
                <c:pt idx="303">
                  <c:v>598</c:v>
                </c:pt>
                <c:pt idx="304">
                  <c:v>599</c:v>
                </c:pt>
                <c:pt idx="305">
                  <c:v>600</c:v>
                </c:pt>
                <c:pt idx="306">
                  <c:v>601</c:v>
                </c:pt>
                <c:pt idx="307">
                  <c:v>602</c:v>
                </c:pt>
                <c:pt idx="308">
                  <c:v>603</c:v>
                </c:pt>
                <c:pt idx="309">
                  <c:v>604</c:v>
                </c:pt>
                <c:pt idx="310">
                  <c:v>605</c:v>
                </c:pt>
                <c:pt idx="311">
                  <c:v>606</c:v>
                </c:pt>
                <c:pt idx="312">
                  <c:v>607</c:v>
                </c:pt>
                <c:pt idx="313">
                  <c:v>608</c:v>
                </c:pt>
                <c:pt idx="314">
                  <c:v>609</c:v>
                </c:pt>
                <c:pt idx="315">
                  <c:v>610</c:v>
                </c:pt>
                <c:pt idx="316">
                  <c:v>611</c:v>
                </c:pt>
                <c:pt idx="317">
                  <c:v>612</c:v>
                </c:pt>
                <c:pt idx="318">
                  <c:v>613</c:v>
                </c:pt>
                <c:pt idx="319">
                  <c:v>614</c:v>
                </c:pt>
                <c:pt idx="320">
                  <c:v>615</c:v>
                </c:pt>
                <c:pt idx="321">
                  <c:v>616</c:v>
                </c:pt>
                <c:pt idx="322">
                  <c:v>617</c:v>
                </c:pt>
                <c:pt idx="323">
                  <c:v>618</c:v>
                </c:pt>
                <c:pt idx="324">
                  <c:v>619</c:v>
                </c:pt>
                <c:pt idx="325">
                  <c:v>620</c:v>
                </c:pt>
                <c:pt idx="326">
                  <c:v>621</c:v>
                </c:pt>
                <c:pt idx="327">
                  <c:v>622</c:v>
                </c:pt>
                <c:pt idx="328">
                  <c:v>623</c:v>
                </c:pt>
                <c:pt idx="329">
                  <c:v>624</c:v>
                </c:pt>
                <c:pt idx="330">
                  <c:v>625</c:v>
                </c:pt>
                <c:pt idx="331">
                  <c:v>626</c:v>
                </c:pt>
                <c:pt idx="332">
                  <c:v>627</c:v>
                </c:pt>
                <c:pt idx="333">
                  <c:v>628</c:v>
                </c:pt>
                <c:pt idx="334">
                  <c:v>629</c:v>
                </c:pt>
                <c:pt idx="335">
                  <c:v>630</c:v>
                </c:pt>
                <c:pt idx="336">
                  <c:v>631</c:v>
                </c:pt>
                <c:pt idx="337">
                  <c:v>632</c:v>
                </c:pt>
                <c:pt idx="338">
                  <c:v>633</c:v>
                </c:pt>
                <c:pt idx="339">
                  <c:v>634</c:v>
                </c:pt>
                <c:pt idx="340">
                  <c:v>635</c:v>
                </c:pt>
                <c:pt idx="341">
                  <c:v>636</c:v>
                </c:pt>
                <c:pt idx="342">
                  <c:v>637</c:v>
                </c:pt>
                <c:pt idx="343">
                  <c:v>638</c:v>
                </c:pt>
                <c:pt idx="344">
                  <c:v>639</c:v>
                </c:pt>
                <c:pt idx="345">
                  <c:v>640</c:v>
                </c:pt>
                <c:pt idx="346">
                  <c:v>641</c:v>
                </c:pt>
                <c:pt idx="347">
                  <c:v>642</c:v>
                </c:pt>
                <c:pt idx="348">
                  <c:v>643</c:v>
                </c:pt>
                <c:pt idx="349">
                  <c:v>644</c:v>
                </c:pt>
                <c:pt idx="350">
                  <c:v>645</c:v>
                </c:pt>
                <c:pt idx="351">
                  <c:v>646</c:v>
                </c:pt>
                <c:pt idx="352">
                  <c:v>647</c:v>
                </c:pt>
                <c:pt idx="353">
                  <c:v>648</c:v>
                </c:pt>
                <c:pt idx="354">
                  <c:v>649</c:v>
                </c:pt>
                <c:pt idx="355">
                  <c:v>650</c:v>
                </c:pt>
                <c:pt idx="356">
                  <c:v>651</c:v>
                </c:pt>
                <c:pt idx="357">
                  <c:v>652</c:v>
                </c:pt>
                <c:pt idx="358">
                  <c:v>653</c:v>
                </c:pt>
                <c:pt idx="359">
                  <c:v>654</c:v>
                </c:pt>
                <c:pt idx="360">
                  <c:v>655</c:v>
                </c:pt>
                <c:pt idx="361">
                  <c:v>656</c:v>
                </c:pt>
                <c:pt idx="362">
                  <c:v>657</c:v>
                </c:pt>
                <c:pt idx="363">
                  <c:v>658</c:v>
                </c:pt>
                <c:pt idx="364">
                  <c:v>659</c:v>
                </c:pt>
                <c:pt idx="365">
                  <c:v>660</c:v>
                </c:pt>
                <c:pt idx="366">
                  <c:v>661</c:v>
                </c:pt>
                <c:pt idx="367">
                  <c:v>662</c:v>
                </c:pt>
                <c:pt idx="368">
                  <c:v>663</c:v>
                </c:pt>
                <c:pt idx="369">
                  <c:v>664</c:v>
                </c:pt>
                <c:pt idx="370">
                  <c:v>665</c:v>
                </c:pt>
                <c:pt idx="371">
                  <c:v>666</c:v>
                </c:pt>
                <c:pt idx="372">
                  <c:v>667</c:v>
                </c:pt>
                <c:pt idx="373">
                  <c:v>668</c:v>
                </c:pt>
                <c:pt idx="374">
                  <c:v>669</c:v>
                </c:pt>
                <c:pt idx="375">
                  <c:v>670</c:v>
                </c:pt>
                <c:pt idx="376">
                  <c:v>671</c:v>
                </c:pt>
                <c:pt idx="377">
                  <c:v>672</c:v>
                </c:pt>
                <c:pt idx="378">
                  <c:v>673</c:v>
                </c:pt>
                <c:pt idx="379">
                  <c:v>674</c:v>
                </c:pt>
                <c:pt idx="380">
                  <c:v>675</c:v>
                </c:pt>
                <c:pt idx="381">
                  <c:v>676</c:v>
                </c:pt>
                <c:pt idx="382">
                  <c:v>677</c:v>
                </c:pt>
                <c:pt idx="383">
                  <c:v>678</c:v>
                </c:pt>
                <c:pt idx="384">
                  <c:v>679</c:v>
                </c:pt>
                <c:pt idx="385">
                  <c:v>680</c:v>
                </c:pt>
                <c:pt idx="386">
                  <c:v>681</c:v>
                </c:pt>
                <c:pt idx="387">
                  <c:v>682</c:v>
                </c:pt>
                <c:pt idx="388">
                  <c:v>683</c:v>
                </c:pt>
                <c:pt idx="389">
                  <c:v>684</c:v>
                </c:pt>
                <c:pt idx="390">
                  <c:v>685</c:v>
                </c:pt>
                <c:pt idx="391">
                  <c:v>686</c:v>
                </c:pt>
                <c:pt idx="392">
                  <c:v>687</c:v>
                </c:pt>
                <c:pt idx="393">
                  <c:v>688</c:v>
                </c:pt>
                <c:pt idx="394">
                  <c:v>689</c:v>
                </c:pt>
                <c:pt idx="395">
                  <c:v>690</c:v>
                </c:pt>
                <c:pt idx="396">
                  <c:v>691</c:v>
                </c:pt>
                <c:pt idx="397">
                  <c:v>692</c:v>
                </c:pt>
                <c:pt idx="398">
                  <c:v>693</c:v>
                </c:pt>
                <c:pt idx="399">
                  <c:v>694</c:v>
                </c:pt>
                <c:pt idx="400">
                  <c:v>695</c:v>
                </c:pt>
                <c:pt idx="401">
                  <c:v>696</c:v>
                </c:pt>
                <c:pt idx="402">
                  <c:v>697</c:v>
                </c:pt>
                <c:pt idx="403">
                  <c:v>698</c:v>
                </c:pt>
                <c:pt idx="404">
                  <c:v>699</c:v>
                </c:pt>
                <c:pt idx="405">
                  <c:v>700</c:v>
                </c:pt>
                <c:pt idx="406">
                  <c:v>701</c:v>
                </c:pt>
                <c:pt idx="407">
                  <c:v>702</c:v>
                </c:pt>
                <c:pt idx="408">
                  <c:v>703</c:v>
                </c:pt>
                <c:pt idx="409">
                  <c:v>704</c:v>
                </c:pt>
                <c:pt idx="410">
                  <c:v>705</c:v>
                </c:pt>
                <c:pt idx="411">
                  <c:v>706</c:v>
                </c:pt>
                <c:pt idx="412">
                  <c:v>707</c:v>
                </c:pt>
                <c:pt idx="413">
                  <c:v>708</c:v>
                </c:pt>
                <c:pt idx="414">
                  <c:v>709</c:v>
                </c:pt>
                <c:pt idx="415">
                  <c:v>710</c:v>
                </c:pt>
                <c:pt idx="416">
                  <c:v>711</c:v>
                </c:pt>
                <c:pt idx="417">
                  <c:v>712</c:v>
                </c:pt>
                <c:pt idx="418">
                  <c:v>713</c:v>
                </c:pt>
                <c:pt idx="419">
                  <c:v>714</c:v>
                </c:pt>
                <c:pt idx="420">
                  <c:v>715</c:v>
                </c:pt>
                <c:pt idx="421">
                  <c:v>716</c:v>
                </c:pt>
                <c:pt idx="422">
                  <c:v>717</c:v>
                </c:pt>
                <c:pt idx="423">
                  <c:v>718</c:v>
                </c:pt>
                <c:pt idx="424">
                  <c:v>719</c:v>
                </c:pt>
                <c:pt idx="425">
                  <c:v>720</c:v>
                </c:pt>
                <c:pt idx="426">
                  <c:v>721</c:v>
                </c:pt>
                <c:pt idx="427">
                  <c:v>722</c:v>
                </c:pt>
                <c:pt idx="428">
                  <c:v>723</c:v>
                </c:pt>
                <c:pt idx="429">
                  <c:v>724</c:v>
                </c:pt>
                <c:pt idx="430">
                  <c:v>725</c:v>
                </c:pt>
                <c:pt idx="431">
                  <c:v>726</c:v>
                </c:pt>
                <c:pt idx="432">
                  <c:v>727</c:v>
                </c:pt>
                <c:pt idx="433">
                  <c:v>728</c:v>
                </c:pt>
                <c:pt idx="434">
                  <c:v>729</c:v>
                </c:pt>
                <c:pt idx="435">
                  <c:v>730</c:v>
                </c:pt>
                <c:pt idx="436">
                  <c:v>731</c:v>
                </c:pt>
                <c:pt idx="437">
                  <c:v>732</c:v>
                </c:pt>
                <c:pt idx="438">
                  <c:v>733</c:v>
                </c:pt>
                <c:pt idx="439">
                  <c:v>734</c:v>
                </c:pt>
                <c:pt idx="440">
                  <c:v>735</c:v>
                </c:pt>
                <c:pt idx="441">
                  <c:v>736</c:v>
                </c:pt>
                <c:pt idx="442">
                  <c:v>737</c:v>
                </c:pt>
                <c:pt idx="443">
                  <c:v>738</c:v>
                </c:pt>
                <c:pt idx="444">
                  <c:v>739</c:v>
                </c:pt>
                <c:pt idx="445">
                  <c:v>740</c:v>
                </c:pt>
                <c:pt idx="446">
                  <c:v>741</c:v>
                </c:pt>
                <c:pt idx="447">
                  <c:v>742</c:v>
                </c:pt>
                <c:pt idx="448">
                  <c:v>743</c:v>
                </c:pt>
                <c:pt idx="449">
                  <c:v>744</c:v>
                </c:pt>
                <c:pt idx="450">
                  <c:v>745</c:v>
                </c:pt>
                <c:pt idx="451">
                  <c:v>746</c:v>
                </c:pt>
                <c:pt idx="452">
                  <c:v>747</c:v>
                </c:pt>
                <c:pt idx="453">
                  <c:v>748</c:v>
                </c:pt>
                <c:pt idx="454">
                  <c:v>749</c:v>
                </c:pt>
                <c:pt idx="455">
                  <c:v>750</c:v>
                </c:pt>
                <c:pt idx="456">
                  <c:v>751</c:v>
                </c:pt>
                <c:pt idx="457">
                  <c:v>752</c:v>
                </c:pt>
                <c:pt idx="458">
                  <c:v>753</c:v>
                </c:pt>
                <c:pt idx="459">
                  <c:v>754</c:v>
                </c:pt>
                <c:pt idx="460">
                  <c:v>755</c:v>
                </c:pt>
                <c:pt idx="461">
                  <c:v>756</c:v>
                </c:pt>
                <c:pt idx="462">
                  <c:v>757</c:v>
                </c:pt>
                <c:pt idx="463">
                  <c:v>758</c:v>
                </c:pt>
                <c:pt idx="464">
                  <c:v>759</c:v>
                </c:pt>
                <c:pt idx="465">
                  <c:v>760</c:v>
                </c:pt>
                <c:pt idx="466">
                  <c:v>761</c:v>
                </c:pt>
                <c:pt idx="467">
                  <c:v>762</c:v>
                </c:pt>
                <c:pt idx="468">
                  <c:v>763</c:v>
                </c:pt>
                <c:pt idx="469">
                  <c:v>764</c:v>
                </c:pt>
                <c:pt idx="470">
                  <c:v>765</c:v>
                </c:pt>
                <c:pt idx="471">
                  <c:v>766</c:v>
                </c:pt>
                <c:pt idx="472">
                  <c:v>767</c:v>
                </c:pt>
                <c:pt idx="473">
                  <c:v>768</c:v>
                </c:pt>
                <c:pt idx="474">
                  <c:v>769</c:v>
                </c:pt>
                <c:pt idx="475">
                  <c:v>770</c:v>
                </c:pt>
                <c:pt idx="476">
                  <c:v>771</c:v>
                </c:pt>
                <c:pt idx="477">
                  <c:v>772</c:v>
                </c:pt>
                <c:pt idx="478">
                  <c:v>773</c:v>
                </c:pt>
                <c:pt idx="479">
                  <c:v>774</c:v>
                </c:pt>
                <c:pt idx="480">
                  <c:v>775</c:v>
                </c:pt>
                <c:pt idx="481">
                  <c:v>776</c:v>
                </c:pt>
                <c:pt idx="482">
                  <c:v>777</c:v>
                </c:pt>
                <c:pt idx="483">
                  <c:v>778</c:v>
                </c:pt>
                <c:pt idx="484">
                  <c:v>779</c:v>
                </c:pt>
                <c:pt idx="485">
                  <c:v>780</c:v>
                </c:pt>
                <c:pt idx="486">
                  <c:v>781</c:v>
                </c:pt>
                <c:pt idx="487">
                  <c:v>782</c:v>
                </c:pt>
                <c:pt idx="488">
                  <c:v>783</c:v>
                </c:pt>
                <c:pt idx="489">
                  <c:v>784</c:v>
                </c:pt>
                <c:pt idx="490">
                  <c:v>785</c:v>
                </c:pt>
                <c:pt idx="491">
                  <c:v>786</c:v>
                </c:pt>
                <c:pt idx="492">
                  <c:v>787</c:v>
                </c:pt>
                <c:pt idx="493">
                  <c:v>788</c:v>
                </c:pt>
                <c:pt idx="494">
                  <c:v>789</c:v>
                </c:pt>
                <c:pt idx="495">
                  <c:v>790</c:v>
                </c:pt>
                <c:pt idx="496">
                  <c:v>791</c:v>
                </c:pt>
                <c:pt idx="497">
                  <c:v>792</c:v>
                </c:pt>
                <c:pt idx="498">
                  <c:v>793</c:v>
                </c:pt>
                <c:pt idx="499">
                  <c:v>794</c:v>
                </c:pt>
                <c:pt idx="500">
                  <c:v>795</c:v>
                </c:pt>
                <c:pt idx="501">
                  <c:v>796</c:v>
                </c:pt>
                <c:pt idx="502">
                  <c:v>797</c:v>
                </c:pt>
                <c:pt idx="503">
                  <c:v>798</c:v>
                </c:pt>
                <c:pt idx="504">
                  <c:v>799</c:v>
                </c:pt>
                <c:pt idx="505">
                  <c:v>800</c:v>
                </c:pt>
                <c:pt idx="506">
                  <c:v>801</c:v>
                </c:pt>
                <c:pt idx="507">
                  <c:v>802</c:v>
                </c:pt>
                <c:pt idx="508">
                  <c:v>803</c:v>
                </c:pt>
                <c:pt idx="509">
                  <c:v>804</c:v>
                </c:pt>
                <c:pt idx="510">
                  <c:v>805</c:v>
                </c:pt>
                <c:pt idx="511">
                  <c:v>806</c:v>
                </c:pt>
                <c:pt idx="512">
                  <c:v>807</c:v>
                </c:pt>
                <c:pt idx="513">
                  <c:v>808</c:v>
                </c:pt>
                <c:pt idx="514">
                  <c:v>809</c:v>
                </c:pt>
                <c:pt idx="515">
                  <c:v>810</c:v>
                </c:pt>
                <c:pt idx="516">
                  <c:v>811</c:v>
                </c:pt>
                <c:pt idx="517">
                  <c:v>812</c:v>
                </c:pt>
                <c:pt idx="518">
                  <c:v>813</c:v>
                </c:pt>
                <c:pt idx="519">
                  <c:v>814</c:v>
                </c:pt>
                <c:pt idx="520">
                  <c:v>815</c:v>
                </c:pt>
                <c:pt idx="521">
                  <c:v>816</c:v>
                </c:pt>
                <c:pt idx="522">
                  <c:v>817</c:v>
                </c:pt>
                <c:pt idx="523">
                  <c:v>818</c:v>
                </c:pt>
                <c:pt idx="524">
                  <c:v>819</c:v>
                </c:pt>
                <c:pt idx="525">
                  <c:v>820</c:v>
                </c:pt>
                <c:pt idx="526">
                  <c:v>821</c:v>
                </c:pt>
                <c:pt idx="527">
                  <c:v>822</c:v>
                </c:pt>
                <c:pt idx="528">
                  <c:v>823</c:v>
                </c:pt>
                <c:pt idx="529">
                  <c:v>824</c:v>
                </c:pt>
                <c:pt idx="530">
                  <c:v>825</c:v>
                </c:pt>
                <c:pt idx="531">
                  <c:v>826</c:v>
                </c:pt>
                <c:pt idx="532">
                  <c:v>827</c:v>
                </c:pt>
                <c:pt idx="533">
                  <c:v>828</c:v>
                </c:pt>
                <c:pt idx="534">
                  <c:v>829</c:v>
                </c:pt>
                <c:pt idx="535">
                  <c:v>830</c:v>
                </c:pt>
                <c:pt idx="536">
                  <c:v>831</c:v>
                </c:pt>
                <c:pt idx="537">
                  <c:v>832</c:v>
                </c:pt>
                <c:pt idx="538">
                  <c:v>833</c:v>
                </c:pt>
                <c:pt idx="539">
                  <c:v>834</c:v>
                </c:pt>
                <c:pt idx="540">
                  <c:v>835</c:v>
                </c:pt>
                <c:pt idx="541">
                  <c:v>836</c:v>
                </c:pt>
                <c:pt idx="542">
                  <c:v>837</c:v>
                </c:pt>
                <c:pt idx="543">
                  <c:v>838</c:v>
                </c:pt>
                <c:pt idx="544">
                  <c:v>839</c:v>
                </c:pt>
                <c:pt idx="545">
                  <c:v>840</c:v>
                </c:pt>
                <c:pt idx="546">
                  <c:v>841</c:v>
                </c:pt>
                <c:pt idx="547">
                  <c:v>842</c:v>
                </c:pt>
                <c:pt idx="548">
                  <c:v>843</c:v>
                </c:pt>
                <c:pt idx="549">
                  <c:v>844</c:v>
                </c:pt>
                <c:pt idx="550">
                  <c:v>845</c:v>
                </c:pt>
                <c:pt idx="551">
                  <c:v>846</c:v>
                </c:pt>
                <c:pt idx="552">
                  <c:v>847</c:v>
                </c:pt>
                <c:pt idx="553">
                  <c:v>848</c:v>
                </c:pt>
                <c:pt idx="554">
                  <c:v>849</c:v>
                </c:pt>
                <c:pt idx="555">
                  <c:v>850</c:v>
                </c:pt>
                <c:pt idx="556">
                  <c:v>851</c:v>
                </c:pt>
                <c:pt idx="557">
                  <c:v>852</c:v>
                </c:pt>
                <c:pt idx="558">
                  <c:v>853</c:v>
                </c:pt>
                <c:pt idx="559">
                  <c:v>854</c:v>
                </c:pt>
                <c:pt idx="560">
                  <c:v>855</c:v>
                </c:pt>
                <c:pt idx="561">
                  <c:v>856</c:v>
                </c:pt>
                <c:pt idx="562">
                  <c:v>857</c:v>
                </c:pt>
                <c:pt idx="563">
                  <c:v>858</c:v>
                </c:pt>
                <c:pt idx="564">
                  <c:v>859</c:v>
                </c:pt>
                <c:pt idx="565">
                  <c:v>860</c:v>
                </c:pt>
                <c:pt idx="566">
                  <c:v>861</c:v>
                </c:pt>
                <c:pt idx="567">
                  <c:v>862</c:v>
                </c:pt>
                <c:pt idx="568">
                  <c:v>863</c:v>
                </c:pt>
                <c:pt idx="569">
                  <c:v>864</c:v>
                </c:pt>
                <c:pt idx="570">
                  <c:v>865</c:v>
                </c:pt>
                <c:pt idx="571">
                  <c:v>866</c:v>
                </c:pt>
                <c:pt idx="572">
                  <c:v>867</c:v>
                </c:pt>
                <c:pt idx="573">
                  <c:v>868</c:v>
                </c:pt>
                <c:pt idx="574">
                  <c:v>869</c:v>
                </c:pt>
                <c:pt idx="575">
                  <c:v>870</c:v>
                </c:pt>
                <c:pt idx="576">
                  <c:v>871</c:v>
                </c:pt>
                <c:pt idx="577">
                  <c:v>872</c:v>
                </c:pt>
                <c:pt idx="578">
                  <c:v>873</c:v>
                </c:pt>
                <c:pt idx="579">
                  <c:v>874</c:v>
                </c:pt>
                <c:pt idx="580">
                  <c:v>875</c:v>
                </c:pt>
                <c:pt idx="581">
                  <c:v>876</c:v>
                </c:pt>
                <c:pt idx="582">
                  <c:v>877</c:v>
                </c:pt>
                <c:pt idx="583">
                  <c:v>878</c:v>
                </c:pt>
                <c:pt idx="584">
                  <c:v>879</c:v>
                </c:pt>
                <c:pt idx="585">
                  <c:v>880</c:v>
                </c:pt>
                <c:pt idx="586">
                  <c:v>881</c:v>
                </c:pt>
                <c:pt idx="587">
                  <c:v>882</c:v>
                </c:pt>
                <c:pt idx="588">
                  <c:v>883</c:v>
                </c:pt>
                <c:pt idx="589">
                  <c:v>884</c:v>
                </c:pt>
                <c:pt idx="590">
                  <c:v>885</c:v>
                </c:pt>
                <c:pt idx="591">
                  <c:v>886</c:v>
                </c:pt>
                <c:pt idx="592">
                  <c:v>887</c:v>
                </c:pt>
                <c:pt idx="593">
                  <c:v>888</c:v>
                </c:pt>
                <c:pt idx="594">
                  <c:v>889</c:v>
                </c:pt>
                <c:pt idx="595">
                  <c:v>890</c:v>
                </c:pt>
                <c:pt idx="596">
                  <c:v>891</c:v>
                </c:pt>
                <c:pt idx="597">
                  <c:v>892</c:v>
                </c:pt>
                <c:pt idx="598">
                  <c:v>893</c:v>
                </c:pt>
                <c:pt idx="599">
                  <c:v>894</c:v>
                </c:pt>
                <c:pt idx="600">
                  <c:v>895</c:v>
                </c:pt>
                <c:pt idx="601">
                  <c:v>896</c:v>
                </c:pt>
                <c:pt idx="602">
                  <c:v>897</c:v>
                </c:pt>
                <c:pt idx="603">
                  <c:v>898</c:v>
                </c:pt>
                <c:pt idx="604">
                  <c:v>899</c:v>
                </c:pt>
                <c:pt idx="605">
                  <c:v>900</c:v>
                </c:pt>
                <c:pt idx="606">
                  <c:v>901</c:v>
                </c:pt>
                <c:pt idx="607">
                  <c:v>902</c:v>
                </c:pt>
                <c:pt idx="608">
                  <c:v>903</c:v>
                </c:pt>
                <c:pt idx="609">
                  <c:v>904</c:v>
                </c:pt>
                <c:pt idx="610">
                  <c:v>905</c:v>
                </c:pt>
                <c:pt idx="611">
                  <c:v>906</c:v>
                </c:pt>
                <c:pt idx="612">
                  <c:v>907</c:v>
                </c:pt>
                <c:pt idx="613">
                  <c:v>908</c:v>
                </c:pt>
                <c:pt idx="614">
                  <c:v>909</c:v>
                </c:pt>
                <c:pt idx="615">
                  <c:v>910</c:v>
                </c:pt>
                <c:pt idx="616">
                  <c:v>911</c:v>
                </c:pt>
                <c:pt idx="617">
                  <c:v>912</c:v>
                </c:pt>
                <c:pt idx="618">
                  <c:v>913</c:v>
                </c:pt>
                <c:pt idx="619">
                  <c:v>914</c:v>
                </c:pt>
                <c:pt idx="620">
                  <c:v>915</c:v>
                </c:pt>
                <c:pt idx="621">
                  <c:v>916</c:v>
                </c:pt>
                <c:pt idx="622">
                  <c:v>917</c:v>
                </c:pt>
                <c:pt idx="623">
                  <c:v>918</c:v>
                </c:pt>
                <c:pt idx="624">
                  <c:v>919</c:v>
                </c:pt>
                <c:pt idx="625">
                  <c:v>920</c:v>
                </c:pt>
                <c:pt idx="626">
                  <c:v>921</c:v>
                </c:pt>
                <c:pt idx="627">
                  <c:v>922</c:v>
                </c:pt>
                <c:pt idx="628">
                  <c:v>923</c:v>
                </c:pt>
                <c:pt idx="629">
                  <c:v>924</c:v>
                </c:pt>
                <c:pt idx="630">
                  <c:v>925</c:v>
                </c:pt>
                <c:pt idx="631">
                  <c:v>926</c:v>
                </c:pt>
                <c:pt idx="632">
                  <c:v>927</c:v>
                </c:pt>
                <c:pt idx="633">
                  <c:v>928</c:v>
                </c:pt>
                <c:pt idx="634">
                  <c:v>929</c:v>
                </c:pt>
                <c:pt idx="635">
                  <c:v>930</c:v>
                </c:pt>
                <c:pt idx="636">
                  <c:v>931</c:v>
                </c:pt>
                <c:pt idx="637">
                  <c:v>932</c:v>
                </c:pt>
                <c:pt idx="638">
                  <c:v>933</c:v>
                </c:pt>
                <c:pt idx="639">
                  <c:v>934</c:v>
                </c:pt>
                <c:pt idx="640">
                  <c:v>935</c:v>
                </c:pt>
                <c:pt idx="641">
                  <c:v>936</c:v>
                </c:pt>
                <c:pt idx="642">
                  <c:v>937</c:v>
                </c:pt>
                <c:pt idx="643">
                  <c:v>938</c:v>
                </c:pt>
                <c:pt idx="644">
                  <c:v>939</c:v>
                </c:pt>
                <c:pt idx="645">
                  <c:v>940</c:v>
                </c:pt>
                <c:pt idx="646">
                  <c:v>941</c:v>
                </c:pt>
                <c:pt idx="647">
                  <c:v>942</c:v>
                </c:pt>
                <c:pt idx="648">
                  <c:v>943</c:v>
                </c:pt>
                <c:pt idx="649">
                  <c:v>944</c:v>
                </c:pt>
                <c:pt idx="650">
                  <c:v>945</c:v>
                </c:pt>
                <c:pt idx="651">
                  <c:v>946</c:v>
                </c:pt>
                <c:pt idx="652">
                  <c:v>947</c:v>
                </c:pt>
                <c:pt idx="653">
                  <c:v>948</c:v>
                </c:pt>
                <c:pt idx="654">
                  <c:v>949</c:v>
                </c:pt>
                <c:pt idx="655">
                  <c:v>950</c:v>
                </c:pt>
                <c:pt idx="656">
                  <c:v>951</c:v>
                </c:pt>
                <c:pt idx="657">
                  <c:v>952</c:v>
                </c:pt>
                <c:pt idx="658">
                  <c:v>953</c:v>
                </c:pt>
                <c:pt idx="659">
                  <c:v>954</c:v>
                </c:pt>
                <c:pt idx="660">
                  <c:v>955</c:v>
                </c:pt>
                <c:pt idx="661">
                  <c:v>956</c:v>
                </c:pt>
                <c:pt idx="662">
                  <c:v>957</c:v>
                </c:pt>
                <c:pt idx="663">
                  <c:v>958</c:v>
                </c:pt>
                <c:pt idx="664">
                  <c:v>959</c:v>
                </c:pt>
                <c:pt idx="665">
                  <c:v>960</c:v>
                </c:pt>
                <c:pt idx="666">
                  <c:v>961</c:v>
                </c:pt>
                <c:pt idx="667">
                  <c:v>962</c:v>
                </c:pt>
                <c:pt idx="668">
                  <c:v>963</c:v>
                </c:pt>
                <c:pt idx="669">
                  <c:v>964</c:v>
                </c:pt>
                <c:pt idx="670">
                  <c:v>965</c:v>
                </c:pt>
                <c:pt idx="671">
                  <c:v>966</c:v>
                </c:pt>
                <c:pt idx="672">
                  <c:v>967</c:v>
                </c:pt>
                <c:pt idx="673">
                  <c:v>968</c:v>
                </c:pt>
                <c:pt idx="674">
                  <c:v>969</c:v>
                </c:pt>
                <c:pt idx="675">
                  <c:v>970</c:v>
                </c:pt>
                <c:pt idx="676">
                  <c:v>971</c:v>
                </c:pt>
                <c:pt idx="677">
                  <c:v>972</c:v>
                </c:pt>
                <c:pt idx="678">
                  <c:v>973</c:v>
                </c:pt>
                <c:pt idx="679">
                  <c:v>974</c:v>
                </c:pt>
                <c:pt idx="680">
                  <c:v>975</c:v>
                </c:pt>
                <c:pt idx="681">
                  <c:v>976</c:v>
                </c:pt>
                <c:pt idx="682">
                  <c:v>977</c:v>
                </c:pt>
                <c:pt idx="683">
                  <c:v>978</c:v>
                </c:pt>
                <c:pt idx="684">
                  <c:v>979</c:v>
                </c:pt>
                <c:pt idx="685">
                  <c:v>980</c:v>
                </c:pt>
                <c:pt idx="686">
                  <c:v>981</c:v>
                </c:pt>
                <c:pt idx="687">
                  <c:v>982</c:v>
                </c:pt>
                <c:pt idx="688">
                  <c:v>983</c:v>
                </c:pt>
                <c:pt idx="689">
                  <c:v>984</c:v>
                </c:pt>
                <c:pt idx="690">
                  <c:v>985</c:v>
                </c:pt>
                <c:pt idx="691">
                  <c:v>986</c:v>
                </c:pt>
                <c:pt idx="692">
                  <c:v>987</c:v>
                </c:pt>
                <c:pt idx="693">
                  <c:v>988</c:v>
                </c:pt>
                <c:pt idx="694">
                  <c:v>989</c:v>
                </c:pt>
                <c:pt idx="695">
                  <c:v>990</c:v>
                </c:pt>
                <c:pt idx="696">
                  <c:v>991</c:v>
                </c:pt>
                <c:pt idx="697">
                  <c:v>992</c:v>
                </c:pt>
                <c:pt idx="698">
                  <c:v>993</c:v>
                </c:pt>
                <c:pt idx="699">
                  <c:v>994</c:v>
                </c:pt>
                <c:pt idx="700">
                  <c:v>995</c:v>
                </c:pt>
                <c:pt idx="701">
                  <c:v>996</c:v>
                </c:pt>
                <c:pt idx="702">
                  <c:v>997</c:v>
                </c:pt>
                <c:pt idx="703">
                  <c:v>998</c:v>
                </c:pt>
                <c:pt idx="704">
                  <c:v>999</c:v>
                </c:pt>
                <c:pt idx="705">
                  <c:v>1000</c:v>
                </c:pt>
                <c:pt idx="706">
                  <c:v>1001</c:v>
                </c:pt>
                <c:pt idx="707">
                  <c:v>1002</c:v>
                </c:pt>
                <c:pt idx="708">
                  <c:v>1003</c:v>
                </c:pt>
                <c:pt idx="709">
                  <c:v>1004</c:v>
                </c:pt>
                <c:pt idx="710">
                  <c:v>1005</c:v>
                </c:pt>
                <c:pt idx="711">
                  <c:v>1006</c:v>
                </c:pt>
                <c:pt idx="712">
                  <c:v>1007</c:v>
                </c:pt>
                <c:pt idx="713">
                  <c:v>1008</c:v>
                </c:pt>
                <c:pt idx="714">
                  <c:v>1009</c:v>
                </c:pt>
                <c:pt idx="715">
                  <c:v>1010</c:v>
                </c:pt>
                <c:pt idx="716">
                  <c:v>1011</c:v>
                </c:pt>
                <c:pt idx="717">
                  <c:v>1012</c:v>
                </c:pt>
                <c:pt idx="718">
                  <c:v>1013</c:v>
                </c:pt>
                <c:pt idx="719">
                  <c:v>1014</c:v>
                </c:pt>
                <c:pt idx="720">
                  <c:v>1015</c:v>
                </c:pt>
                <c:pt idx="721">
                  <c:v>1016</c:v>
                </c:pt>
                <c:pt idx="722">
                  <c:v>1017</c:v>
                </c:pt>
                <c:pt idx="723">
                  <c:v>1018</c:v>
                </c:pt>
                <c:pt idx="724">
                  <c:v>1019</c:v>
                </c:pt>
                <c:pt idx="725">
                  <c:v>1020</c:v>
                </c:pt>
                <c:pt idx="726">
                  <c:v>1021</c:v>
                </c:pt>
                <c:pt idx="727">
                  <c:v>1022</c:v>
                </c:pt>
                <c:pt idx="728">
                  <c:v>1023</c:v>
                </c:pt>
                <c:pt idx="729">
                  <c:v>1024</c:v>
                </c:pt>
                <c:pt idx="730">
                  <c:v>1025</c:v>
                </c:pt>
                <c:pt idx="731">
                  <c:v>1026</c:v>
                </c:pt>
                <c:pt idx="732">
                  <c:v>1027</c:v>
                </c:pt>
                <c:pt idx="733">
                  <c:v>1028</c:v>
                </c:pt>
                <c:pt idx="734">
                  <c:v>1029</c:v>
                </c:pt>
                <c:pt idx="735">
                  <c:v>1030</c:v>
                </c:pt>
                <c:pt idx="736">
                  <c:v>1031</c:v>
                </c:pt>
                <c:pt idx="737">
                  <c:v>1032</c:v>
                </c:pt>
                <c:pt idx="738">
                  <c:v>1033</c:v>
                </c:pt>
                <c:pt idx="739">
                  <c:v>1034</c:v>
                </c:pt>
                <c:pt idx="740">
                  <c:v>1035</c:v>
                </c:pt>
                <c:pt idx="741">
                  <c:v>1036</c:v>
                </c:pt>
                <c:pt idx="742">
                  <c:v>1037</c:v>
                </c:pt>
                <c:pt idx="743">
                  <c:v>1038</c:v>
                </c:pt>
                <c:pt idx="744">
                  <c:v>1039</c:v>
                </c:pt>
                <c:pt idx="745">
                  <c:v>1040</c:v>
                </c:pt>
                <c:pt idx="746">
                  <c:v>1041</c:v>
                </c:pt>
                <c:pt idx="747">
                  <c:v>1042</c:v>
                </c:pt>
                <c:pt idx="748">
                  <c:v>1043</c:v>
                </c:pt>
                <c:pt idx="749">
                  <c:v>1044</c:v>
                </c:pt>
                <c:pt idx="750">
                  <c:v>1045</c:v>
                </c:pt>
                <c:pt idx="751">
                  <c:v>1046</c:v>
                </c:pt>
                <c:pt idx="752">
                  <c:v>1047</c:v>
                </c:pt>
                <c:pt idx="753">
                  <c:v>1048</c:v>
                </c:pt>
                <c:pt idx="754">
                  <c:v>1049</c:v>
                </c:pt>
                <c:pt idx="755">
                  <c:v>1050</c:v>
                </c:pt>
                <c:pt idx="756">
                  <c:v>1051</c:v>
                </c:pt>
                <c:pt idx="757">
                  <c:v>1052</c:v>
                </c:pt>
                <c:pt idx="758">
                  <c:v>1053</c:v>
                </c:pt>
                <c:pt idx="759">
                  <c:v>1054</c:v>
                </c:pt>
                <c:pt idx="760">
                  <c:v>1055</c:v>
                </c:pt>
                <c:pt idx="761">
                  <c:v>1056</c:v>
                </c:pt>
                <c:pt idx="762">
                  <c:v>1057</c:v>
                </c:pt>
                <c:pt idx="763">
                  <c:v>1058</c:v>
                </c:pt>
                <c:pt idx="764">
                  <c:v>1059</c:v>
                </c:pt>
                <c:pt idx="765">
                  <c:v>1060</c:v>
                </c:pt>
                <c:pt idx="766">
                  <c:v>1061</c:v>
                </c:pt>
                <c:pt idx="767">
                  <c:v>1062</c:v>
                </c:pt>
                <c:pt idx="768">
                  <c:v>1063</c:v>
                </c:pt>
                <c:pt idx="769">
                  <c:v>1064</c:v>
                </c:pt>
                <c:pt idx="770">
                  <c:v>1065</c:v>
                </c:pt>
                <c:pt idx="771">
                  <c:v>1066</c:v>
                </c:pt>
                <c:pt idx="772">
                  <c:v>1067</c:v>
                </c:pt>
                <c:pt idx="773">
                  <c:v>1068</c:v>
                </c:pt>
                <c:pt idx="774">
                  <c:v>1069</c:v>
                </c:pt>
                <c:pt idx="775">
                  <c:v>1070</c:v>
                </c:pt>
                <c:pt idx="776">
                  <c:v>1071</c:v>
                </c:pt>
                <c:pt idx="777">
                  <c:v>1072</c:v>
                </c:pt>
                <c:pt idx="778">
                  <c:v>1073</c:v>
                </c:pt>
                <c:pt idx="779">
                  <c:v>1074</c:v>
                </c:pt>
                <c:pt idx="780">
                  <c:v>1075</c:v>
                </c:pt>
                <c:pt idx="781">
                  <c:v>1076</c:v>
                </c:pt>
                <c:pt idx="782">
                  <c:v>1077</c:v>
                </c:pt>
                <c:pt idx="783">
                  <c:v>1078</c:v>
                </c:pt>
                <c:pt idx="784">
                  <c:v>1079</c:v>
                </c:pt>
                <c:pt idx="785">
                  <c:v>1080</c:v>
                </c:pt>
                <c:pt idx="786">
                  <c:v>1081</c:v>
                </c:pt>
                <c:pt idx="787">
                  <c:v>1082</c:v>
                </c:pt>
                <c:pt idx="788">
                  <c:v>1083</c:v>
                </c:pt>
                <c:pt idx="789">
                  <c:v>1084</c:v>
                </c:pt>
                <c:pt idx="790">
                  <c:v>1085</c:v>
                </c:pt>
                <c:pt idx="791">
                  <c:v>1086</c:v>
                </c:pt>
                <c:pt idx="792">
                  <c:v>1087</c:v>
                </c:pt>
                <c:pt idx="793">
                  <c:v>1088</c:v>
                </c:pt>
                <c:pt idx="794">
                  <c:v>1089</c:v>
                </c:pt>
                <c:pt idx="795">
                  <c:v>1090</c:v>
                </c:pt>
                <c:pt idx="796">
                  <c:v>1091</c:v>
                </c:pt>
                <c:pt idx="797">
                  <c:v>1092</c:v>
                </c:pt>
                <c:pt idx="798">
                  <c:v>1093</c:v>
                </c:pt>
                <c:pt idx="799">
                  <c:v>1094</c:v>
                </c:pt>
                <c:pt idx="800">
                  <c:v>1095</c:v>
                </c:pt>
                <c:pt idx="801">
                  <c:v>1096</c:v>
                </c:pt>
                <c:pt idx="802">
                  <c:v>1097</c:v>
                </c:pt>
                <c:pt idx="803">
                  <c:v>1098</c:v>
                </c:pt>
                <c:pt idx="804">
                  <c:v>1099</c:v>
                </c:pt>
                <c:pt idx="805">
                  <c:v>1100</c:v>
                </c:pt>
                <c:pt idx="806">
                  <c:v>1101</c:v>
                </c:pt>
                <c:pt idx="807">
                  <c:v>1102</c:v>
                </c:pt>
                <c:pt idx="808">
                  <c:v>1103</c:v>
                </c:pt>
                <c:pt idx="809">
                  <c:v>1104</c:v>
                </c:pt>
                <c:pt idx="810">
                  <c:v>1105</c:v>
                </c:pt>
                <c:pt idx="811">
                  <c:v>1106</c:v>
                </c:pt>
                <c:pt idx="812">
                  <c:v>1107</c:v>
                </c:pt>
                <c:pt idx="813">
                  <c:v>1108</c:v>
                </c:pt>
                <c:pt idx="814">
                  <c:v>1109</c:v>
                </c:pt>
                <c:pt idx="815">
                  <c:v>1110</c:v>
                </c:pt>
                <c:pt idx="816">
                  <c:v>1111</c:v>
                </c:pt>
                <c:pt idx="817">
                  <c:v>1112</c:v>
                </c:pt>
                <c:pt idx="818">
                  <c:v>1113</c:v>
                </c:pt>
                <c:pt idx="819">
                  <c:v>1114</c:v>
                </c:pt>
                <c:pt idx="820">
                  <c:v>1115</c:v>
                </c:pt>
                <c:pt idx="821">
                  <c:v>1116</c:v>
                </c:pt>
                <c:pt idx="822">
                  <c:v>1117</c:v>
                </c:pt>
                <c:pt idx="823">
                  <c:v>1118</c:v>
                </c:pt>
                <c:pt idx="824">
                  <c:v>1119</c:v>
                </c:pt>
                <c:pt idx="825">
                  <c:v>1120</c:v>
                </c:pt>
                <c:pt idx="826">
                  <c:v>1121</c:v>
                </c:pt>
                <c:pt idx="827">
                  <c:v>1122</c:v>
                </c:pt>
                <c:pt idx="828">
                  <c:v>1123</c:v>
                </c:pt>
                <c:pt idx="829">
                  <c:v>1124</c:v>
                </c:pt>
                <c:pt idx="830">
                  <c:v>1125</c:v>
                </c:pt>
                <c:pt idx="831">
                  <c:v>1126</c:v>
                </c:pt>
                <c:pt idx="832">
                  <c:v>1127</c:v>
                </c:pt>
                <c:pt idx="833">
                  <c:v>1128</c:v>
                </c:pt>
                <c:pt idx="834">
                  <c:v>1129</c:v>
                </c:pt>
                <c:pt idx="835">
                  <c:v>1130</c:v>
                </c:pt>
                <c:pt idx="836">
                  <c:v>1131</c:v>
                </c:pt>
                <c:pt idx="837">
                  <c:v>1132</c:v>
                </c:pt>
                <c:pt idx="838">
                  <c:v>1133</c:v>
                </c:pt>
                <c:pt idx="839">
                  <c:v>1134</c:v>
                </c:pt>
                <c:pt idx="840">
                  <c:v>1135</c:v>
                </c:pt>
                <c:pt idx="841">
                  <c:v>1136</c:v>
                </c:pt>
                <c:pt idx="842">
                  <c:v>1137</c:v>
                </c:pt>
                <c:pt idx="843">
                  <c:v>1138</c:v>
                </c:pt>
                <c:pt idx="844">
                  <c:v>1139</c:v>
                </c:pt>
                <c:pt idx="845">
                  <c:v>1140</c:v>
                </c:pt>
                <c:pt idx="846">
                  <c:v>1141</c:v>
                </c:pt>
                <c:pt idx="847">
                  <c:v>1142</c:v>
                </c:pt>
                <c:pt idx="848">
                  <c:v>1143</c:v>
                </c:pt>
                <c:pt idx="849">
                  <c:v>1144</c:v>
                </c:pt>
                <c:pt idx="850">
                  <c:v>1145</c:v>
                </c:pt>
                <c:pt idx="851">
                  <c:v>1146</c:v>
                </c:pt>
                <c:pt idx="852">
                  <c:v>1147</c:v>
                </c:pt>
                <c:pt idx="853">
                  <c:v>1148</c:v>
                </c:pt>
                <c:pt idx="854">
                  <c:v>1149</c:v>
                </c:pt>
                <c:pt idx="855">
                  <c:v>1150</c:v>
                </c:pt>
                <c:pt idx="856">
                  <c:v>1151</c:v>
                </c:pt>
                <c:pt idx="857">
                  <c:v>1152</c:v>
                </c:pt>
                <c:pt idx="858">
                  <c:v>1153</c:v>
                </c:pt>
                <c:pt idx="859">
                  <c:v>1154</c:v>
                </c:pt>
                <c:pt idx="860">
                  <c:v>1155</c:v>
                </c:pt>
                <c:pt idx="861">
                  <c:v>1156</c:v>
                </c:pt>
                <c:pt idx="862">
                  <c:v>1157</c:v>
                </c:pt>
                <c:pt idx="863">
                  <c:v>1158</c:v>
                </c:pt>
                <c:pt idx="864">
                  <c:v>1159</c:v>
                </c:pt>
                <c:pt idx="865">
                  <c:v>1160</c:v>
                </c:pt>
                <c:pt idx="866">
                  <c:v>1161</c:v>
                </c:pt>
                <c:pt idx="867">
                  <c:v>1162</c:v>
                </c:pt>
                <c:pt idx="868">
                  <c:v>1163</c:v>
                </c:pt>
                <c:pt idx="869">
                  <c:v>1164</c:v>
                </c:pt>
                <c:pt idx="870">
                  <c:v>1165</c:v>
                </c:pt>
                <c:pt idx="871">
                  <c:v>1166</c:v>
                </c:pt>
                <c:pt idx="872">
                  <c:v>1167</c:v>
                </c:pt>
                <c:pt idx="873">
                  <c:v>1168</c:v>
                </c:pt>
                <c:pt idx="874">
                  <c:v>1169</c:v>
                </c:pt>
                <c:pt idx="875">
                  <c:v>1170</c:v>
                </c:pt>
                <c:pt idx="876">
                  <c:v>1171</c:v>
                </c:pt>
                <c:pt idx="877">
                  <c:v>1172</c:v>
                </c:pt>
                <c:pt idx="878">
                  <c:v>1173</c:v>
                </c:pt>
                <c:pt idx="879">
                  <c:v>1174</c:v>
                </c:pt>
                <c:pt idx="880">
                  <c:v>1175</c:v>
                </c:pt>
                <c:pt idx="881">
                  <c:v>1176</c:v>
                </c:pt>
                <c:pt idx="882">
                  <c:v>1177</c:v>
                </c:pt>
                <c:pt idx="883">
                  <c:v>1178</c:v>
                </c:pt>
                <c:pt idx="884">
                  <c:v>1179</c:v>
                </c:pt>
                <c:pt idx="885">
                  <c:v>1180</c:v>
                </c:pt>
                <c:pt idx="886">
                  <c:v>1181</c:v>
                </c:pt>
                <c:pt idx="887">
                  <c:v>1182</c:v>
                </c:pt>
                <c:pt idx="888">
                  <c:v>1183</c:v>
                </c:pt>
                <c:pt idx="889">
                  <c:v>1184</c:v>
                </c:pt>
                <c:pt idx="890">
                  <c:v>1185</c:v>
                </c:pt>
                <c:pt idx="891">
                  <c:v>1186</c:v>
                </c:pt>
                <c:pt idx="892">
                  <c:v>1187</c:v>
                </c:pt>
                <c:pt idx="893">
                  <c:v>1188</c:v>
                </c:pt>
                <c:pt idx="894">
                  <c:v>1189</c:v>
                </c:pt>
                <c:pt idx="895">
                  <c:v>1190</c:v>
                </c:pt>
                <c:pt idx="896">
                  <c:v>1191</c:v>
                </c:pt>
                <c:pt idx="897">
                  <c:v>1192</c:v>
                </c:pt>
                <c:pt idx="898">
                  <c:v>1193</c:v>
                </c:pt>
                <c:pt idx="899">
                  <c:v>1194</c:v>
                </c:pt>
                <c:pt idx="900">
                  <c:v>1195</c:v>
                </c:pt>
                <c:pt idx="901">
                  <c:v>1196</c:v>
                </c:pt>
                <c:pt idx="902">
                  <c:v>1197</c:v>
                </c:pt>
                <c:pt idx="903">
                  <c:v>1198</c:v>
                </c:pt>
                <c:pt idx="904">
                  <c:v>1199</c:v>
                </c:pt>
                <c:pt idx="905">
                  <c:v>1200</c:v>
                </c:pt>
                <c:pt idx="906">
                  <c:v>1201</c:v>
                </c:pt>
                <c:pt idx="907">
                  <c:v>1202</c:v>
                </c:pt>
                <c:pt idx="908">
                  <c:v>1203</c:v>
                </c:pt>
                <c:pt idx="909">
                  <c:v>1204</c:v>
                </c:pt>
                <c:pt idx="910">
                  <c:v>1205</c:v>
                </c:pt>
                <c:pt idx="911">
                  <c:v>1206</c:v>
                </c:pt>
                <c:pt idx="912">
                  <c:v>1207</c:v>
                </c:pt>
                <c:pt idx="913">
                  <c:v>1208</c:v>
                </c:pt>
                <c:pt idx="914">
                  <c:v>1209</c:v>
                </c:pt>
                <c:pt idx="915">
                  <c:v>1210</c:v>
                </c:pt>
                <c:pt idx="916">
                  <c:v>1211</c:v>
                </c:pt>
                <c:pt idx="917">
                  <c:v>1212</c:v>
                </c:pt>
                <c:pt idx="918">
                  <c:v>1213</c:v>
                </c:pt>
                <c:pt idx="919">
                  <c:v>1214</c:v>
                </c:pt>
                <c:pt idx="920">
                  <c:v>1215</c:v>
                </c:pt>
                <c:pt idx="921">
                  <c:v>1216</c:v>
                </c:pt>
                <c:pt idx="922">
                  <c:v>1217</c:v>
                </c:pt>
                <c:pt idx="923">
                  <c:v>1218</c:v>
                </c:pt>
                <c:pt idx="924">
                  <c:v>1219</c:v>
                </c:pt>
                <c:pt idx="925">
                  <c:v>1220</c:v>
                </c:pt>
                <c:pt idx="926">
                  <c:v>1221</c:v>
                </c:pt>
                <c:pt idx="927">
                  <c:v>1222</c:v>
                </c:pt>
                <c:pt idx="928">
                  <c:v>1223</c:v>
                </c:pt>
                <c:pt idx="929">
                  <c:v>1224</c:v>
                </c:pt>
                <c:pt idx="930">
                  <c:v>1225</c:v>
                </c:pt>
                <c:pt idx="931">
                  <c:v>1226</c:v>
                </c:pt>
                <c:pt idx="932">
                  <c:v>1227</c:v>
                </c:pt>
                <c:pt idx="933">
                  <c:v>1228</c:v>
                </c:pt>
                <c:pt idx="934">
                  <c:v>1229</c:v>
                </c:pt>
                <c:pt idx="935">
                  <c:v>1230</c:v>
                </c:pt>
                <c:pt idx="936">
                  <c:v>1231</c:v>
                </c:pt>
                <c:pt idx="937">
                  <c:v>1232</c:v>
                </c:pt>
                <c:pt idx="938">
                  <c:v>1233</c:v>
                </c:pt>
                <c:pt idx="939">
                  <c:v>1234</c:v>
                </c:pt>
                <c:pt idx="940">
                  <c:v>1235</c:v>
                </c:pt>
                <c:pt idx="941">
                  <c:v>1236</c:v>
                </c:pt>
                <c:pt idx="942">
                  <c:v>1237</c:v>
                </c:pt>
                <c:pt idx="943">
                  <c:v>1238</c:v>
                </c:pt>
                <c:pt idx="944">
                  <c:v>1239</c:v>
                </c:pt>
                <c:pt idx="945">
                  <c:v>1240</c:v>
                </c:pt>
                <c:pt idx="946">
                  <c:v>1241</c:v>
                </c:pt>
                <c:pt idx="947">
                  <c:v>1242</c:v>
                </c:pt>
                <c:pt idx="948">
                  <c:v>1243</c:v>
                </c:pt>
                <c:pt idx="949">
                  <c:v>1244</c:v>
                </c:pt>
                <c:pt idx="950">
                  <c:v>1245</c:v>
                </c:pt>
                <c:pt idx="951">
                  <c:v>1246</c:v>
                </c:pt>
                <c:pt idx="952">
                  <c:v>1247</c:v>
                </c:pt>
                <c:pt idx="953">
                  <c:v>1248</c:v>
                </c:pt>
                <c:pt idx="954">
                  <c:v>1249</c:v>
                </c:pt>
                <c:pt idx="955">
                  <c:v>1250</c:v>
                </c:pt>
                <c:pt idx="956">
                  <c:v>1251</c:v>
                </c:pt>
                <c:pt idx="957">
                  <c:v>1252</c:v>
                </c:pt>
                <c:pt idx="958">
                  <c:v>1253</c:v>
                </c:pt>
                <c:pt idx="959">
                  <c:v>1254</c:v>
                </c:pt>
                <c:pt idx="960">
                  <c:v>1255</c:v>
                </c:pt>
                <c:pt idx="961">
                  <c:v>1256</c:v>
                </c:pt>
                <c:pt idx="962">
                  <c:v>1257</c:v>
                </c:pt>
                <c:pt idx="963">
                  <c:v>1258</c:v>
                </c:pt>
                <c:pt idx="964">
                  <c:v>1259</c:v>
                </c:pt>
                <c:pt idx="965">
                  <c:v>1260</c:v>
                </c:pt>
                <c:pt idx="966">
                  <c:v>1261</c:v>
                </c:pt>
                <c:pt idx="967">
                  <c:v>1262</c:v>
                </c:pt>
                <c:pt idx="968">
                  <c:v>1263</c:v>
                </c:pt>
                <c:pt idx="969">
                  <c:v>1264</c:v>
                </c:pt>
                <c:pt idx="970">
                  <c:v>1265</c:v>
                </c:pt>
                <c:pt idx="971">
                  <c:v>1266</c:v>
                </c:pt>
                <c:pt idx="972">
                  <c:v>1267</c:v>
                </c:pt>
                <c:pt idx="973">
                  <c:v>1268</c:v>
                </c:pt>
                <c:pt idx="974">
                  <c:v>1269</c:v>
                </c:pt>
                <c:pt idx="975">
                  <c:v>1270</c:v>
                </c:pt>
                <c:pt idx="976">
                  <c:v>1271</c:v>
                </c:pt>
                <c:pt idx="977">
                  <c:v>1272</c:v>
                </c:pt>
                <c:pt idx="978">
                  <c:v>1273</c:v>
                </c:pt>
                <c:pt idx="979">
                  <c:v>1274</c:v>
                </c:pt>
                <c:pt idx="980">
                  <c:v>1275</c:v>
                </c:pt>
                <c:pt idx="981">
                  <c:v>1276</c:v>
                </c:pt>
                <c:pt idx="982">
                  <c:v>1277</c:v>
                </c:pt>
                <c:pt idx="983">
                  <c:v>1278</c:v>
                </c:pt>
                <c:pt idx="984">
                  <c:v>1279</c:v>
                </c:pt>
                <c:pt idx="985">
                  <c:v>1280</c:v>
                </c:pt>
                <c:pt idx="986">
                  <c:v>1281</c:v>
                </c:pt>
                <c:pt idx="987">
                  <c:v>1282</c:v>
                </c:pt>
                <c:pt idx="988">
                  <c:v>1283</c:v>
                </c:pt>
                <c:pt idx="989">
                  <c:v>1284</c:v>
                </c:pt>
                <c:pt idx="990">
                  <c:v>1285</c:v>
                </c:pt>
                <c:pt idx="991">
                  <c:v>1286</c:v>
                </c:pt>
                <c:pt idx="992">
                  <c:v>1287</c:v>
                </c:pt>
                <c:pt idx="993">
                  <c:v>1288</c:v>
                </c:pt>
                <c:pt idx="994">
                  <c:v>1289</c:v>
                </c:pt>
                <c:pt idx="995">
                  <c:v>1290</c:v>
                </c:pt>
                <c:pt idx="996">
                  <c:v>1291</c:v>
                </c:pt>
                <c:pt idx="997">
                  <c:v>1292</c:v>
                </c:pt>
                <c:pt idx="998">
                  <c:v>1293</c:v>
                </c:pt>
                <c:pt idx="999">
                  <c:v>1294</c:v>
                </c:pt>
                <c:pt idx="1000">
                  <c:v>1295</c:v>
                </c:pt>
                <c:pt idx="1001">
                  <c:v>1296</c:v>
                </c:pt>
                <c:pt idx="1002">
                  <c:v>1297</c:v>
                </c:pt>
                <c:pt idx="1003">
                  <c:v>1298</c:v>
                </c:pt>
                <c:pt idx="1004">
                  <c:v>1299</c:v>
                </c:pt>
                <c:pt idx="1005">
                  <c:v>1300</c:v>
                </c:pt>
                <c:pt idx="1006">
                  <c:v>1301</c:v>
                </c:pt>
                <c:pt idx="1007">
                  <c:v>1302</c:v>
                </c:pt>
                <c:pt idx="1008">
                  <c:v>1303</c:v>
                </c:pt>
                <c:pt idx="1009">
                  <c:v>1304</c:v>
                </c:pt>
                <c:pt idx="1010">
                  <c:v>1305</c:v>
                </c:pt>
                <c:pt idx="1011">
                  <c:v>1306</c:v>
                </c:pt>
                <c:pt idx="1012">
                  <c:v>1307</c:v>
                </c:pt>
                <c:pt idx="1013">
                  <c:v>1308</c:v>
                </c:pt>
                <c:pt idx="1014">
                  <c:v>1309</c:v>
                </c:pt>
                <c:pt idx="1015">
                  <c:v>1310</c:v>
                </c:pt>
                <c:pt idx="1016">
                  <c:v>1311</c:v>
                </c:pt>
                <c:pt idx="1017">
                  <c:v>1312</c:v>
                </c:pt>
                <c:pt idx="1018">
                  <c:v>1313</c:v>
                </c:pt>
                <c:pt idx="1019">
                  <c:v>1314</c:v>
                </c:pt>
                <c:pt idx="1020">
                  <c:v>1315</c:v>
                </c:pt>
                <c:pt idx="1021">
                  <c:v>1316</c:v>
                </c:pt>
                <c:pt idx="1022">
                  <c:v>1317</c:v>
                </c:pt>
                <c:pt idx="1023">
                  <c:v>1318</c:v>
                </c:pt>
                <c:pt idx="1024">
                  <c:v>1319</c:v>
                </c:pt>
                <c:pt idx="1025">
                  <c:v>1320</c:v>
                </c:pt>
                <c:pt idx="1026">
                  <c:v>1321</c:v>
                </c:pt>
                <c:pt idx="1027">
                  <c:v>1322</c:v>
                </c:pt>
                <c:pt idx="1028">
                  <c:v>1323</c:v>
                </c:pt>
                <c:pt idx="1029">
                  <c:v>1324</c:v>
                </c:pt>
                <c:pt idx="1030">
                  <c:v>1325</c:v>
                </c:pt>
                <c:pt idx="1031">
                  <c:v>1326</c:v>
                </c:pt>
                <c:pt idx="1032">
                  <c:v>1327</c:v>
                </c:pt>
                <c:pt idx="1033">
                  <c:v>1328</c:v>
                </c:pt>
                <c:pt idx="1034">
                  <c:v>1329</c:v>
                </c:pt>
                <c:pt idx="1035">
                  <c:v>1330</c:v>
                </c:pt>
                <c:pt idx="1036">
                  <c:v>1331</c:v>
                </c:pt>
                <c:pt idx="1037">
                  <c:v>1332</c:v>
                </c:pt>
                <c:pt idx="1038">
                  <c:v>1333</c:v>
                </c:pt>
                <c:pt idx="1039">
                  <c:v>1334</c:v>
                </c:pt>
                <c:pt idx="1040">
                  <c:v>1335</c:v>
                </c:pt>
                <c:pt idx="1041">
                  <c:v>1336</c:v>
                </c:pt>
                <c:pt idx="1042">
                  <c:v>1337</c:v>
                </c:pt>
                <c:pt idx="1043">
                  <c:v>1338</c:v>
                </c:pt>
                <c:pt idx="1044">
                  <c:v>1339</c:v>
                </c:pt>
                <c:pt idx="1045">
                  <c:v>1340</c:v>
                </c:pt>
                <c:pt idx="1046">
                  <c:v>1341</c:v>
                </c:pt>
                <c:pt idx="1047">
                  <c:v>1342</c:v>
                </c:pt>
                <c:pt idx="1048">
                  <c:v>1343</c:v>
                </c:pt>
                <c:pt idx="1049">
                  <c:v>1344</c:v>
                </c:pt>
                <c:pt idx="1050">
                  <c:v>1345</c:v>
                </c:pt>
                <c:pt idx="1051">
                  <c:v>1346</c:v>
                </c:pt>
                <c:pt idx="1052">
                  <c:v>1347</c:v>
                </c:pt>
                <c:pt idx="1053">
                  <c:v>1348</c:v>
                </c:pt>
                <c:pt idx="1054">
                  <c:v>1349</c:v>
                </c:pt>
                <c:pt idx="1055">
                  <c:v>1350</c:v>
                </c:pt>
                <c:pt idx="1056">
                  <c:v>1351</c:v>
                </c:pt>
                <c:pt idx="1057">
                  <c:v>1352</c:v>
                </c:pt>
                <c:pt idx="1058">
                  <c:v>1353</c:v>
                </c:pt>
                <c:pt idx="1059">
                  <c:v>1354</c:v>
                </c:pt>
                <c:pt idx="1060">
                  <c:v>1355</c:v>
                </c:pt>
                <c:pt idx="1061">
                  <c:v>1356</c:v>
                </c:pt>
                <c:pt idx="1062">
                  <c:v>1357</c:v>
                </c:pt>
                <c:pt idx="1063">
                  <c:v>1358</c:v>
                </c:pt>
                <c:pt idx="1064">
                  <c:v>1359</c:v>
                </c:pt>
                <c:pt idx="1065">
                  <c:v>1360</c:v>
                </c:pt>
                <c:pt idx="1066">
                  <c:v>1361</c:v>
                </c:pt>
                <c:pt idx="1067">
                  <c:v>1362</c:v>
                </c:pt>
                <c:pt idx="1068">
                  <c:v>1363</c:v>
                </c:pt>
                <c:pt idx="1069">
                  <c:v>1364</c:v>
                </c:pt>
                <c:pt idx="1070">
                  <c:v>1365</c:v>
                </c:pt>
                <c:pt idx="1071">
                  <c:v>1366</c:v>
                </c:pt>
                <c:pt idx="1072">
                  <c:v>1367</c:v>
                </c:pt>
                <c:pt idx="1073">
                  <c:v>1368</c:v>
                </c:pt>
                <c:pt idx="1074">
                  <c:v>1369</c:v>
                </c:pt>
                <c:pt idx="1075">
                  <c:v>1370</c:v>
                </c:pt>
                <c:pt idx="1076">
                  <c:v>1371</c:v>
                </c:pt>
                <c:pt idx="1077">
                  <c:v>1372</c:v>
                </c:pt>
                <c:pt idx="1078">
                  <c:v>1373</c:v>
                </c:pt>
                <c:pt idx="1079">
                  <c:v>1374</c:v>
                </c:pt>
                <c:pt idx="1080">
                  <c:v>1375</c:v>
                </c:pt>
                <c:pt idx="1081">
                  <c:v>1376</c:v>
                </c:pt>
                <c:pt idx="1082">
                  <c:v>1377</c:v>
                </c:pt>
                <c:pt idx="1083">
                  <c:v>1378</c:v>
                </c:pt>
                <c:pt idx="1084">
                  <c:v>1379</c:v>
                </c:pt>
                <c:pt idx="1085">
                  <c:v>1380</c:v>
                </c:pt>
                <c:pt idx="1086">
                  <c:v>1381</c:v>
                </c:pt>
                <c:pt idx="1087">
                  <c:v>1382</c:v>
                </c:pt>
                <c:pt idx="1088">
                  <c:v>1383</c:v>
                </c:pt>
                <c:pt idx="1089">
                  <c:v>1384</c:v>
                </c:pt>
                <c:pt idx="1090">
                  <c:v>1385</c:v>
                </c:pt>
                <c:pt idx="1091">
                  <c:v>1386</c:v>
                </c:pt>
                <c:pt idx="1092">
                  <c:v>1387</c:v>
                </c:pt>
                <c:pt idx="1093">
                  <c:v>1388</c:v>
                </c:pt>
                <c:pt idx="1094">
                  <c:v>1389</c:v>
                </c:pt>
                <c:pt idx="1095">
                  <c:v>1390</c:v>
                </c:pt>
                <c:pt idx="1096">
                  <c:v>1391</c:v>
                </c:pt>
                <c:pt idx="1097">
                  <c:v>1392</c:v>
                </c:pt>
                <c:pt idx="1098">
                  <c:v>1393</c:v>
                </c:pt>
                <c:pt idx="1099">
                  <c:v>1394</c:v>
                </c:pt>
                <c:pt idx="1100">
                  <c:v>1395</c:v>
                </c:pt>
                <c:pt idx="1101">
                  <c:v>1396</c:v>
                </c:pt>
                <c:pt idx="1102">
                  <c:v>1397</c:v>
                </c:pt>
                <c:pt idx="1103">
                  <c:v>1398</c:v>
                </c:pt>
                <c:pt idx="1104">
                  <c:v>1399</c:v>
                </c:pt>
                <c:pt idx="1105">
                  <c:v>1400</c:v>
                </c:pt>
                <c:pt idx="1106">
                  <c:v>1401</c:v>
                </c:pt>
                <c:pt idx="1107">
                  <c:v>1402</c:v>
                </c:pt>
                <c:pt idx="1108">
                  <c:v>1403</c:v>
                </c:pt>
                <c:pt idx="1109">
                  <c:v>1404</c:v>
                </c:pt>
                <c:pt idx="1110">
                  <c:v>1405</c:v>
                </c:pt>
                <c:pt idx="1111">
                  <c:v>1406</c:v>
                </c:pt>
                <c:pt idx="1112">
                  <c:v>1407</c:v>
                </c:pt>
                <c:pt idx="1113">
                  <c:v>1408</c:v>
                </c:pt>
                <c:pt idx="1114">
                  <c:v>1409</c:v>
                </c:pt>
                <c:pt idx="1115">
                  <c:v>1410</c:v>
                </c:pt>
                <c:pt idx="1116">
                  <c:v>1411</c:v>
                </c:pt>
                <c:pt idx="1117">
                  <c:v>1412</c:v>
                </c:pt>
                <c:pt idx="1118">
                  <c:v>1413</c:v>
                </c:pt>
                <c:pt idx="1119">
                  <c:v>1414</c:v>
                </c:pt>
                <c:pt idx="1120">
                  <c:v>1415</c:v>
                </c:pt>
                <c:pt idx="1121">
                  <c:v>1416</c:v>
                </c:pt>
                <c:pt idx="1122">
                  <c:v>1417</c:v>
                </c:pt>
                <c:pt idx="1123">
                  <c:v>1418</c:v>
                </c:pt>
                <c:pt idx="1124">
                  <c:v>1419</c:v>
                </c:pt>
                <c:pt idx="1125">
                  <c:v>1420</c:v>
                </c:pt>
                <c:pt idx="1126">
                  <c:v>1421</c:v>
                </c:pt>
                <c:pt idx="1127">
                  <c:v>1422</c:v>
                </c:pt>
                <c:pt idx="1128">
                  <c:v>1423</c:v>
                </c:pt>
                <c:pt idx="1129">
                  <c:v>1424</c:v>
                </c:pt>
                <c:pt idx="1130">
                  <c:v>1425</c:v>
                </c:pt>
                <c:pt idx="1131">
                  <c:v>1426</c:v>
                </c:pt>
                <c:pt idx="1132">
                  <c:v>1427</c:v>
                </c:pt>
                <c:pt idx="1133">
                  <c:v>1428</c:v>
                </c:pt>
                <c:pt idx="1134">
                  <c:v>1429</c:v>
                </c:pt>
                <c:pt idx="1135">
                  <c:v>1430</c:v>
                </c:pt>
                <c:pt idx="1136">
                  <c:v>1431</c:v>
                </c:pt>
                <c:pt idx="1137">
                  <c:v>1432</c:v>
                </c:pt>
                <c:pt idx="1138">
                  <c:v>1433</c:v>
                </c:pt>
                <c:pt idx="1139">
                  <c:v>1434</c:v>
                </c:pt>
                <c:pt idx="1140">
                  <c:v>1435</c:v>
                </c:pt>
                <c:pt idx="1141">
                  <c:v>1436</c:v>
                </c:pt>
                <c:pt idx="1142">
                  <c:v>1437</c:v>
                </c:pt>
                <c:pt idx="1143">
                  <c:v>1438</c:v>
                </c:pt>
                <c:pt idx="1144">
                  <c:v>1439</c:v>
                </c:pt>
                <c:pt idx="1145">
                  <c:v>1440</c:v>
                </c:pt>
                <c:pt idx="1146">
                  <c:v>1441</c:v>
                </c:pt>
                <c:pt idx="1147">
                  <c:v>1442</c:v>
                </c:pt>
                <c:pt idx="1148">
                  <c:v>1443</c:v>
                </c:pt>
                <c:pt idx="1149">
                  <c:v>1444</c:v>
                </c:pt>
                <c:pt idx="1150">
                  <c:v>1445</c:v>
                </c:pt>
                <c:pt idx="1151">
                  <c:v>1446</c:v>
                </c:pt>
                <c:pt idx="1152">
                  <c:v>1447</c:v>
                </c:pt>
                <c:pt idx="1153">
                  <c:v>1448</c:v>
                </c:pt>
                <c:pt idx="1154">
                  <c:v>1449</c:v>
                </c:pt>
                <c:pt idx="1155">
                  <c:v>1450</c:v>
                </c:pt>
                <c:pt idx="1156">
                  <c:v>1451</c:v>
                </c:pt>
                <c:pt idx="1157">
                  <c:v>1452</c:v>
                </c:pt>
                <c:pt idx="1158">
                  <c:v>1453</c:v>
                </c:pt>
                <c:pt idx="1159">
                  <c:v>1454</c:v>
                </c:pt>
                <c:pt idx="1160">
                  <c:v>1455</c:v>
                </c:pt>
                <c:pt idx="1161">
                  <c:v>1456</c:v>
                </c:pt>
                <c:pt idx="1162">
                  <c:v>1457</c:v>
                </c:pt>
                <c:pt idx="1163">
                  <c:v>1458</c:v>
                </c:pt>
                <c:pt idx="1164">
                  <c:v>1459</c:v>
                </c:pt>
                <c:pt idx="1165">
                  <c:v>1460</c:v>
                </c:pt>
                <c:pt idx="1166">
                  <c:v>1461</c:v>
                </c:pt>
                <c:pt idx="1167">
                  <c:v>1462</c:v>
                </c:pt>
                <c:pt idx="1168">
                  <c:v>1463</c:v>
                </c:pt>
                <c:pt idx="1169">
                  <c:v>1464</c:v>
                </c:pt>
                <c:pt idx="1170">
                  <c:v>1465</c:v>
                </c:pt>
                <c:pt idx="1171">
                  <c:v>1466</c:v>
                </c:pt>
                <c:pt idx="1172">
                  <c:v>1467</c:v>
                </c:pt>
                <c:pt idx="1173">
                  <c:v>1468</c:v>
                </c:pt>
                <c:pt idx="1174">
                  <c:v>1469</c:v>
                </c:pt>
                <c:pt idx="1175">
                  <c:v>1470</c:v>
                </c:pt>
                <c:pt idx="1176">
                  <c:v>1471</c:v>
                </c:pt>
                <c:pt idx="1177">
                  <c:v>1472</c:v>
                </c:pt>
                <c:pt idx="1178">
                  <c:v>1473</c:v>
                </c:pt>
                <c:pt idx="1179">
                  <c:v>1474</c:v>
                </c:pt>
                <c:pt idx="1180">
                  <c:v>1475</c:v>
                </c:pt>
                <c:pt idx="1181">
                  <c:v>1476</c:v>
                </c:pt>
                <c:pt idx="1182">
                  <c:v>1477</c:v>
                </c:pt>
                <c:pt idx="1183">
                  <c:v>1478</c:v>
                </c:pt>
                <c:pt idx="1184">
                  <c:v>1479</c:v>
                </c:pt>
                <c:pt idx="1185">
                  <c:v>1480</c:v>
                </c:pt>
                <c:pt idx="1186">
                  <c:v>1481</c:v>
                </c:pt>
                <c:pt idx="1187">
                  <c:v>1482</c:v>
                </c:pt>
                <c:pt idx="1188">
                  <c:v>1483</c:v>
                </c:pt>
                <c:pt idx="1189">
                  <c:v>1484</c:v>
                </c:pt>
                <c:pt idx="1190">
                  <c:v>1485</c:v>
                </c:pt>
                <c:pt idx="1191">
                  <c:v>1486</c:v>
                </c:pt>
                <c:pt idx="1192">
                  <c:v>1487</c:v>
                </c:pt>
                <c:pt idx="1193">
                  <c:v>1488</c:v>
                </c:pt>
                <c:pt idx="1194">
                  <c:v>1489</c:v>
                </c:pt>
                <c:pt idx="1195">
                  <c:v>1490</c:v>
                </c:pt>
                <c:pt idx="1196">
                  <c:v>1491</c:v>
                </c:pt>
                <c:pt idx="1197">
                  <c:v>1492</c:v>
                </c:pt>
                <c:pt idx="1198">
                  <c:v>1493</c:v>
                </c:pt>
                <c:pt idx="1199">
                  <c:v>1494</c:v>
                </c:pt>
                <c:pt idx="1200">
                  <c:v>1495</c:v>
                </c:pt>
                <c:pt idx="1201">
                  <c:v>1496</c:v>
                </c:pt>
                <c:pt idx="1202">
                  <c:v>1497</c:v>
                </c:pt>
                <c:pt idx="1203">
                  <c:v>1498</c:v>
                </c:pt>
                <c:pt idx="1204">
                  <c:v>1499</c:v>
                </c:pt>
                <c:pt idx="1205">
                  <c:v>1500</c:v>
                </c:pt>
                <c:pt idx="1206">
                  <c:v>1501</c:v>
                </c:pt>
                <c:pt idx="1207">
                  <c:v>1502</c:v>
                </c:pt>
                <c:pt idx="1208">
                  <c:v>1503</c:v>
                </c:pt>
                <c:pt idx="1209">
                  <c:v>1504</c:v>
                </c:pt>
                <c:pt idx="1210">
                  <c:v>1505</c:v>
                </c:pt>
                <c:pt idx="1211">
                  <c:v>1506</c:v>
                </c:pt>
                <c:pt idx="1212">
                  <c:v>1507</c:v>
                </c:pt>
                <c:pt idx="1213">
                  <c:v>1508</c:v>
                </c:pt>
                <c:pt idx="1214">
                  <c:v>1509</c:v>
                </c:pt>
                <c:pt idx="1215">
                  <c:v>1510</c:v>
                </c:pt>
                <c:pt idx="1216">
                  <c:v>1511</c:v>
                </c:pt>
                <c:pt idx="1217">
                  <c:v>1512</c:v>
                </c:pt>
                <c:pt idx="1218">
                  <c:v>1513</c:v>
                </c:pt>
                <c:pt idx="1219">
                  <c:v>1514</c:v>
                </c:pt>
                <c:pt idx="1220">
                  <c:v>1515</c:v>
                </c:pt>
                <c:pt idx="1221">
                  <c:v>1516</c:v>
                </c:pt>
                <c:pt idx="1222">
                  <c:v>1517</c:v>
                </c:pt>
                <c:pt idx="1223">
                  <c:v>1518</c:v>
                </c:pt>
                <c:pt idx="1224">
                  <c:v>1519</c:v>
                </c:pt>
                <c:pt idx="1225">
                  <c:v>1520</c:v>
                </c:pt>
                <c:pt idx="1226">
                  <c:v>1521</c:v>
                </c:pt>
                <c:pt idx="1227">
                  <c:v>1522</c:v>
                </c:pt>
                <c:pt idx="1228">
                  <c:v>1523</c:v>
                </c:pt>
                <c:pt idx="1229">
                  <c:v>1524</c:v>
                </c:pt>
                <c:pt idx="1230">
                  <c:v>1525</c:v>
                </c:pt>
                <c:pt idx="1231">
                  <c:v>1526</c:v>
                </c:pt>
                <c:pt idx="1232">
                  <c:v>1527</c:v>
                </c:pt>
                <c:pt idx="1233">
                  <c:v>1528</c:v>
                </c:pt>
                <c:pt idx="1234">
                  <c:v>1529</c:v>
                </c:pt>
                <c:pt idx="1235">
                  <c:v>1530</c:v>
                </c:pt>
                <c:pt idx="1236">
                  <c:v>1531</c:v>
                </c:pt>
                <c:pt idx="1237">
                  <c:v>1532</c:v>
                </c:pt>
                <c:pt idx="1238">
                  <c:v>1533</c:v>
                </c:pt>
                <c:pt idx="1239">
                  <c:v>1534</c:v>
                </c:pt>
                <c:pt idx="1240">
                  <c:v>1535</c:v>
                </c:pt>
                <c:pt idx="1241">
                  <c:v>1536</c:v>
                </c:pt>
                <c:pt idx="1242">
                  <c:v>1537</c:v>
                </c:pt>
                <c:pt idx="1243">
                  <c:v>1538</c:v>
                </c:pt>
                <c:pt idx="1244">
                  <c:v>1539</c:v>
                </c:pt>
                <c:pt idx="1245">
                  <c:v>1540</c:v>
                </c:pt>
                <c:pt idx="1246">
                  <c:v>1541</c:v>
                </c:pt>
                <c:pt idx="1247">
                  <c:v>1542</c:v>
                </c:pt>
                <c:pt idx="1248">
                  <c:v>1543</c:v>
                </c:pt>
                <c:pt idx="1249">
                  <c:v>1544</c:v>
                </c:pt>
                <c:pt idx="1250">
                  <c:v>1545</c:v>
                </c:pt>
                <c:pt idx="1251">
                  <c:v>1546</c:v>
                </c:pt>
                <c:pt idx="1252">
                  <c:v>1547</c:v>
                </c:pt>
                <c:pt idx="1253">
                  <c:v>1548</c:v>
                </c:pt>
                <c:pt idx="1254">
                  <c:v>1549</c:v>
                </c:pt>
                <c:pt idx="1255">
                  <c:v>1550</c:v>
                </c:pt>
                <c:pt idx="1256">
                  <c:v>1551</c:v>
                </c:pt>
                <c:pt idx="1257">
                  <c:v>1552</c:v>
                </c:pt>
                <c:pt idx="1258">
                  <c:v>1553</c:v>
                </c:pt>
                <c:pt idx="1259">
                  <c:v>1554</c:v>
                </c:pt>
                <c:pt idx="1260">
                  <c:v>1555</c:v>
                </c:pt>
                <c:pt idx="1261">
                  <c:v>1556</c:v>
                </c:pt>
                <c:pt idx="1262">
                  <c:v>1557</c:v>
                </c:pt>
                <c:pt idx="1263">
                  <c:v>1558</c:v>
                </c:pt>
                <c:pt idx="1264">
                  <c:v>1559</c:v>
                </c:pt>
                <c:pt idx="1265">
                  <c:v>1560</c:v>
                </c:pt>
                <c:pt idx="1266">
                  <c:v>1561</c:v>
                </c:pt>
                <c:pt idx="1267">
                  <c:v>1562</c:v>
                </c:pt>
                <c:pt idx="1268">
                  <c:v>1563</c:v>
                </c:pt>
                <c:pt idx="1269">
                  <c:v>1564</c:v>
                </c:pt>
                <c:pt idx="1270">
                  <c:v>1565</c:v>
                </c:pt>
                <c:pt idx="1271">
                  <c:v>1566</c:v>
                </c:pt>
                <c:pt idx="1272">
                  <c:v>1567</c:v>
                </c:pt>
                <c:pt idx="1273">
                  <c:v>1568</c:v>
                </c:pt>
                <c:pt idx="1274">
                  <c:v>1569</c:v>
                </c:pt>
                <c:pt idx="1275">
                  <c:v>1570</c:v>
                </c:pt>
                <c:pt idx="1276">
                  <c:v>1571</c:v>
                </c:pt>
                <c:pt idx="1277">
                  <c:v>1572</c:v>
                </c:pt>
                <c:pt idx="1278">
                  <c:v>1573</c:v>
                </c:pt>
                <c:pt idx="1279">
                  <c:v>1574</c:v>
                </c:pt>
                <c:pt idx="1280">
                  <c:v>1575</c:v>
                </c:pt>
                <c:pt idx="1281">
                  <c:v>1576</c:v>
                </c:pt>
                <c:pt idx="1282">
                  <c:v>1577</c:v>
                </c:pt>
                <c:pt idx="1283">
                  <c:v>1578</c:v>
                </c:pt>
                <c:pt idx="1284">
                  <c:v>1579</c:v>
                </c:pt>
                <c:pt idx="1285">
                  <c:v>1580</c:v>
                </c:pt>
                <c:pt idx="1286">
                  <c:v>1581</c:v>
                </c:pt>
                <c:pt idx="1287">
                  <c:v>1582</c:v>
                </c:pt>
                <c:pt idx="1288">
                  <c:v>1583</c:v>
                </c:pt>
                <c:pt idx="1289">
                  <c:v>1584</c:v>
                </c:pt>
                <c:pt idx="1290">
                  <c:v>1585</c:v>
                </c:pt>
                <c:pt idx="1291">
                  <c:v>1586</c:v>
                </c:pt>
                <c:pt idx="1292">
                  <c:v>1587</c:v>
                </c:pt>
                <c:pt idx="1293">
                  <c:v>1588</c:v>
                </c:pt>
                <c:pt idx="1294">
                  <c:v>1589</c:v>
                </c:pt>
                <c:pt idx="1295">
                  <c:v>1590</c:v>
                </c:pt>
                <c:pt idx="1296">
                  <c:v>1591</c:v>
                </c:pt>
                <c:pt idx="1297">
                  <c:v>1592</c:v>
                </c:pt>
                <c:pt idx="1298">
                  <c:v>1593</c:v>
                </c:pt>
                <c:pt idx="1299">
                  <c:v>1594</c:v>
                </c:pt>
                <c:pt idx="1300">
                  <c:v>1595</c:v>
                </c:pt>
                <c:pt idx="1301">
                  <c:v>1596</c:v>
                </c:pt>
                <c:pt idx="1302">
                  <c:v>1597</c:v>
                </c:pt>
                <c:pt idx="1303">
                  <c:v>1598</c:v>
                </c:pt>
                <c:pt idx="1304">
                  <c:v>1599</c:v>
                </c:pt>
                <c:pt idx="1305">
                  <c:v>1600</c:v>
                </c:pt>
                <c:pt idx="1306">
                  <c:v>1601</c:v>
                </c:pt>
                <c:pt idx="1307">
                  <c:v>1602</c:v>
                </c:pt>
                <c:pt idx="1308">
                  <c:v>1603</c:v>
                </c:pt>
                <c:pt idx="1309">
                  <c:v>1604</c:v>
                </c:pt>
                <c:pt idx="1310">
                  <c:v>1605</c:v>
                </c:pt>
                <c:pt idx="1311">
                  <c:v>1606</c:v>
                </c:pt>
                <c:pt idx="1312">
                  <c:v>1607</c:v>
                </c:pt>
                <c:pt idx="1313">
                  <c:v>1608</c:v>
                </c:pt>
                <c:pt idx="1314">
                  <c:v>1609</c:v>
                </c:pt>
                <c:pt idx="1315">
                  <c:v>1610</c:v>
                </c:pt>
                <c:pt idx="1316">
                  <c:v>1611</c:v>
                </c:pt>
                <c:pt idx="1317">
                  <c:v>1612</c:v>
                </c:pt>
                <c:pt idx="1318">
                  <c:v>1613</c:v>
                </c:pt>
                <c:pt idx="1319">
                  <c:v>1614</c:v>
                </c:pt>
                <c:pt idx="1320">
                  <c:v>1615</c:v>
                </c:pt>
                <c:pt idx="1321">
                  <c:v>1616</c:v>
                </c:pt>
                <c:pt idx="1322">
                  <c:v>1617</c:v>
                </c:pt>
                <c:pt idx="1323">
                  <c:v>1618</c:v>
                </c:pt>
                <c:pt idx="1324">
                  <c:v>1619</c:v>
                </c:pt>
                <c:pt idx="1325">
                  <c:v>1620</c:v>
                </c:pt>
                <c:pt idx="1326">
                  <c:v>1621</c:v>
                </c:pt>
                <c:pt idx="1327">
                  <c:v>1622</c:v>
                </c:pt>
                <c:pt idx="1328">
                  <c:v>1623</c:v>
                </c:pt>
                <c:pt idx="1329">
                  <c:v>1624</c:v>
                </c:pt>
                <c:pt idx="1330">
                  <c:v>1625</c:v>
                </c:pt>
                <c:pt idx="1331">
                  <c:v>1626</c:v>
                </c:pt>
                <c:pt idx="1332">
                  <c:v>1627</c:v>
                </c:pt>
                <c:pt idx="1333">
                  <c:v>1628</c:v>
                </c:pt>
                <c:pt idx="1334">
                  <c:v>1629</c:v>
                </c:pt>
                <c:pt idx="1335">
                  <c:v>1630</c:v>
                </c:pt>
                <c:pt idx="1336">
                  <c:v>1631</c:v>
                </c:pt>
                <c:pt idx="1337">
                  <c:v>1632</c:v>
                </c:pt>
                <c:pt idx="1338">
                  <c:v>1633</c:v>
                </c:pt>
                <c:pt idx="1339">
                  <c:v>1634</c:v>
                </c:pt>
                <c:pt idx="1340">
                  <c:v>1635</c:v>
                </c:pt>
                <c:pt idx="1341">
                  <c:v>1636</c:v>
                </c:pt>
                <c:pt idx="1342">
                  <c:v>1637</c:v>
                </c:pt>
                <c:pt idx="1343">
                  <c:v>1638</c:v>
                </c:pt>
                <c:pt idx="1344">
                  <c:v>1639</c:v>
                </c:pt>
                <c:pt idx="1345">
                  <c:v>1640</c:v>
                </c:pt>
                <c:pt idx="1346">
                  <c:v>1641</c:v>
                </c:pt>
                <c:pt idx="1347">
                  <c:v>1642</c:v>
                </c:pt>
                <c:pt idx="1348">
                  <c:v>1643</c:v>
                </c:pt>
                <c:pt idx="1349">
                  <c:v>1644</c:v>
                </c:pt>
                <c:pt idx="1350">
                  <c:v>1645</c:v>
                </c:pt>
                <c:pt idx="1351">
                  <c:v>1646</c:v>
                </c:pt>
                <c:pt idx="1352">
                  <c:v>1647</c:v>
                </c:pt>
                <c:pt idx="1353">
                  <c:v>1648</c:v>
                </c:pt>
                <c:pt idx="1354">
                  <c:v>1649</c:v>
                </c:pt>
                <c:pt idx="1355">
                  <c:v>1650</c:v>
                </c:pt>
                <c:pt idx="1356">
                  <c:v>1651</c:v>
                </c:pt>
                <c:pt idx="1357">
                  <c:v>1652</c:v>
                </c:pt>
                <c:pt idx="1358">
                  <c:v>1653</c:v>
                </c:pt>
                <c:pt idx="1359">
                  <c:v>1654</c:v>
                </c:pt>
                <c:pt idx="1360">
                  <c:v>1655</c:v>
                </c:pt>
                <c:pt idx="1361">
                  <c:v>1656</c:v>
                </c:pt>
                <c:pt idx="1362">
                  <c:v>1657</c:v>
                </c:pt>
                <c:pt idx="1363">
                  <c:v>1658</c:v>
                </c:pt>
                <c:pt idx="1364">
                  <c:v>1659</c:v>
                </c:pt>
                <c:pt idx="1365">
                  <c:v>1660</c:v>
                </c:pt>
                <c:pt idx="1366">
                  <c:v>1661</c:v>
                </c:pt>
                <c:pt idx="1367">
                  <c:v>1662</c:v>
                </c:pt>
                <c:pt idx="1368">
                  <c:v>1663</c:v>
                </c:pt>
                <c:pt idx="1369">
                  <c:v>1664</c:v>
                </c:pt>
                <c:pt idx="1370">
                  <c:v>1665</c:v>
                </c:pt>
                <c:pt idx="1371">
                  <c:v>1666</c:v>
                </c:pt>
                <c:pt idx="1372">
                  <c:v>1667</c:v>
                </c:pt>
                <c:pt idx="1373">
                  <c:v>1668</c:v>
                </c:pt>
                <c:pt idx="1374">
                  <c:v>1669</c:v>
                </c:pt>
                <c:pt idx="1375">
                  <c:v>1670</c:v>
                </c:pt>
                <c:pt idx="1376">
                  <c:v>1671</c:v>
                </c:pt>
                <c:pt idx="1377">
                  <c:v>1672</c:v>
                </c:pt>
                <c:pt idx="1378">
                  <c:v>1673</c:v>
                </c:pt>
                <c:pt idx="1379">
                  <c:v>1674</c:v>
                </c:pt>
                <c:pt idx="1380">
                  <c:v>1675</c:v>
                </c:pt>
                <c:pt idx="1381">
                  <c:v>1676</c:v>
                </c:pt>
                <c:pt idx="1382">
                  <c:v>1677</c:v>
                </c:pt>
                <c:pt idx="1383">
                  <c:v>1678</c:v>
                </c:pt>
                <c:pt idx="1384">
                  <c:v>1679</c:v>
                </c:pt>
                <c:pt idx="1385">
                  <c:v>1680</c:v>
                </c:pt>
                <c:pt idx="1386">
                  <c:v>1681</c:v>
                </c:pt>
                <c:pt idx="1387">
                  <c:v>1682</c:v>
                </c:pt>
                <c:pt idx="1388">
                  <c:v>1683</c:v>
                </c:pt>
                <c:pt idx="1389">
                  <c:v>1684</c:v>
                </c:pt>
                <c:pt idx="1390">
                  <c:v>1685</c:v>
                </c:pt>
                <c:pt idx="1391">
                  <c:v>1686</c:v>
                </c:pt>
                <c:pt idx="1392">
                  <c:v>1687</c:v>
                </c:pt>
                <c:pt idx="1393">
                  <c:v>1688</c:v>
                </c:pt>
                <c:pt idx="1394">
                  <c:v>1689</c:v>
                </c:pt>
                <c:pt idx="1395">
                  <c:v>1690</c:v>
                </c:pt>
                <c:pt idx="1396">
                  <c:v>1691</c:v>
                </c:pt>
                <c:pt idx="1397">
                  <c:v>1692</c:v>
                </c:pt>
                <c:pt idx="1398">
                  <c:v>1693</c:v>
                </c:pt>
                <c:pt idx="1399">
                  <c:v>1694</c:v>
                </c:pt>
                <c:pt idx="1400">
                  <c:v>1695</c:v>
                </c:pt>
                <c:pt idx="1401">
                  <c:v>1696</c:v>
                </c:pt>
                <c:pt idx="1402">
                  <c:v>1697</c:v>
                </c:pt>
                <c:pt idx="1403">
                  <c:v>1698</c:v>
                </c:pt>
                <c:pt idx="1404">
                  <c:v>1699</c:v>
                </c:pt>
                <c:pt idx="1405">
                  <c:v>1700</c:v>
                </c:pt>
                <c:pt idx="1406">
                  <c:v>1701</c:v>
                </c:pt>
                <c:pt idx="1407">
                  <c:v>1702</c:v>
                </c:pt>
                <c:pt idx="1408">
                  <c:v>1703</c:v>
                </c:pt>
                <c:pt idx="1409">
                  <c:v>1704</c:v>
                </c:pt>
                <c:pt idx="1410">
                  <c:v>1705</c:v>
                </c:pt>
                <c:pt idx="1411">
                  <c:v>1706</c:v>
                </c:pt>
                <c:pt idx="1412">
                  <c:v>1707</c:v>
                </c:pt>
                <c:pt idx="1413">
                  <c:v>1708</c:v>
                </c:pt>
                <c:pt idx="1414">
                  <c:v>1709</c:v>
                </c:pt>
                <c:pt idx="1415">
                  <c:v>1710</c:v>
                </c:pt>
                <c:pt idx="1416">
                  <c:v>1711</c:v>
                </c:pt>
                <c:pt idx="1417">
                  <c:v>1712</c:v>
                </c:pt>
                <c:pt idx="1418">
                  <c:v>1713</c:v>
                </c:pt>
                <c:pt idx="1419">
                  <c:v>1714</c:v>
                </c:pt>
                <c:pt idx="1420">
                  <c:v>1715</c:v>
                </c:pt>
                <c:pt idx="1421">
                  <c:v>1716</c:v>
                </c:pt>
                <c:pt idx="1422">
                  <c:v>1717</c:v>
                </c:pt>
                <c:pt idx="1423">
                  <c:v>1718</c:v>
                </c:pt>
                <c:pt idx="1424">
                  <c:v>1719</c:v>
                </c:pt>
                <c:pt idx="1425">
                  <c:v>1720</c:v>
                </c:pt>
                <c:pt idx="1426">
                  <c:v>1721</c:v>
                </c:pt>
                <c:pt idx="1427">
                  <c:v>1722</c:v>
                </c:pt>
                <c:pt idx="1428">
                  <c:v>1723</c:v>
                </c:pt>
                <c:pt idx="1429">
                  <c:v>1724</c:v>
                </c:pt>
                <c:pt idx="1430">
                  <c:v>1725</c:v>
                </c:pt>
                <c:pt idx="1431">
                  <c:v>1726</c:v>
                </c:pt>
                <c:pt idx="1432">
                  <c:v>1727</c:v>
                </c:pt>
                <c:pt idx="1433">
                  <c:v>1728</c:v>
                </c:pt>
                <c:pt idx="1434">
                  <c:v>1729</c:v>
                </c:pt>
                <c:pt idx="1435">
                  <c:v>1730</c:v>
                </c:pt>
                <c:pt idx="1436">
                  <c:v>1731</c:v>
                </c:pt>
                <c:pt idx="1437">
                  <c:v>1732</c:v>
                </c:pt>
                <c:pt idx="1438">
                  <c:v>1733</c:v>
                </c:pt>
                <c:pt idx="1439">
                  <c:v>1734</c:v>
                </c:pt>
                <c:pt idx="1440">
                  <c:v>1735</c:v>
                </c:pt>
                <c:pt idx="1441">
                  <c:v>1736</c:v>
                </c:pt>
                <c:pt idx="1442">
                  <c:v>1737</c:v>
                </c:pt>
                <c:pt idx="1443">
                  <c:v>1738</c:v>
                </c:pt>
                <c:pt idx="1444">
                  <c:v>1739</c:v>
                </c:pt>
                <c:pt idx="1445">
                  <c:v>1740</c:v>
                </c:pt>
                <c:pt idx="1446">
                  <c:v>1741</c:v>
                </c:pt>
                <c:pt idx="1447">
                  <c:v>1742</c:v>
                </c:pt>
                <c:pt idx="1448">
                  <c:v>1743</c:v>
                </c:pt>
                <c:pt idx="1449">
                  <c:v>1744</c:v>
                </c:pt>
                <c:pt idx="1450">
                  <c:v>1745</c:v>
                </c:pt>
                <c:pt idx="1451">
                  <c:v>1746</c:v>
                </c:pt>
                <c:pt idx="1452">
                  <c:v>1747</c:v>
                </c:pt>
                <c:pt idx="1453">
                  <c:v>1748</c:v>
                </c:pt>
                <c:pt idx="1454">
                  <c:v>1749</c:v>
                </c:pt>
                <c:pt idx="1455">
                  <c:v>1750</c:v>
                </c:pt>
                <c:pt idx="1456">
                  <c:v>1751</c:v>
                </c:pt>
                <c:pt idx="1457">
                  <c:v>1752</c:v>
                </c:pt>
                <c:pt idx="1458">
                  <c:v>1753</c:v>
                </c:pt>
                <c:pt idx="1459">
                  <c:v>1754</c:v>
                </c:pt>
                <c:pt idx="1460">
                  <c:v>1755</c:v>
                </c:pt>
                <c:pt idx="1461">
                  <c:v>1756</c:v>
                </c:pt>
                <c:pt idx="1462">
                  <c:v>1757</c:v>
                </c:pt>
                <c:pt idx="1463">
                  <c:v>1758</c:v>
                </c:pt>
                <c:pt idx="1464">
                  <c:v>1759</c:v>
                </c:pt>
                <c:pt idx="1465">
                  <c:v>1760</c:v>
                </c:pt>
                <c:pt idx="1466">
                  <c:v>1761</c:v>
                </c:pt>
                <c:pt idx="1467">
                  <c:v>1762</c:v>
                </c:pt>
                <c:pt idx="1468">
                  <c:v>1763</c:v>
                </c:pt>
                <c:pt idx="1469">
                  <c:v>1764</c:v>
                </c:pt>
                <c:pt idx="1470">
                  <c:v>1765</c:v>
                </c:pt>
                <c:pt idx="1471">
                  <c:v>1766</c:v>
                </c:pt>
                <c:pt idx="1472">
                  <c:v>1767</c:v>
                </c:pt>
                <c:pt idx="1473">
                  <c:v>1768</c:v>
                </c:pt>
                <c:pt idx="1474">
                  <c:v>1769</c:v>
                </c:pt>
                <c:pt idx="1475">
                  <c:v>1770</c:v>
                </c:pt>
                <c:pt idx="1476">
                  <c:v>1771</c:v>
                </c:pt>
                <c:pt idx="1477">
                  <c:v>1772</c:v>
                </c:pt>
                <c:pt idx="1478">
                  <c:v>1773</c:v>
                </c:pt>
                <c:pt idx="1479">
                  <c:v>1774</c:v>
                </c:pt>
                <c:pt idx="1480">
                  <c:v>1775</c:v>
                </c:pt>
                <c:pt idx="1481">
                  <c:v>1776</c:v>
                </c:pt>
                <c:pt idx="1482">
                  <c:v>1777</c:v>
                </c:pt>
                <c:pt idx="1483">
                  <c:v>1778</c:v>
                </c:pt>
                <c:pt idx="1484">
                  <c:v>1779</c:v>
                </c:pt>
                <c:pt idx="1485">
                  <c:v>1780</c:v>
                </c:pt>
                <c:pt idx="1486">
                  <c:v>1781</c:v>
                </c:pt>
                <c:pt idx="1487">
                  <c:v>1782</c:v>
                </c:pt>
                <c:pt idx="1488">
                  <c:v>1783</c:v>
                </c:pt>
                <c:pt idx="1489">
                  <c:v>1784</c:v>
                </c:pt>
                <c:pt idx="1490">
                  <c:v>1785</c:v>
                </c:pt>
                <c:pt idx="1491">
                  <c:v>1786</c:v>
                </c:pt>
                <c:pt idx="1492">
                  <c:v>1787</c:v>
                </c:pt>
                <c:pt idx="1493">
                  <c:v>1788</c:v>
                </c:pt>
                <c:pt idx="1494">
                  <c:v>1789</c:v>
                </c:pt>
                <c:pt idx="1495">
                  <c:v>1790</c:v>
                </c:pt>
                <c:pt idx="1496">
                  <c:v>1791</c:v>
                </c:pt>
                <c:pt idx="1497">
                  <c:v>1792</c:v>
                </c:pt>
                <c:pt idx="1498">
                  <c:v>1793</c:v>
                </c:pt>
                <c:pt idx="1499">
                  <c:v>1794</c:v>
                </c:pt>
                <c:pt idx="1500">
                  <c:v>1795</c:v>
                </c:pt>
                <c:pt idx="1501">
                  <c:v>1796</c:v>
                </c:pt>
                <c:pt idx="1502">
                  <c:v>1797</c:v>
                </c:pt>
                <c:pt idx="1503">
                  <c:v>1798</c:v>
                </c:pt>
                <c:pt idx="1504">
                  <c:v>1799</c:v>
                </c:pt>
                <c:pt idx="1505">
                  <c:v>1800</c:v>
                </c:pt>
                <c:pt idx="1506">
                  <c:v>1801</c:v>
                </c:pt>
                <c:pt idx="1507">
                  <c:v>1802</c:v>
                </c:pt>
                <c:pt idx="1508">
                  <c:v>1803</c:v>
                </c:pt>
                <c:pt idx="1509">
                  <c:v>1804</c:v>
                </c:pt>
                <c:pt idx="1510">
                  <c:v>1805</c:v>
                </c:pt>
                <c:pt idx="1511">
                  <c:v>1806</c:v>
                </c:pt>
                <c:pt idx="1512">
                  <c:v>1807</c:v>
                </c:pt>
                <c:pt idx="1513">
                  <c:v>1808</c:v>
                </c:pt>
                <c:pt idx="1514">
                  <c:v>1809</c:v>
                </c:pt>
                <c:pt idx="1515">
                  <c:v>1810</c:v>
                </c:pt>
                <c:pt idx="1516">
                  <c:v>1811</c:v>
                </c:pt>
                <c:pt idx="1517">
                  <c:v>1812</c:v>
                </c:pt>
                <c:pt idx="1518">
                  <c:v>1813</c:v>
                </c:pt>
                <c:pt idx="1519">
                  <c:v>1814</c:v>
                </c:pt>
                <c:pt idx="1520">
                  <c:v>1815</c:v>
                </c:pt>
                <c:pt idx="1521">
                  <c:v>1816</c:v>
                </c:pt>
                <c:pt idx="1522">
                  <c:v>1817</c:v>
                </c:pt>
                <c:pt idx="1523">
                  <c:v>1818</c:v>
                </c:pt>
                <c:pt idx="1524">
                  <c:v>1819</c:v>
                </c:pt>
                <c:pt idx="1525">
                  <c:v>1820</c:v>
                </c:pt>
                <c:pt idx="1526">
                  <c:v>1821</c:v>
                </c:pt>
                <c:pt idx="1527">
                  <c:v>1822</c:v>
                </c:pt>
                <c:pt idx="1528">
                  <c:v>1823</c:v>
                </c:pt>
                <c:pt idx="1529">
                  <c:v>1824</c:v>
                </c:pt>
                <c:pt idx="1530">
                  <c:v>1825</c:v>
                </c:pt>
                <c:pt idx="1531">
                  <c:v>1826</c:v>
                </c:pt>
                <c:pt idx="1532">
                  <c:v>1827</c:v>
                </c:pt>
                <c:pt idx="1533">
                  <c:v>1828</c:v>
                </c:pt>
                <c:pt idx="1534">
                  <c:v>1829</c:v>
                </c:pt>
                <c:pt idx="1535">
                  <c:v>1830</c:v>
                </c:pt>
                <c:pt idx="1536">
                  <c:v>1831</c:v>
                </c:pt>
              </c:numCache>
            </c:numRef>
          </c:cat>
          <c:val>
            <c:numRef>
              <c:f>Performance!$F$11:$F$1548</c:f>
              <c:numCache>
                <c:formatCode>General</c:formatCode>
                <c:ptCount val="1538"/>
                <c:pt idx="0">
                  <c:v>1.0631250000000001</c:v>
                </c:pt>
                <c:pt idx="1">
                  <c:v>1.0665</c:v>
                </c:pt>
                <c:pt idx="2">
                  <c:v>1.0698750000000001</c:v>
                </c:pt>
                <c:pt idx="3">
                  <c:v>1.07325</c:v>
                </c:pt>
                <c:pt idx="4">
                  <c:v>1.0766249999999999</c:v>
                </c:pt>
                <c:pt idx="5">
                  <c:v>1.08</c:v>
                </c:pt>
                <c:pt idx="6">
                  <c:v>1.0833750000000002</c:v>
                </c:pt>
                <c:pt idx="7">
                  <c:v>1.0867500000000001</c:v>
                </c:pt>
                <c:pt idx="8">
                  <c:v>1.090125</c:v>
                </c:pt>
                <c:pt idx="9">
                  <c:v>1.0935000000000001</c:v>
                </c:pt>
                <c:pt idx="10">
                  <c:v>1.096875</c:v>
                </c:pt>
                <c:pt idx="11">
                  <c:v>1.10025</c:v>
                </c:pt>
                <c:pt idx="12">
                  <c:v>1.1036250000000001</c:v>
                </c:pt>
                <c:pt idx="13">
                  <c:v>1.1070000000000002</c:v>
                </c:pt>
                <c:pt idx="14">
                  <c:v>1.1103750000000001</c:v>
                </c:pt>
                <c:pt idx="15">
                  <c:v>1.11375</c:v>
                </c:pt>
                <c:pt idx="16">
                  <c:v>1.1171250000000001</c:v>
                </c:pt>
                <c:pt idx="17">
                  <c:v>1.1205000000000001</c:v>
                </c:pt>
                <c:pt idx="18">
                  <c:v>1.123875</c:v>
                </c:pt>
                <c:pt idx="19">
                  <c:v>1.1272500000000001</c:v>
                </c:pt>
                <c:pt idx="20">
                  <c:v>1.1306250000000002</c:v>
                </c:pt>
                <c:pt idx="21">
                  <c:v>1.1340000000000001</c:v>
                </c:pt>
                <c:pt idx="22">
                  <c:v>1.1373750000000002</c:v>
                </c:pt>
                <c:pt idx="23">
                  <c:v>1.1407499999999999</c:v>
                </c:pt>
                <c:pt idx="24">
                  <c:v>1.1441250000000001</c:v>
                </c:pt>
                <c:pt idx="25">
                  <c:v>1.1475</c:v>
                </c:pt>
                <c:pt idx="26">
                  <c:v>1.1508750000000001</c:v>
                </c:pt>
                <c:pt idx="27">
                  <c:v>1.1542500000000002</c:v>
                </c:pt>
                <c:pt idx="28">
                  <c:v>1.1576250000000001</c:v>
                </c:pt>
                <c:pt idx="29">
                  <c:v>1.161</c:v>
                </c:pt>
                <c:pt idx="30">
                  <c:v>1.1643749999999999</c:v>
                </c:pt>
                <c:pt idx="31">
                  <c:v>1.1677500000000001</c:v>
                </c:pt>
                <c:pt idx="32">
                  <c:v>1.171125</c:v>
                </c:pt>
                <c:pt idx="33">
                  <c:v>1.1745000000000001</c:v>
                </c:pt>
                <c:pt idx="34">
                  <c:v>1.1778750000000002</c:v>
                </c:pt>
                <c:pt idx="35">
                  <c:v>1.1812500000000001</c:v>
                </c:pt>
                <c:pt idx="36">
                  <c:v>1.184625</c:v>
                </c:pt>
                <c:pt idx="37">
                  <c:v>1.1879999999999999</c:v>
                </c:pt>
                <c:pt idx="38">
                  <c:v>1.1913750000000001</c:v>
                </c:pt>
                <c:pt idx="39">
                  <c:v>1.19475</c:v>
                </c:pt>
                <c:pt idx="40">
                  <c:v>1.1981250000000001</c:v>
                </c:pt>
                <c:pt idx="41">
                  <c:v>1.2015</c:v>
                </c:pt>
                <c:pt idx="42">
                  <c:v>1.2048750000000001</c:v>
                </c:pt>
                <c:pt idx="43">
                  <c:v>1.20825</c:v>
                </c:pt>
                <c:pt idx="44">
                  <c:v>1.211625</c:v>
                </c:pt>
                <c:pt idx="45">
                  <c:v>1.2150000000000001</c:v>
                </c:pt>
                <c:pt idx="46">
                  <c:v>1.218375</c:v>
                </c:pt>
                <c:pt idx="47">
                  <c:v>1.2217500000000001</c:v>
                </c:pt>
                <c:pt idx="48">
                  <c:v>1.225125</c:v>
                </c:pt>
                <c:pt idx="49">
                  <c:v>1.2284999999999999</c:v>
                </c:pt>
                <c:pt idx="50">
                  <c:v>1.2318750000000001</c:v>
                </c:pt>
                <c:pt idx="51">
                  <c:v>1.23525</c:v>
                </c:pt>
                <c:pt idx="52">
                  <c:v>1.2386249999999999</c:v>
                </c:pt>
                <c:pt idx="53">
                  <c:v>1.2420000000000002</c:v>
                </c:pt>
                <c:pt idx="54">
                  <c:v>1.2453750000000001</c:v>
                </c:pt>
                <c:pt idx="55">
                  <c:v>1.24875</c:v>
                </c:pt>
                <c:pt idx="56">
                  <c:v>1.2521250000000002</c:v>
                </c:pt>
                <c:pt idx="57">
                  <c:v>1.2555000000000001</c:v>
                </c:pt>
                <c:pt idx="58">
                  <c:v>1.258875</c:v>
                </c:pt>
                <c:pt idx="59">
                  <c:v>1.2622500000000001</c:v>
                </c:pt>
                <c:pt idx="60">
                  <c:v>1.265625</c:v>
                </c:pt>
                <c:pt idx="61">
                  <c:v>1.2690000000000001</c:v>
                </c:pt>
                <c:pt idx="62">
                  <c:v>1.272375</c:v>
                </c:pt>
                <c:pt idx="63">
                  <c:v>1.2757500000000002</c:v>
                </c:pt>
                <c:pt idx="64">
                  <c:v>1.2791250000000001</c:v>
                </c:pt>
                <c:pt idx="65">
                  <c:v>1.2825000000000002</c:v>
                </c:pt>
                <c:pt idx="66">
                  <c:v>1.2858750000000001</c:v>
                </c:pt>
                <c:pt idx="67">
                  <c:v>1.28925</c:v>
                </c:pt>
                <c:pt idx="68">
                  <c:v>1.2926249999999999</c:v>
                </c:pt>
                <c:pt idx="69">
                  <c:v>1.296</c:v>
                </c:pt>
                <c:pt idx="70">
                  <c:v>1.2993750000000002</c:v>
                </c:pt>
                <c:pt idx="71">
                  <c:v>1.3027500000000003</c:v>
                </c:pt>
                <c:pt idx="72">
                  <c:v>1.3061250000000002</c:v>
                </c:pt>
                <c:pt idx="73">
                  <c:v>1.3095000000000003</c:v>
                </c:pt>
                <c:pt idx="74">
                  <c:v>1.3128750000000002</c:v>
                </c:pt>
                <c:pt idx="75">
                  <c:v>1.3162500000000001</c:v>
                </c:pt>
                <c:pt idx="76">
                  <c:v>1.319625</c:v>
                </c:pt>
                <c:pt idx="77">
                  <c:v>1.323</c:v>
                </c:pt>
                <c:pt idx="78">
                  <c:v>1.3263750000000001</c:v>
                </c:pt>
                <c:pt idx="79">
                  <c:v>1.3297500000000002</c:v>
                </c:pt>
                <c:pt idx="80">
                  <c:v>1.3331249999999999</c:v>
                </c:pt>
                <c:pt idx="81">
                  <c:v>1.3365</c:v>
                </c:pt>
                <c:pt idx="82">
                  <c:v>1.3398750000000001</c:v>
                </c:pt>
                <c:pt idx="83">
                  <c:v>1.3432500000000003</c:v>
                </c:pt>
                <c:pt idx="84">
                  <c:v>1.3466250000000002</c:v>
                </c:pt>
                <c:pt idx="85">
                  <c:v>1.35</c:v>
                </c:pt>
                <c:pt idx="86">
                  <c:v>1.353375</c:v>
                </c:pt>
                <c:pt idx="87">
                  <c:v>1.3567500000000001</c:v>
                </c:pt>
                <c:pt idx="88">
                  <c:v>1.360125</c:v>
                </c:pt>
                <c:pt idx="89">
                  <c:v>1.3635000000000002</c:v>
                </c:pt>
                <c:pt idx="90">
                  <c:v>1.3668750000000001</c:v>
                </c:pt>
                <c:pt idx="91">
                  <c:v>1.37025</c:v>
                </c:pt>
                <c:pt idx="92">
                  <c:v>1.3736250000000001</c:v>
                </c:pt>
                <c:pt idx="93">
                  <c:v>1.3770000000000002</c:v>
                </c:pt>
                <c:pt idx="94">
                  <c:v>1.3803750000000001</c:v>
                </c:pt>
                <c:pt idx="95">
                  <c:v>1.38375</c:v>
                </c:pt>
                <c:pt idx="96">
                  <c:v>1.3871249999999999</c:v>
                </c:pt>
                <c:pt idx="97">
                  <c:v>1.3905000000000001</c:v>
                </c:pt>
                <c:pt idx="98">
                  <c:v>1.393875</c:v>
                </c:pt>
                <c:pt idx="99">
                  <c:v>1.3972500000000001</c:v>
                </c:pt>
                <c:pt idx="100">
                  <c:v>1.400625</c:v>
                </c:pt>
                <c:pt idx="101">
                  <c:v>1.4040000000000001</c:v>
                </c:pt>
                <c:pt idx="102">
                  <c:v>1.407375</c:v>
                </c:pt>
                <c:pt idx="103">
                  <c:v>1.4107500000000002</c:v>
                </c:pt>
                <c:pt idx="104">
                  <c:v>1.4141250000000001</c:v>
                </c:pt>
                <c:pt idx="105">
                  <c:v>1.4175000000000002</c:v>
                </c:pt>
                <c:pt idx="106">
                  <c:v>1.4208750000000001</c:v>
                </c:pt>
                <c:pt idx="107">
                  <c:v>1.42425</c:v>
                </c:pt>
                <c:pt idx="108">
                  <c:v>1.4276250000000001</c:v>
                </c:pt>
                <c:pt idx="109">
                  <c:v>1.431</c:v>
                </c:pt>
                <c:pt idx="110">
                  <c:v>1.4343750000000002</c:v>
                </c:pt>
                <c:pt idx="111">
                  <c:v>1.4377500000000001</c:v>
                </c:pt>
                <c:pt idx="112">
                  <c:v>1.441125</c:v>
                </c:pt>
                <c:pt idx="113">
                  <c:v>1.4445000000000001</c:v>
                </c:pt>
                <c:pt idx="114">
                  <c:v>1.4478750000000002</c:v>
                </c:pt>
                <c:pt idx="115">
                  <c:v>1.4512500000000002</c:v>
                </c:pt>
                <c:pt idx="116">
                  <c:v>1.4546250000000001</c:v>
                </c:pt>
                <c:pt idx="117">
                  <c:v>1.4580000000000002</c:v>
                </c:pt>
                <c:pt idx="118">
                  <c:v>1.4613750000000001</c:v>
                </c:pt>
                <c:pt idx="119">
                  <c:v>1.46475</c:v>
                </c:pt>
                <c:pt idx="120">
                  <c:v>1.4681250000000001</c:v>
                </c:pt>
                <c:pt idx="121">
                  <c:v>1.4715</c:v>
                </c:pt>
                <c:pt idx="122">
                  <c:v>1.4748749999999999</c:v>
                </c:pt>
                <c:pt idx="123">
                  <c:v>1.4782500000000003</c:v>
                </c:pt>
                <c:pt idx="124">
                  <c:v>1.4816250000000002</c:v>
                </c:pt>
                <c:pt idx="125">
                  <c:v>1.4850000000000001</c:v>
                </c:pt>
                <c:pt idx="126">
                  <c:v>1.488375</c:v>
                </c:pt>
                <c:pt idx="127">
                  <c:v>1.4917500000000001</c:v>
                </c:pt>
                <c:pt idx="128">
                  <c:v>1.495125</c:v>
                </c:pt>
                <c:pt idx="129">
                  <c:v>1.4985000000000002</c:v>
                </c:pt>
                <c:pt idx="130">
                  <c:v>1.5018750000000001</c:v>
                </c:pt>
                <c:pt idx="131">
                  <c:v>1.50525</c:v>
                </c:pt>
                <c:pt idx="132">
                  <c:v>1.5086250000000001</c:v>
                </c:pt>
                <c:pt idx="133">
                  <c:v>1.512</c:v>
                </c:pt>
                <c:pt idx="134">
                  <c:v>1.5153749999999999</c:v>
                </c:pt>
                <c:pt idx="135">
                  <c:v>1.5187500000000003</c:v>
                </c:pt>
                <c:pt idx="136">
                  <c:v>1.522125</c:v>
                </c:pt>
                <c:pt idx="137">
                  <c:v>1.5255000000000001</c:v>
                </c:pt>
                <c:pt idx="138">
                  <c:v>1.5288750000000002</c:v>
                </c:pt>
                <c:pt idx="139">
                  <c:v>1.5322500000000001</c:v>
                </c:pt>
                <c:pt idx="140">
                  <c:v>1.535625</c:v>
                </c:pt>
                <c:pt idx="141">
                  <c:v>1.5390000000000001</c:v>
                </c:pt>
                <c:pt idx="142">
                  <c:v>1.5423750000000001</c:v>
                </c:pt>
                <c:pt idx="143">
                  <c:v>1.54575</c:v>
                </c:pt>
                <c:pt idx="144">
                  <c:v>1.5491250000000001</c:v>
                </c:pt>
                <c:pt idx="145">
                  <c:v>1.5525000000000002</c:v>
                </c:pt>
                <c:pt idx="146">
                  <c:v>1.5558750000000001</c:v>
                </c:pt>
                <c:pt idx="147">
                  <c:v>1.55925</c:v>
                </c:pt>
                <c:pt idx="148">
                  <c:v>1.5626250000000002</c:v>
                </c:pt>
                <c:pt idx="149">
                  <c:v>1.5660000000000003</c:v>
                </c:pt>
                <c:pt idx="150">
                  <c:v>1.5693750000000002</c:v>
                </c:pt>
                <c:pt idx="151">
                  <c:v>1.5727500000000001</c:v>
                </c:pt>
                <c:pt idx="152">
                  <c:v>1.576125</c:v>
                </c:pt>
                <c:pt idx="153">
                  <c:v>1.5795000000000001</c:v>
                </c:pt>
                <c:pt idx="154">
                  <c:v>1.5828750000000003</c:v>
                </c:pt>
                <c:pt idx="155">
                  <c:v>1.5862500000000002</c:v>
                </c:pt>
                <c:pt idx="156">
                  <c:v>1.5896250000000001</c:v>
                </c:pt>
                <c:pt idx="157">
                  <c:v>1.5930000000000002</c:v>
                </c:pt>
                <c:pt idx="158">
                  <c:v>1.5963750000000001</c:v>
                </c:pt>
                <c:pt idx="159">
                  <c:v>1.59975</c:v>
                </c:pt>
                <c:pt idx="160">
                  <c:v>1.6031250000000001</c:v>
                </c:pt>
                <c:pt idx="161">
                  <c:v>1.6065</c:v>
                </c:pt>
                <c:pt idx="162">
                  <c:v>1.6098750000000002</c:v>
                </c:pt>
                <c:pt idx="163">
                  <c:v>1.6132500000000001</c:v>
                </c:pt>
                <c:pt idx="164">
                  <c:v>1.6166250000000002</c:v>
                </c:pt>
                <c:pt idx="165">
                  <c:v>1.62</c:v>
                </c:pt>
                <c:pt idx="166">
                  <c:v>1.623375</c:v>
                </c:pt>
                <c:pt idx="167">
                  <c:v>1.6267499999999999</c:v>
                </c:pt>
                <c:pt idx="168">
                  <c:v>1.630125</c:v>
                </c:pt>
                <c:pt idx="169">
                  <c:v>1.6335</c:v>
                </c:pt>
                <c:pt idx="170">
                  <c:v>1.6368750000000003</c:v>
                </c:pt>
                <c:pt idx="171">
                  <c:v>1.64025</c:v>
                </c:pt>
                <c:pt idx="172">
                  <c:v>1.6436250000000001</c:v>
                </c:pt>
                <c:pt idx="173">
                  <c:v>1.647</c:v>
                </c:pt>
                <c:pt idx="174">
                  <c:v>1.6503750000000001</c:v>
                </c:pt>
                <c:pt idx="175">
                  <c:v>1.6537500000000001</c:v>
                </c:pt>
                <c:pt idx="176">
                  <c:v>1.657125</c:v>
                </c:pt>
                <c:pt idx="177">
                  <c:v>1.6605000000000001</c:v>
                </c:pt>
                <c:pt idx="178">
                  <c:v>1.6638750000000002</c:v>
                </c:pt>
                <c:pt idx="179">
                  <c:v>1.6672500000000001</c:v>
                </c:pt>
                <c:pt idx="180">
                  <c:v>1.6706250000000002</c:v>
                </c:pt>
                <c:pt idx="181">
                  <c:v>1.6740000000000002</c:v>
                </c:pt>
                <c:pt idx="182">
                  <c:v>1.6773750000000001</c:v>
                </c:pt>
                <c:pt idx="183">
                  <c:v>1.6807500000000002</c:v>
                </c:pt>
                <c:pt idx="184">
                  <c:v>1.6841250000000001</c:v>
                </c:pt>
                <c:pt idx="185">
                  <c:v>1.6875</c:v>
                </c:pt>
                <c:pt idx="186">
                  <c:v>1.6908750000000001</c:v>
                </c:pt>
                <c:pt idx="187">
                  <c:v>1.6942500000000003</c:v>
                </c:pt>
                <c:pt idx="188">
                  <c:v>1.6976249999999999</c:v>
                </c:pt>
                <c:pt idx="189">
                  <c:v>1.7010000000000003</c:v>
                </c:pt>
                <c:pt idx="190">
                  <c:v>1.704375</c:v>
                </c:pt>
                <c:pt idx="191">
                  <c:v>1.7077500000000001</c:v>
                </c:pt>
                <c:pt idx="192">
                  <c:v>1.711125</c:v>
                </c:pt>
                <c:pt idx="193">
                  <c:v>1.7144999999999999</c:v>
                </c:pt>
                <c:pt idx="194">
                  <c:v>1.7178750000000003</c:v>
                </c:pt>
                <c:pt idx="195">
                  <c:v>1.7212500000000002</c:v>
                </c:pt>
                <c:pt idx="196">
                  <c:v>1.14975</c:v>
                </c:pt>
                <c:pt idx="197">
                  <c:v>1.1520000000000001</c:v>
                </c:pt>
                <c:pt idx="198">
                  <c:v>1.15425</c:v>
                </c:pt>
                <c:pt idx="199">
                  <c:v>1.1565000000000001</c:v>
                </c:pt>
                <c:pt idx="200">
                  <c:v>1.1587499999999999</c:v>
                </c:pt>
                <c:pt idx="201">
                  <c:v>1.161</c:v>
                </c:pt>
                <c:pt idx="202">
                  <c:v>1.1632500000000001</c:v>
                </c:pt>
                <c:pt idx="203">
                  <c:v>1.1655</c:v>
                </c:pt>
                <c:pt idx="204">
                  <c:v>1.1677500000000001</c:v>
                </c:pt>
                <c:pt idx="205">
                  <c:v>1.17</c:v>
                </c:pt>
                <c:pt idx="206">
                  <c:v>1.17225</c:v>
                </c:pt>
                <c:pt idx="207">
                  <c:v>1.1745000000000001</c:v>
                </c:pt>
                <c:pt idx="208">
                  <c:v>1.17675</c:v>
                </c:pt>
                <c:pt idx="209">
                  <c:v>1.179</c:v>
                </c:pt>
                <c:pt idx="210">
                  <c:v>1.1812500000000001</c:v>
                </c:pt>
                <c:pt idx="211">
                  <c:v>1.1835</c:v>
                </c:pt>
                <c:pt idx="212">
                  <c:v>1.1857500000000001</c:v>
                </c:pt>
                <c:pt idx="213">
                  <c:v>1.1879999999999999</c:v>
                </c:pt>
                <c:pt idx="214">
                  <c:v>1.19025</c:v>
                </c:pt>
                <c:pt idx="215">
                  <c:v>1.1924999999999999</c:v>
                </c:pt>
                <c:pt idx="216">
                  <c:v>1.19475</c:v>
                </c:pt>
                <c:pt idx="217">
                  <c:v>1.1970000000000001</c:v>
                </c:pt>
                <c:pt idx="218">
                  <c:v>1.1992500000000001</c:v>
                </c:pt>
                <c:pt idx="219">
                  <c:v>1.2015</c:v>
                </c:pt>
                <c:pt idx="220">
                  <c:v>1.2037500000000001</c:v>
                </c:pt>
                <c:pt idx="221">
                  <c:v>1.206</c:v>
                </c:pt>
                <c:pt idx="222">
                  <c:v>1.20825</c:v>
                </c:pt>
                <c:pt idx="223">
                  <c:v>1.2105000000000001</c:v>
                </c:pt>
                <c:pt idx="224">
                  <c:v>1.2127500000000002</c:v>
                </c:pt>
                <c:pt idx="225">
                  <c:v>1.2150000000000001</c:v>
                </c:pt>
                <c:pt idx="226">
                  <c:v>1.2172499999999999</c:v>
                </c:pt>
                <c:pt idx="227">
                  <c:v>1.2195</c:v>
                </c:pt>
                <c:pt idx="228">
                  <c:v>1.2217500000000001</c:v>
                </c:pt>
                <c:pt idx="229">
                  <c:v>1.224</c:v>
                </c:pt>
                <c:pt idx="230">
                  <c:v>1.2262500000000001</c:v>
                </c:pt>
                <c:pt idx="231">
                  <c:v>1.2285000000000001</c:v>
                </c:pt>
                <c:pt idx="232">
                  <c:v>1.23075</c:v>
                </c:pt>
                <c:pt idx="233">
                  <c:v>1.2330000000000001</c:v>
                </c:pt>
                <c:pt idx="234">
                  <c:v>1.2352500000000002</c:v>
                </c:pt>
                <c:pt idx="235">
                  <c:v>1.2375</c:v>
                </c:pt>
                <c:pt idx="236">
                  <c:v>1.2397499999999999</c:v>
                </c:pt>
                <c:pt idx="237">
                  <c:v>1.242</c:v>
                </c:pt>
                <c:pt idx="238">
                  <c:v>1.2442500000000001</c:v>
                </c:pt>
                <c:pt idx="239">
                  <c:v>1.2464999999999999</c:v>
                </c:pt>
                <c:pt idx="240">
                  <c:v>1.24875</c:v>
                </c:pt>
                <c:pt idx="241">
                  <c:v>1.2510000000000001</c:v>
                </c:pt>
                <c:pt idx="242">
                  <c:v>1.25325</c:v>
                </c:pt>
                <c:pt idx="243">
                  <c:v>1.2555000000000001</c:v>
                </c:pt>
                <c:pt idx="244">
                  <c:v>1.2577499999999999</c:v>
                </c:pt>
                <c:pt idx="245">
                  <c:v>1.26</c:v>
                </c:pt>
                <c:pt idx="246">
                  <c:v>1.2622500000000001</c:v>
                </c:pt>
                <c:pt idx="247">
                  <c:v>1.2645</c:v>
                </c:pt>
                <c:pt idx="248">
                  <c:v>1.26675</c:v>
                </c:pt>
                <c:pt idx="249">
                  <c:v>1.2689999999999999</c:v>
                </c:pt>
                <c:pt idx="250">
                  <c:v>1.27125</c:v>
                </c:pt>
                <c:pt idx="251">
                  <c:v>1.2735000000000001</c:v>
                </c:pt>
                <c:pt idx="252">
                  <c:v>1.2757500000000002</c:v>
                </c:pt>
                <c:pt idx="253">
                  <c:v>1.278</c:v>
                </c:pt>
                <c:pt idx="254">
                  <c:v>1.2802499999999999</c:v>
                </c:pt>
                <c:pt idx="255">
                  <c:v>1.2825000000000002</c:v>
                </c:pt>
                <c:pt idx="256">
                  <c:v>1.2847500000000001</c:v>
                </c:pt>
                <c:pt idx="257">
                  <c:v>1.2870000000000001</c:v>
                </c:pt>
                <c:pt idx="258">
                  <c:v>1.28925</c:v>
                </c:pt>
                <c:pt idx="259">
                  <c:v>1.2914999999999999</c:v>
                </c:pt>
                <c:pt idx="260">
                  <c:v>1.2937500000000002</c:v>
                </c:pt>
                <c:pt idx="261">
                  <c:v>1.296</c:v>
                </c:pt>
                <c:pt idx="262">
                  <c:v>1.2982499999999999</c:v>
                </c:pt>
                <c:pt idx="263">
                  <c:v>1.3005000000000002</c:v>
                </c:pt>
                <c:pt idx="264">
                  <c:v>1.3027500000000001</c:v>
                </c:pt>
                <c:pt idx="265">
                  <c:v>1.3049999999999999</c:v>
                </c:pt>
                <c:pt idx="266">
                  <c:v>1.30725</c:v>
                </c:pt>
                <c:pt idx="267">
                  <c:v>1.3095000000000001</c:v>
                </c:pt>
                <c:pt idx="268">
                  <c:v>1.3117500000000002</c:v>
                </c:pt>
                <c:pt idx="269">
                  <c:v>1.3140000000000001</c:v>
                </c:pt>
                <c:pt idx="270">
                  <c:v>1.3162499999999999</c:v>
                </c:pt>
                <c:pt idx="271">
                  <c:v>1.3185</c:v>
                </c:pt>
                <c:pt idx="272">
                  <c:v>1.3207500000000001</c:v>
                </c:pt>
                <c:pt idx="273">
                  <c:v>1.3230000000000002</c:v>
                </c:pt>
                <c:pt idx="274">
                  <c:v>1.32525</c:v>
                </c:pt>
                <c:pt idx="275">
                  <c:v>1.3275000000000001</c:v>
                </c:pt>
                <c:pt idx="276">
                  <c:v>1.32975</c:v>
                </c:pt>
                <c:pt idx="277">
                  <c:v>1.3320000000000001</c:v>
                </c:pt>
                <c:pt idx="278">
                  <c:v>1.3342499999999999</c:v>
                </c:pt>
                <c:pt idx="279">
                  <c:v>1.3365</c:v>
                </c:pt>
                <c:pt idx="280">
                  <c:v>1.3387499999999999</c:v>
                </c:pt>
                <c:pt idx="281">
                  <c:v>1.341</c:v>
                </c:pt>
                <c:pt idx="282">
                  <c:v>1.3432499999999998</c:v>
                </c:pt>
                <c:pt idx="283">
                  <c:v>1.3455000000000001</c:v>
                </c:pt>
                <c:pt idx="284">
                  <c:v>1.34775</c:v>
                </c:pt>
                <c:pt idx="285">
                  <c:v>1.35</c:v>
                </c:pt>
                <c:pt idx="286">
                  <c:v>1.3522500000000002</c:v>
                </c:pt>
                <c:pt idx="287">
                  <c:v>1.3545</c:v>
                </c:pt>
                <c:pt idx="288">
                  <c:v>1.3567500000000001</c:v>
                </c:pt>
                <c:pt idx="289">
                  <c:v>1.359</c:v>
                </c:pt>
                <c:pt idx="290">
                  <c:v>1.3612500000000001</c:v>
                </c:pt>
                <c:pt idx="291">
                  <c:v>1.3635000000000002</c:v>
                </c:pt>
                <c:pt idx="292">
                  <c:v>1.3657500000000002</c:v>
                </c:pt>
                <c:pt idx="293">
                  <c:v>1.3679999999999999</c:v>
                </c:pt>
                <c:pt idx="294">
                  <c:v>1.3702500000000002</c:v>
                </c:pt>
                <c:pt idx="295">
                  <c:v>1.3725000000000001</c:v>
                </c:pt>
                <c:pt idx="296">
                  <c:v>1.3747499999999999</c:v>
                </c:pt>
                <c:pt idx="297">
                  <c:v>1.377</c:v>
                </c:pt>
                <c:pt idx="298">
                  <c:v>1.3792500000000001</c:v>
                </c:pt>
                <c:pt idx="299">
                  <c:v>1.3815000000000002</c:v>
                </c:pt>
                <c:pt idx="300">
                  <c:v>1.38375</c:v>
                </c:pt>
                <c:pt idx="301">
                  <c:v>1.3860000000000001</c:v>
                </c:pt>
                <c:pt idx="302">
                  <c:v>1.38825</c:v>
                </c:pt>
                <c:pt idx="303">
                  <c:v>1.3905000000000001</c:v>
                </c:pt>
                <c:pt idx="304">
                  <c:v>1.3927499999999999</c:v>
                </c:pt>
                <c:pt idx="305">
                  <c:v>1.395</c:v>
                </c:pt>
                <c:pt idx="306">
                  <c:v>1.3972500000000001</c:v>
                </c:pt>
                <c:pt idx="307">
                  <c:v>1.3995</c:v>
                </c:pt>
                <c:pt idx="308">
                  <c:v>1.4017500000000001</c:v>
                </c:pt>
                <c:pt idx="309">
                  <c:v>1.4039999999999999</c:v>
                </c:pt>
                <c:pt idx="310">
                  <c:v>1.40625</c:v>
                </c:pt>
                <c:pt idx="311">
                  <c:v>1.4085000000000001</c:v>
                </c:pt>
                <c:pt idx="312">
                  <c:v>1.4107499999999999</c:v>
                </c:pt>
                <c:pt idx="313">
                  <c:v>1.413</c:v>
                </c:pt>
                <c:pt idx="314">
                  <c:v>1.4152500000000001</c:v>
                </c:pt>
                <c:pt idx="315">
                  <c:v>1.4175000000000002</c:v>
                </c:pt>
                <c:pt idx="316">
                  <c:v>1.4197500000000001</c:v>
                </c:pt>
                <c:pt idx="317">
                  <c:v>1.4219999999999999</c:v>
                </c:pt>
                <c:pt idx="318">
                  <c:v>1.42425</c:v>
                </c:pt>
                <c:pt idx="319">
                  <c:v>1.4265000000000001</c:v>
                </c:pt>
                <c:pt idx="320">
                  <c:v>1.42875</c:v>
                </c:pt>
                <c:pt idx="321">
                  <c:v>1.431</c:v>
                </c:pt>
                <c:pt idx="322">
                  <c:v>1.4332499999999999</c:v>
                </c:pt>
                <c:pt idx="323">
                  <c:v>1.4355</c:v>
                </c:pt>
                <c:pt idx="324">
                  <c:v>1.4377499999999999</c:v>
                </c:pt>
                <c:pt idx="325">
                  <c:v>1.44</c:v>
                </c:pt>
                <c:pt idx="326">
                  <c:v>1.44225</c:v>
                </c:pt>
                <c:pt idx="327">
                  <c:v>1.4445000000000001</c:v>
                </c:pt>
                <c:pt idx="328">
                  <c:v>1.44675</c:v>
                </c:pt>
                <c:pt idx="329">
                  <c:v>1.4490000000000001</c:v>
                </c:pt>
                <c:pt idx="330">
                  <c:v>1.4512500000000002</c:v>
                </c:pt>
                <c:pt idx="331">
                  <c:v>1.4535</c:v>
                </c:pt>
                <c:pt idx="332">
                  <c:v>1.4557500000000001</c:v>
                </c:pt>
                <c:pt idx="333">
                  <c:v>1.4580000000000002</c:v>
                </c:pt>
                <c:pt idx="334">
                  <c:v>1.46025</c:v>
                </c:pt>
                <c:pt idx="335">
                  <c:v>1.4624999999999999</c:v>
                </c:pt>
                <c:pt idx="336">
                  <c:v>1.46475</c:v>
                </c:pt>
                <c:pt idx="337">
                  <c:v>1.4670000000000001</c:v>
                </c:pt>
                <c:pt idx="338">
                  <c:v>1.4692500000000002</c:v>
                </c:pt>
                <c:pt idx="339">
                  <c:v>1.4715</c:v>
                </c:pt>
                <c:pt idx="340">
                  <c:v>1.4737499999999999</c:v>
                </c:pt>
                <c:pt idx="341">
                  <c:v>1.476</c:v>
                </c:pt>
                <c:pt idx="342">
                  <c:v>1.4782500000000001</c:v>
                </c:pt>
                <c:pt idx="343">
                  <c:v>1.4805000000000001</c:v>
                </c:pt>
                <c:pt idx="344">
                  <c:v>1.48275</c:v>
                </c:pt>
                <c:pt idx="345">
                  <c:v>1.4850000000000001</c:v>
                </c:pt>
                <c:pt idx="346">
                  <c:v>1.48725</c:v>
                </c:pt>
                <c:pt idx="347">
                  <c:v>1.4895</c:v>
                </c:pt>
                <c:pt idx="348">
                  <c:v>1.4917500000000001</c:v>
                </c:pt>
                <c:pt idx="349">
                  <c:v>1.494</c:v>
                </c:pt>
                <c:pt idx="350">
                  <c:v>1.4962500000000001</c:v>
                </c:pt>
                <c:pt idx="351">
                  <c:v>1.4984999999999999</c:v>
                </c:pt>
                <c:pt idx="352">
                  <c:v>1.50075</c:v>
                </c:pt>
                <c:pt idx="353">
                  <c:v>1.5030000000000001</c:v>
                </c:pt>
                <c:pt idx="354">
                  <c:v>1.50525</c:v>
                </c:pt>
                <c:pt idx="355">
                  <c:v>1.5075000000000001</c:v>
                </c:pt>
                <c:pt idx="356">
                  <c:v>1.5097500000000001</c:v>
                </c:pt>
                <c:pt idx="357">
                  <c:v>1.512</c:v>
                </c:pt>
                <c:pt idx="358">
                  <c:v>1.5142500000000001</c:v>
                </c:pt>
                <c:pt idx="359">
                  <c:v>1.5165000000000002</c:v>
                </c:pt>
                <c:pt idx="360">
                  <c:v>1.51875</c:v>
                </c:pt>
                <c:pt idx="361">
                  <c:v>1.5209999999999999</c:v>
                </c:pt>
                <c:pt idx="362">
                  <c:v>1.52325</c:v>
                </c:pt>
                <c:pt idx="363">
                  <c:v>1.5255000000000001</c:v>
                </c:pt>
                <c:pt idx="364">
                  <c:v>1.5277499999999999</c:v>
                </c:pt>
                <c:pt idx="365">
                  <c:v>1.53</c:v>
                </c:pt>
                <c:pt idx="366">
                  <c:v>1.5322500000000001</c:v>
                </c:pt>
                <c:pt idx="367">
                  <c:v>1.5345</c:v>
                </c:pt>
                <c:pt idx="368">
                  <c:v>1.5367500000000001</c:v>
                </c:pt>
                <c:pt idx="369">
                  <c:v>1.5390000000000001</c:v>
                </c:pt>
                <c:pt idx="370">
                  <c:v>1.5412500000000002</c:v>
                </c:pt>
                <c:pt idx="371">
                  <c:v>1.5434999999999999</c:v>
                </c:pt>
                <c:pt idx="372">
                  <c:v>1.5457500000000002</c:v>
                </c:pt>
                <c:pt idx="373">
                  <c:v>1.548</c:v>
                </c:pt>
                <c:pt idx="374">
                  <c:v>1.5502500000000001</c:v>
                </c:pt>
                <c:pt idx="375">
                  <c:v>1.5525</c:v>
                </c:pt>
                <c:pt idx="376">
                  <c:v>1.5547500000000001</c:v>
                </c:pt>
                <c:pt idx="377">
                  <c:v>1.5569999999999999</c:v>
                </c:pt>
                <c:pt idx="378">
                  <c:v>1.5592500000000002</c:v>
                </c:pt>
                <c:pt idx="379">
                  <c:v>1.5615000000000001</c:v>
                </c:pt>
                <c:pt idx="380">
                  <c:v>1.5637500000000002</c:v>
                </c:pt>
                <c:pt idx="381">
                  <c:v>1.5660000000000001</c:v>
                </c:pt>
                <c:pt idx="382">
                  <c:v>1.5682500000000001</c:v>
                </c:pt>
                <c:pt idx="383">
                  <c:v>1.5705000000000002</c:v>
                </c:pt>
                <c:pt idx="384">
                  <c:v>1.5727499999999999</c:v>
                </c:pt>
                <c:pt idx="385">
                  <c:v>1.5750000000000002</c:v>
                </c:pt>
                <c:pt idx="386">
                  <c:v>1.57725</c:v>
                </c:pt>
                <c:pt idx="387">
                  <c:v>1.5794999999999999</c:v>
                </c:pt>
                <c:pt idx="388">
                  <c:v>1.58175</c:v>
                </c:pt>
                <c:pt idx="389">
                  <c:v>1.5839999999999999</c:v>
                </c:pt>
                <c:pt idx="390">
                  <c:v>1.5862499999999999</c:v>
                </c:pt>
                <c:pt idx="391">
                  <c:v>1.5885</c:v>
                </c:pt>
                <c:pt idx="392">
                  <c:v>1.5907500000000001</c:v>
                </c:pt>
                <c:pt idx="393">
                  <c:v>1.593</c:v>
                </c:pt>
                <c:pt idx="394">
                  <c:v>1.5952500000000001</c:v>
                </c:pt>
                <c:pt idx="395">
                  <c:v>1.5974999999999999</c:v>
                </c:pt>
                <c:pt idx="396">
                  <c:v>1.59975</c:v>
                </c:pt>
                <c:pt idx="397">
                  <c:v>1.6019999999999999</c:v>
                </c:pt>
                <c:pt idx="398">
                  <c:v>1.6042500000000002</c:v>
                </c:pt>
                <c:pt idx="399">
                  <c:v>1.6065</c:v>
                </c:pt>
                <c:pt idx="400">
                  <c:v>1.6087499999999999</c:v>
                </c:pt>
                <c:pt idx="401">
                  <c:v>1.6110000000000002</c:v>
                </c:pt>
                <c:pt idx="402">
                  <c:v>1.6132500000000001</c:v>
                </c:pt>
                <c:pt idx="403">
                  <c:v>1.6154999999999999</c:v>
                </c:pt>
                <c:pt idx="404">
                  <c:v>1.61775</c:v>
                </c:pt>
                <c:pt idx="405">
                  <c:v>1.6199999999999999</c:v>
                </c:pt>
                <c:pt idx="406">
                  <c:v>1.6222500000000002</c:v>
                </c:pt>
                <c:pt idx="407">
                  <c:v>1.6244999999999998</c:v>
                </c:pt>
                <c:pt idx="408">
                  <c:v>1.6267499999999999</c:v>
                </c:pt>
                <c:pt idx="409">
                  <c:v>1.629</c:v>
                </c:pt>
                <c:pt idx="410">
                  <c:v>1.6312500000000001</c:v>
                </c:pt>
                <c:pt idx="411">
                  <c:v>1.6335</c:v>
                </c:pt>
                <c:pt idx="412">
                  <c:v>1.63575</c:v>
                </c:pt>
                <c:pt idx="413">
                  <c:v>1.6379999999999999</c:v>
                </c:pt>
                <c:pt idx="414">
                  <c:v>1.64025</c:v>
                </c:pt>
                <c:pt idx="415">
                  <c:v>1.6425000000000001</c:v>
                </c:pt>
                <c:pt idx="416">
                  <c:v>1.6447500000000002</c:v>
                </c:pt>
                <c:pt idx="417">
                  <c:v>1.6469999999999998</c:v>
                </c:pt>
                <c:pt idx="418">
                  <c:v>1.6492500000000001</c:v>
                </c:pt>
                <c:pt idx="419">
                  <c:v>1.6515</c:v>
                </c:pt>
                <c:pt idx="420">
                  <c:v>1.6537499999999998</c:v>
                </c:pt>
                <c:pt idx="421">
                  <c:v>1.6560000000000001</c:v>
                </c:pt>
                <c:pt idx="422">
                  <c:v>1.6582500000000002</c:v>
                </c:pt>
                <c:pt idx="423">
                  <c:v>1.6605000000000001</c:v>
                </c:pt>
                <c:pt idx="424">
                  <c:v>1.6627500000000002</c:v>
                </c:pt>
                <c:pt idx="425">
                  <c:v>1.665</c:v>
                </c:pt>
                <c:pt idx="426">
                  <c:v>1.6672500000000001</c:v>
                </c:pt>
                <c:pt idx="427">
                  <c:v>1.6695000000000002</c:v>
                </c:pt>
                <c:pt idx="428">
                  <c:v>1.6717499999999998</c:v>
                </c:pt>
                <c:pt idx="429">
                  <c:v>1.6740000000000002</c:v>
                </c:pt>
                <c:pt idx="430">
                  <c:v>1.67625</c:v>
                </c:pt>
                <c:pt idx="431">
                  <c:v>1.6784999999999999</c:v>
                </c:pt>
                <c:pt idx="432">
                  <c:v>1.68075</c:v>
                </c:pt>
                <c:pt idx="433">
                  <c:v>1.6830000000000001</c:v>
                </c:pt>
                <c:pt idx="434">
                  <c:v>1.6852500000000001</c:v>
                </c:pt>
                <c:pt idx="435">
                  <c:v>1.6875</c:v>
                </c:pt>
                <c:pt idx="436">
                  <c:v>1.6897499999999999</c:v>
                </c:pt>
                <c:pt idx="437">
                  <c:v>1.6920000000000002</c:v>
                </c:pt>
                <c:pt idx="438">
                  <c:v>1.69425</c:v>
                </c:pt>
                <c:pt idx="439">
                  <c:v>1.6964999999999999</c:v>
                </c:pt>
                <c:pt idx="440">
                  <c:v>1.69875</c:v>
                </c:pt>
                <c:pt idx="441">
                  <c:v>1.7010000000000001</c:v>
                </c:pt>
                <c:pt idx="442">
                  <c:v>1.7032499999999999</c:v>
                </c:pt>
                <c:pt idx="443">
                  <c:v>1.7055</c:v>
                </c:pt>
                <c:pt idx="444">
                  <c:v>1.7077499999999999</c:v>
                </c:pt>
                <c:pt idx="445">
                  <c:v>1.7100000000000002</c:v>
                </c:pt>
                <c:pt idx="446">
                  <c:v>1.71225</c:v>
                </c:pt>
                <c:pt idx="447">
                  <c:v>1.7145000000000001</c:v>
                </c:pt>
                <c:pt idx="448">
                  <c:v>1.71675</c:v>
                </c:pt>
                <c:pt idx="449">
                  <c:v>1.7190000000000001</c:v>
                </c:pt>
                <c:pt idx="450">
                  <c:v>1.7212499999999999</c:v>
                </c:pt>
                <c:pt idx="451">
                  <c:v>1.7234999999999998</c:v>
                </c:pt>
                <c:pt idx="452">
                  <c:v>1.2943125</c:v>
                </c:pt>
                <c:pt idx="453">
                  <c:v>1.296</c:v>
                </c:pt>
                <c:pt idx="454">
                  <c:v>1.2976874999999999</c:v>
                </c:pt>
                <c:pt idx="455">
                  <c:v>1.2993750000000002</c:v>
                </c:pt>
                <c:pt idx="456">
                  <c:v>1.3010625</c:v>
                </c:pt>
                <c:pt idx="457">
                  <c:v>1.3027500000000003</c:v>
                </c:pt>
                <c:pt idx="458">
                  <c:v>1.3044375000000001</c:v>
                </c:pt>
                <c:pt idx="459">
                  <c:v>1.3061250000000002</c:v>
                </c:pt>
                <c:pt idx="460">
                  <c:v>1.3078125</c:v>
                </c:pt>
                <c:pt idx="461">
                  <c:v>1.3095000000000003</c:v>
                </c:pt>
                <c:pt idx="462">
                  <c:v>1.3111875000000002</c:v>
                </c:pt>
                <c:pt idx="463">
                  <c:v>1.3128750000000002</c:v>
                </c:pt>
                <c:pt idx="464">
                  <c:v>1.3145625000000001</c:v>
                </c:pt>
                <c:pt idx="465">
                  <c:v>1.3162500000000001</c:v>
                </c:pt>
                <c:pt idx="466">
                  <c:v>1.3179375000000002</c:v>
                </c:pt>
                <c:pt idx="467">
                  <c:v>1.319625</c:v>
                </c:pt>
                <c:pt idx="468">
                  <c:v>1.3213125000000001</c:v>
                </c:pt>
                <c:pt idx="469">
                  <c:v>1.323</c:v>
                </c:pt>
                <c:pt idx="470">
                  <c:v>1.3246875</c:v>
                </c:pt>
                <c:pt idx="471">
                  <c:v>1.3263750000000001</c:v>
                </c:pt>
                <c:pt idx="472">
                  <c:v>1.3280624999999999</c:v>
                </c:pt>
                <c:pt idx="473">
                  <c:v>1.3297500000000002</c:v>
                </c:pt>
                <c:pt idx="474">
                  <c:v>1.3314375000000001</c:v>
                </c:pt>
                <c:pt idx="475">
                  <c:v>1.3331249999999999</c:v>
                </c:pt>
                <c:pt idx="476">
                  <c:v>1.3348125000000002</c:v>
                </c:pt>
                <c:pt idx="477">
                  <c:v>1.3365</c:v>
                </c:pt>
                <c:pt idx="478">
                  <c:v>1.3381875000000001</c:v>
                </c:pt>
                <c:pt idx="479">
                  <c:v>1.3398750000000001</c:v>
                </c:pt>
                <c:pt idx="480">
                  <c:v>1.3415625</c:v>
                </c:pt>
                <c:pt idx="481">
                  <c:v>1.3432500000000003</c:v>
                </c:pt>
                <c:pt idx="482">
                  <c:v>1.3449374999999999</c:v>
                </c:pt>
                <c:pt idx="483">
                  <c:v>1.3466250000000002</c:v>
                </c:pt>
                <c:pt idx="484">
                  <c:v>1.3483125</c:v>
                </c:pt>
                <c:pt idx="485">
                  <c:v>1.35</c:v>
                </c:pt>
                <c:pt idx="486">
                  <c:v>1.3516875000000002</c:v>
                </c:pt>
                <c:pt idx="487">
                  <c:v>1.353375</c:v>
                </c:pt>
                <c:pt idx="488">
                  <c:v>1.3550625000000001</c:v>
                </c:pt>
                <c:pt idx="489">
                  <c:v>1.3567500000000001</c:v>
                </c:pt>
                <c:pt idx="490">
                  <c:v>1.3584375000000002</c:v>
                </c:pt>
                <c:pt idx="491">
                  <c:v>1.360125</c:v>
                </c:pt>
                <c:pt idx="492">
                  <c:v>1.3618125000000001</c:v>
                </c:pt>
                <c:pt idx="493">
                  <c:v>1.3635000000000002</c:v>
                </c:pt>
                <c:pt idx="494">
                  <c:v>1.3651875</c:v>
                </c:pt>
                <c:pt idx="495">
                  <c:v>1.3668750000000001</c:v>
                </c:pt>
                <c:pt idx="496">
                  <c:v>1.3685625000000001</c:v>
                </c:pt>
                <c:pt idx="497">
                  <c:v>1.37025</c:v>
                </c:pt>
                <c:pt idx="498">
                  <c:v>1.3719375</c:v>
                </c:pt>
                <c:pt idx="499">
                  <c:v>1.3736250000000001</c:v>
                </c:pt>
                <c:pt idx="500">
                  <c:v>1.3753125000000002</c:v>
                </c:pt>
                <c:pt idx="501">
                  <c:v>1.3770000000000002</c:v>
                </c:pt>
                <c:pt idx="502">
                  <c:v>1.3786875000000001</c:v>
                </c:pt>
                <c:pt idx="503">
                  <c:v>1.3803750000000001</c:v>
                </c:pt>
                <c:pt idx="504">
                  <c:v>1.3820625000000002</c:v>
                </c:pt>
                <c:pt idx="505">
                  <c:v>1.38375</c:v>
                </c:pt>
                <c:pt idx="506">
                  <c:v>1.3854375000000001</c:v>
                </c:pt>
                <c:pt idx="507">
                  <c:v>1.3871249999999999</c:v>
                </c:pt>
                <c:pt idx="508">
                  <c:v>1.3888125000000002</c:v>
                </c:pt>
                <c:pt idx="509">
                  <c:v>1.3905000000000001</c:v>
                </c:pt>
                <c:pt idx="510">
                  <c:v>1.3921875000000001</c:v>
                </c:pt>
                <c:pt idx="511">
                  <c:v>1.393875</c:v>
                </c:pt>
                <c:pt idx="512">
                  <c:v>1.3955625</c:v>
                </c:pt>
                <c:pt idx="513">
                  <c:v>1.3972500000000001</c:v>
                </c:pt>
                <c:pt idx="514">
                  <c:v>1.3989374999999999</c:v>
                </c:pt>
                <c:pt idx="515">
                  <c:v>1.400625</c:v>
                </c:pt>
                <c:pt idx="516">
                  <c:v>1.4023125000000001</c:v>
                </c:pt>
                <c:pt idx="517">
                  <c:v>1.4040000000000001</c:v>
                </c:pt>
                <c:pt idx="518">
                  <c:v>1.4056875000000002</c:v>
                </c:pt>
                <c:pt idx="519">
                  <c:v>1.407375</c:v>
                </c:pt>
                <c:pt idx="520">
                  <c:v>1.4090625000000001</c:v>
                </c:pt>
                <c:pt idx="521">
                  <c:v>1.4107500000000002</c:v>
                </c:pt>
                <c:pt idx="522">
                  <c:v>1.4124375</c:v>
                </c:pt>
                <c:pt idx="523">
                  <c:v>1.4141250000000001</c:v>
                </c:pt>
                <c:pt idx="524">
                  <c:v>1.4158125000000001</c:v>
                </c:pt>
                <c:pt idx="525">
                  <c:v>1.4175000000000002</c:v>
                </c:pt>
                <c:pt idx="526">
                  <c:v>1.4191875</c:v>
                </c:pt>
                <c:pt idx="527">
                  <c:v>1.4208750000000001</c:v>
                </c:pt>
                <c:pt idx="528">
                  <c:v>1.4225625</c:v>
                </c:pt>
                <c:pt idx="529">
                  <c:v>1.42425</c:v>
                </c:pt>
                <c:pt idx="530">
                  <c:v>1.4259375000000001</c:v>
                </c:pt>
                <c:pt idx="531">
                  <c:v>1.4276250000000001</c:v>
                </c:pt>
                <c:pt idx="532">
                  <c:v>1.4293125</c:v>
                </c:pt>
                <c:pt idx="533">
                  <c:v>1.431</c:v>
                </c:pt>
                <c:pt idx="534">
                  <c:v>1.4326875000000001</c:v>
                </c:pt>
                <c:pt idx="535">
                  <c:v>1.4343750000000002</c:v>
                </c:pt>
                <c:pt idx="536">
                  <c:v>1.4360625</c:v>
                </c:pt>
                <c:pt idx="537">
                  <c:v>1.4377500000000001</c:v>
                </c:pt>
                <c:pt idx="538">
                  <c:v>1.4394375000000001</c:v>
                </c:pt>
                <c:pt idx="539">
                  <c:v>1.441125</c:v>
                </c:pt>
                <c:pt idx="540">
                  <c:v>1.4428125000000003</c:v>
                </c:pt>
                <c:pt idx="541">
                  <c:v>1.4445000000000001</c:v>
                </c:pt>
                <c:pt idx="542">
                  <c:v>1.4461875</c:v>
                </c:pt>
                <c:pt idx="543">
                  <c:v>1.4478750000000002</c:v>
                </c:pt>
                <c:pt idx="544">
                  <c:v>1.4495625000000001</c:v>
                </c:pt>
                <c:pt idx="545">
                  <c:v>1.4512500000000002</c:v>
                </c:pt>
                <c:pt idx="546">
                  <c:v>1.4529375</c:v>
                </c:pt>
                <c:pt idx="547">
                  <c:v>1.4546250000000001</c:v>
                </c:pt>
                <c:pt idx="548">
                  <c:v>1.4563124999999999</c:v>
                </c:pt>
                <c:pt idx="549">
                  <c:v>1.4580000000000002</c:v>
                </c:pt>
                <c:pt idx="550">
                  <c:v>1.4596875</c:v>
                </c:pt>
                <c:pt idx="551">
                  <c:v>1.4613750000000001</c:v>
                </c:pt>
                <c:pt idx="552">
                  <c:v>1.4630625000000002</c:v>
                </c:pt>
                <c:pt idx="553">
                  <c:v>1.46475</c:v>
                </c:pt>
                <c:pt idx="554">
                  <c:v>1.4664375000000001</c:v>
                </c:pt>
                <c:pt idx="555">
                  <c:v>1.4681250000000001</c:v>
                </c:pt>
                <c:pt idx="556">
                  <c:v>1.4698125</c:v>
                </c:pt>
                <c:pt idx="557">
                  <c:v>1.4715</c:v>
                </c:pt>
                <c:pt idx="558">
                  <c:v>1.4731875000000001</c:v>
                </c:pt>
                <c:pt idx="559">
                  <c:v>1.4748749999999999</c:v>
                </c:pt>
                <c:pt idx="560">
                  <c:v>1.4765625000000002</c:v>
                </c:pt>
                <c:pt idx="561">
                  <c:v>1.4782500000000003</c:v>
                </c:pt>
                <c:pt idx="562">
                  <c:v>1.4799375000000001</c:v>
                </c:pt>
                <c:pt idx="563">
                  <c:v>1.4816250000000002</c:v>
                </c:pt>
                <c:pt idx="564">
                  <c:v>1.4833125000000003</c:v>
                </c:pt>
                <c:pt idx="565">
                  <c:v>1.4850000000000001</c:v>
                </c:pt>
                <c:pt idx="566">
                  <c:v>1.4866875000000002</c:v>
                </c:pt>
                <c:pt idx="567">
                  <c:v>1.488375</c:v>
                </c:pt>
                <c:pt idx="568">
                  <c:v>1.4900625000000001</c:v>
                </c:pt>
                <c:pt idx="569">
                  <c:v>1.4917500000000001</c:v>
                </c:pt>
                <c:pt idx="570">
                  <c:v>1.4934375000000002</c:v>
                </c:pt>
                <c:pt idx="571">
                  <c:v>1.495125</c:v>
                </c:pt>
                <c:pt idx="572">
                  <c:v>1.4968125000000001</c:v>
                </c:pt>
                <c:pt idx="573">
                  <c:v>1.4985000000000002</c:v>
                </c:pt>
                <c:pt idx="574">
                  <c:v>1.5001875</c:v>
                </c:pt>
                <c:pt idx="575">
                  <c:v>1.5018750000000001</c:v>
                </c:pt>
                <c:pt idx="576">
                  <c:v>1.5035625000000001</c:v>
                </c:pt>
                <c:pt idx="577">
                  <c:v>1.50525</c:v>
                </c:pt>
                <c:pt idx="578">
                  <c:v>1.5069375</c:v>
                </c:pt>
                <c:pt idx="579">
                  <c:v>1.5086250000000001</c:v>
                </c:pt>
                <c:pt idx="580">
                  <c:v>1.5103125000000002</c:v>
                </c:pt>
                <c:pt idx="581">
                  <c:v>1.512</c:v>
                </c:pt>
                <c:pt idx="582">
                  <c:v>1.5136875000000001</c:v>
                </c:pt>
                <c:pt idx="583">
                  <c:v>1.5153749999999999</c:v>
                </c:pt>
                <c:pt idx="584">
                  <c:v>1.5170625000000002</c:v>
                </c:pt>
                <c:pt idx="585">
                  <c:v>1.5187500000000003</c:v>
                </c:pt>
                <c:pt idx="586">
                  <c:v>1.5204375000000001</c:v>
                </c:pt>
                <c:pt idx="587">
                  <c:v>1.522125</c:v>
                </c:pt>
                <c:pt idx="588">
                  <c:v>1.5238125000000002</c:v>
                </c:pt>
                <c:pt idx="589">
                  <c:v>1.5255000000000001</c:v>
                </c:pt>
                <c:pt idx="590">
                  <c:v>1.5271875000000001</c:v>
                </c:pt>
                <c:pt idx="591">
                  <c:v>1.5288750000000002</c:v>
                </c:pt>
                <c:pt idx="592">
                  <c:v>1.5305625</c:v>
                </c:pt>
                <c:pt idx="593">
                  <c:v>1.5322500000000001</c:v>
                </c:pt>
                <c:pt idx="594">
                  <c:v>1.5339375</c:v>
                </c:pt>
                <c:pt idx="595">
                  <c:v>1.535625</c:v>
                </c:pt>
                <c:pt idx="596">
                  <c:v>1.5373125000000001</c:v>
                </c:pt>
                <c:pt idx="597">
                  <c:v>1.5390000000000001</c:v>
                </c:pt>
                <c:pt idx="598">
                  <c:v>1.5406875000000002</c:v>
                </c:pt>
                <c:pt idx="599">
                  <c:v>1.5423750000000001</c:v>
                </c:pt>
                <c:pt idx="600">
                  <c:v>1.5440625000000001</c:v>
                </c:pt>
                <c:pt idx="601">
                  <c:v>1.54575</c:v>
                </c:pt>
                <c:pt idx="602">
                  <c:v>1.5474375000000002</c:v>
                </c:pt>
                <c:pt idx="603">
                  <c:v>1.5491250000000001</c:v>
                </c:pt>
                <c:pt idx="604">
                  <c:v>1.5508125000000001</c:v>
                </c:pt>
                <c:pt idx="605">
                  <c:v>1.5525000000000002</c:v>
                </c:pt>
                <c:pt idx="606">
                  <c:v>1.5541875000000001</c:v>
                </c:pt>
                <c:pt idx="607">
                  <c:v>1.5558750000000001</c:v>
                </c:pt>
                <c:pt idx="608">
                  <c:v>1.5575625000000002</c:v>
                </c:pt>
                <c:pt idx="609">
                  <c:v>1.55925</c:v>
                </c:pt>
                <c:pt idx="610">
                  <c:v>1.5609375000000001</c:v>
                </c:pt>
                <c:pt idx="611">
                  <c:v>1.5626250000000002</c:v>
                </c:pt>
                <c:pt idx="612">
                  <c:v>1.5643125</c:v>
                </c:pt>
                <c:pt idx="613">
                  <c:v>1.5660000000000003</c:v>
                </c:pt>
                <c:pt idx="614">
                  <c:v>1.5676875000000001</c:v>
                </c:pt>
                <c:pt idx="615">
                  <c:v>1.5693750000000002</c:v>
                </c:pt>
                <c:pt idx="616">
                  <c:v>1.5710625</c:v>
                </c:pt>
                <c:pt idx="617">
                  <c:v>1.5727500000000001</c:v>
                </c:pt>
                <c:pt idx="618">
                  <c:v>1.5744375000000002</c:v>
                </c:pt>
                <c:pt idx="619">
                  <c:v>1.576125</c:v>
                </c:pt>
                <c:pt idx="620">
                  <c:v>1.5778125000000001</c:v>
                </c:pt>
                <c:pt idx="621">
                  <c:v>1.5795000000000001</c:v>
                </c:pt>
                <c:pt idx="622">
                  <c:v>1.5811875</c:v>
                </c:pt>
                <c:pt idx="623">
                  <c:v>1.5828750000000003</c:v>
                </c:pt>
                <c:pt idx="624">
                  <c:v>1.5845625000000001</c:v>
                </c:pt>
                <c:pt idx="625">
                  <c:v>1.5862500000000002</c:v>
                </c:pt>
                <c:pt idx="626">
                  <c:v>1.5879375000000002</c:v>
                </c:pt>
                <c:pt idx="627">
                  <c:v>1.5896250000000001</c:v>
                </c:pt>
                <c:pt idx="628">
                  <c:v>1.5913125000000001</c:v>
                </c:pt>
                <c:pt idx="629">
                  <c:v>1.5930000000000002</c:v>
                </c:pt>
                <c:pt idx="630">
                  <c:v>1.5946875000000003</c:v>
                </c:pt>
                <c:pt idx="631">
                  <c:v>1.5963750000000001</c:v>
                </c:pt>
                <c:pt idx="632">
                  <c:v>1.5980625000000002</c:v>
                </c:pt>
                <c:pt idx="633">
                  <c:v>1.59975</c:v>
                </c:pt>
                <c:pt idx="634">
                  <c:v>1.6014375000000001</c:v>
                </c:pt>
                <c:pt idx="635">
                  <c:v>1.6031250000000001</c:v>
                </c:pt>
                <c:pt idx="636">
                  <c:v>1.6048125000000002</c:v>
                </c:pt>
                <c:pt idx="637">
                  <c:v>1.6065</c:v>
                </c:pt>
                <c:pt idx="638">
                  <c:v>1.6081875000000001</c:v>
                </c:pt>
                <c:pt idx="639">
                  <c:v>1.6098750000000002</c:v>
                </c:pt>
                <c:pt idx="640">
                  <c:v>1.6115625</c:v>
                </c:pt>
                <c:pt idx="641">
                  <c:v>1.6132500000000001</c:v>
                </c:pt>
                <c:pt idx="642">
                  <c:v>1.6149375000000001</c:v>
                </c:pt>
                <c:pt idx="643">
                  <c:v>1.6166250000000002</c:v>
                </c:pt>
                <c:pt idx="644">
                  <c:v>1.6183125</c:v>
                </c:pt>
                <c:pt idx="645">
                  <c:v>1.62</c:v>
                </c:pt>
                <c:pt idx="646">
                  <c:v>1.6216875000000002</c:v>
                </c:pt>
                <c:pt idx="647">
                  <c:v>1.623375</c:v>
                </c:pt>
                <c:pt idx="648">
                  <c:v>1.6250625000000001</c:v>
                </c:pt>
                <c:pt idx="649">
                  <c:v>1.6267499999999999</c:v>
                </c:pt>
                <c:pt idx="650">
                  <c:v>1.6284375000000002</c:v>
                </c:pt>
                <c:pt idx="651">
                  <c:v>1.630125</c:v>
                </c:pt>
                <c:pt idx="652">
                  <c:v>1.6318125000000001</c:v>
                </c:pt>
                <c:pt idx="653">
                  <c:v>1.6335</c:v>
                </c:pt>
                <c:pt idx="654">
                  <c:v>1.6351875000000002</c:v>
                </c:pt>
                <c:pt idx="655">
                  <c:v>1.6368750000000003</c:v>
                </c:pt>
                <c:pt idx="656">
                  <c:v>1.6385624999999999</c:v>
                </c:pt>
                <c:pt idx="657">
                  <c:v>1.64025</c:v>
                </c:pt>
                <c:pt idx="658">
                  <c:v>1.6419375</c:v>
                </c:pt>
                <c:pt idx="659">
                  <c:v>1.6436250000000001</c:v>
                </c:pt>
                <c:pt idx="660">
                  <c:v>1.6453125000000002</c:v>
                </c:pt>
                <c:pt idx="661">
                  <c:v>1.647</c:v>
                </c:pt>
                <c:pt idx="662">
                  <c:v>1.6486875000000001</c:v>
                </c:pt>
                <c:pt idx="663">
                  <c:v>1.6503750000000001</c:v>
                </c:pt>
                <c:pt idx="664">
                  <c:v>1.6520625</c:v>
                </c:pt>
                <c:pt idx="665">
                  <c:v>1.6537500000000001</c:v>
                </c:pt>
                <c:pt idx="666">
                  <c:v>1.6554375000000001</c:v>
                </c:pt>
                <c:pt idx="667">
                  <c:v>1.657125</c:v>
                </c:pt>
                <c:pt idx="668">
                  <c:v>1.6588125</c:v>
                </c:pt>
                <c:pt idx="669">
                  <c:v>1.6605000000000001</c:v>
                </c:pt>
                <c:pt idx="670">
                  <c:v>1.6621875000000002</c:v>
                </c:pt>
                <c:pt idx="671">
                  <c:v>1.6638750000000002</c:v>
                </c:pt>
                <c:pt idx="672">
                  <c:v>1.6655625000000003</c:v>
                </c:pt>
                <c:pt idx="673">
                  <c:v>1.6672500000000001</c:v>
                </c:pt>
                <c:pt idx="674">
                  <c:v>1.6689375000000002</c:v>
                </c:pt>
                <c:pt idx="675">
                  <c:v>1.6706250000000002</c:v>
                </c:pt>
                <c:pt idx="676">
                  <c:v>1.6723125000000001</c:v>
                </c:pt>
                <c:pt idx="677">
                  <c:v>1.6740000000000002</c:v>
                </c:pt>
                <c:pt idx="678">
                  <c:v>1.6756875</c:v>
                </c:pt>
                <c:pt idx="679">
                  <c:v>1.6773750000000001</c:v>
                </c:pt>
                <c:pt idx="680">
                  <c:v>1.6790625000000001</c:v>
                </c:pt>
                <c:pt idx="681">
                  <c:v>1.6807500000000002</c:v>
                </c:pt>
                <c:pt idx="682">
                  <c:v>1.6824375</c:v>
                </c:pt>
                <c:pt idx="683">
                  <c:v>1.6841250000000001</c:v>
                </c:pt>
                <c:pt idx="684">
                  <c:v>1.6858124999999999</c:v>
                </c:pt>
                <c:pt idx="685">
                  <c:v>1.6875</c:v>
                </c:pt>
                <c:pt idx="686">
                  <c:v>1.6891875000000001</c:v>
                </c:pt>
                <c:pt idx="687">
                  <c:v>1.6908750000000001</c:v>
                </c:pt>
                <c:pt idx="688">
                  <c:v>1.6925625000000002</c:v>
                </c:pt>
                <c:pt idx="689">
                  <c:v>1.6942500000000003</c:v>
                </c:pt>
                <c:pt idx="690">
                  <c:v>1.6959375000000001</c:v>
                </c:pt>
                <c:pt idx="691">
                  <c:v>1.6976249999999999</c:v>
                </c:pt>
                <c:pt idx="692">
                  <c:v>1.6993125000000002</c:v>
                </c:pt>
                <c:pt idx="693">
                  <c:v>1.7010000000000003</c:v>
                </c:pt>
                <c:pt idx="694">
                  <c:v>1.7026875000000001</c:v>
                </c:pt>
                <c:pt idx="695">
                  <c:v>1.704375</c:v>
                </c:pt>
                <c:pt idx="696">
                  <c:v>1.7060625</c:v>
                </c:pt>
                <c:pt idx="697">
                  <c:v>1.7077500000000001</c:v>
                </c:pt>
                <c:pt idx="698">
                  <c:v>1.7094375000000002</c:v>
                </c:pt>
                <c:pt idx="699">
                  <c:v>1.711125</c:v>
                </c:pt>
                <c:pt idx="700">
                  <c:v>1.7128125000000001</c:v>
                </c:pt>
                <c:pt idx="701">
                  <c:v>1.7144999999999999</c:v>
                </c:pt>
                <c:pt idx="702">
                  <c:v>1.7161875</c:v>
                </c:pt>
                <c:pt idx="703">
                  <c:v>1.7178750000000003</c:v>
                </c:pt>
                <c:pt idx="704">
                  <c:v>1.7195625000000001</c:v>
                </c:pt>
                <c:pt idx="705">
                  <c:v>1.7212500000000002</c:v>
                </c:pt>
                <c:pt idx="706">
                  <c:v>1.7229375000000002</c:v>
                </c:pt>
                <c:pt idx="707">
                  <c:v>1.7246250000000003</c:v>
                </c:pt>
                <c:pt idx="708">
                  <c:v>1.3810500000000001</c:v>
                </c:pt>
                <c:pt idx="709">
                  <c:v>1.3824000000000001</c:v>
                </c:pt>
                <c:pt idx="710">
                  <c:v>1.38375</c:v>
                </c:pt>
                <c:pt idx="711">
                  <c:v>1.3851000000000002</c:v>
                </c:pt>
                <c:pt idx="712">
                  <c:v>1.38645</c:v>
                </c:pt>
                <c:pt idx="713">
                  <c:v>1.3878000000000001</c:v>
                </c:pt>
                <c:pt idx="714">
                  <c:v>1.3891500000000001</c:v>
                </c:pt>
                <c:pt idx="715">
                  <c:v>1.3905000000000001</c:v>
                </c:pt>
                <c:pt idx="716">
                  <c:v>1.3918500000000003</c:v>
                </c:pt>
                <c:pt idx="717">
                  <c:v>1.3932</c:v>
                </c:pt>
                <c:pt idx="718">
                  <c:v>1.3945500000000002</c:v>
                </c:pt>
                <c:pt idx="719">
                  <c:v>1.3959000000000001</c:v>
                </c:pt>
                <c:pt idx="720">
                  <c:v>1.3972500000000001</c:v>
                </c:pt>
                <c:pt idx="721">
                  <c:v>1.3986000000000001</c:v>
                </c:pt>
                <c:pt idx="722">
                  <c:v>1.39995</c:v>
                </c:pt>
                <c:pt idx="723">
                  <c:v>1.4013</c:v>
                </c:pt>
                <c:pt idx="724">
                  <c:v>1.4026500000000002</c:v>
                </c:pt>
                <c:pt idx="725">
                  <c:v>1.4039999999999999</c:v>
                </c:pt>
                <c:pt idx="726">
                  <c:v>1.4053500000000001</c:v>
                </c:pt>
                <c:pt idx="727">
                  <c:v>1.4067000000000001</c:v>
                </c:pt>
                <c:pt idx="728">
                  <c:v>1.40805</c:v>
                </c:pt>
                <c:pt idx="729">
                  <c:v>1.4094</c:v>
                </c:pt>
                <c:pt idx="730">
                  <c:v>1.4107500000000002</c:v>
                </c:pt>
                <c:pt idx="731">
                  <c:v>1.4121000000000001</c:v>
                </c:pt>
                <c:pt idx="732">
                  <c:v>1.4134500000000001</c:v>
                </c:pt>
                <c:pt idx="733">
                  <c:v>1.4148000000000001</c:v>
                </c:pt>
                <c:pt idx="734">
                  <c:v>1.41615</c:v>
                </c:pt>
                <c:pt idx="735">
                  <c:v>1.4175000000000002</c:v>
                </c:pt>
                <c:pt idx="736">
                  <c:v>1.4188500000000002</c:v>
                </c:pt>
                <c:pt idx="737">
                  <c:v>1.4202000000000001</c:v>
                </c:pt>
                <c:pt idx="738">
                  <c:v>1.4215500000000001</c:v>
                </c:pt>
                <c:pt idx="739">
                  <c:v>1.4229000000000001</c:v>
                </c:pt>
                <c:pt idx="740">
                  <c:v>1.4242500000000002</c:v>
                </c:pt>
                <c:pt idx="741">
                  <c:v>1.4256000000000002</c:v>
                </c:pt>
                <c:pt idx="742">
                  <c:v>1.4269499999999999</c:v>
                </c:pt>
                <c:pt idx="743">
                  <c:v>1.4283000000000001</c:v>
                </c:pt>
                <c:pt idx="744">
                  <c:v>1.4296500000000001</c:v>
                </c:pt>
                <c:pt idx="745">
                  <c:v>1.431</c:v>
                </c:pt>
                <c:pt idx="746">
                  <c:v>1.4323500000000002</c:v>
                </c:pt>
                <c:pt idx="747">
                  <c:v>1.4337000000000002</c:v>
                </c:pt>
                <c:pt idx="748">
                  <c:v>1.4350500000000002</c:v>
                </c:pt>
                <c:pt idx="749">
                  <c:v>1.4364000000000001</c:v>
                </c:pt>
                <c:pt idx="750">
                  <c:v>1.4377500000000001</c:v>
                </c:pt>
                <c:pt idx="751">
                  <c:v>1.4391000000000003</c:v>
                </c:pt>
                <c:pt idx="752">
                  <c:v>1.44045</c:v>
                </c:pt>
                <c:pt idx="753">
                  <c:v>1.4418</c:v>
                </c:pt>
                <c:pt idx="754">
                  <c:v>1.4431500000000002</c:v>
                </c:pt>
                <c:pt idx="755">
                  <c:v>1.4445000000000001</c:v>
                </c:pt>
                <c:pt idx="756">
                  <c:v>1.4458500000000001</c:v>
                </c:pt>
                <c:pt idx="757">
                  <c:v>1.4472</c:v>
                </c:pt>
                <c:pt idx="758">
                  <c:v>1.4485500000000002</c:v>
                </c:pt>
                <c:pt idx="759">
                  <c:v>1.4499000000000002</c:v>
                </c:pt>
                <c:pt idx="760">
                  <c:v>1.4512500000000002</c:v>
                </c:pt>
                <c:pt idx="761">
                  <c:v>1.4526000000000001</c:v>
                </c:pt>
                <c:pt idx="762">
                  <c:v>1.4539500000000001</c:v>
                </c:pt>
                <c:pt idx="763">
                  <c:v>1.4553000000000003</c:v>
                </c:pt>
                <c:pt idx="764">
                  <c:v>1.4566500000000002</c:v>
                </c:pt>
                <c:pt idx="765">
                  <c:v>1.4580000000000002</c:v>
                </c:pt>
                <c:pt idx="766">
                  <c:v>1.4593500000000001</c:v>
                </c:pt>
                <c:pt idx="767">
                  <c:v>1.4607000000000001</c:v>
                </c:pt>
                <c:pt idx="768">
                  <c:v>1.4620500000000001</c:v>
                </c:pt>
                <c:pt idx="769">
                  <c:v>1.4634</c:v>
                </c:pt>
                <c:pt idx="770">
                  <c:v>1.46475</c:v>
                </c:pt>
                <c:pt idx="771">
                  <c:v>1.4661000000000002</c:v>
                </c:pt>
                <c:pt idx="772">
                  <c:v>1.4674500000000001</c:v>
                </c:pt>
                <c:pt idx="773">
                  <c:v>1.4687999999999999</c:v>
                </c:pt>
                <c:pt idx="774">
                  <c:v>1.4701500000000003</c:v>
                </c:pt>
                <c:pt idx="775">
                  <c:v>1.4715</c:v>
                </c:pt>
                <c:pt idx="776">
                  <c:v>1.4728500000000002</c:v>
                </c:pt>
                <c:pt idx="777">
                  <c:v>1.4742000000000002</c:v>
                </c:pt>
                <c:pt idx="778">
                  <c:v>1.4755499999999999</c:v>
                </c:pt>
                <c:pt idx="779">
                  <c:v>1.4769000000000001</c:v>
                </c:pt>
                <c:pt idx="780">
                  <c:v>1.4782500000000003</c:v>
                </c:pt>
                <c:pt idx="781">
                  <c:v>1.4796</c:v>
                </c:pt>
                <c:pt idx="782">
                  <c:v>1.4809500000000002</c:v>
                </c:pt>
                <c:pt idx="783">
                  <c:v>1.4823000000000002</c:v>
                </c:pt>
                <c:pt idx="784">
                  <c:v>1.4836500000000001</c:v>
                </c:pt>
                <c:pt idx="785">
                  <c:v>1.4850000000000001</c:v>
                </c:pt>
                <c:pt idx="786">
                  <c:v>1.4863500000000003</c:v>
                </c:pt>
                <c:pt idx="787">
                  <c:v>1.4877</c:v>
                </c:pt>
                <c:pt idx="788">
                  <c:v>1.4890500000000002</c:v>
                </c:pt>
                <c:pt idx="789">
                  <c:v>1.4904000000000002</c:v>
                </c:pt>
                <c:pt idx="790">
                  <c:v>1.4917500000000001</c:v>
                </c:pt>
                <c:pt idx="791">
                  <c:v>1.4931000000000001</c:v>
                </c:pt>
                <c:pt idx="792">
                  <c:v>1.4944500000000001</c:v>
                </c:pt>
                <c:pt idx="793">
                  <c:v>1.4958</c:v>
                </c:pt>
                <c:pt idx="794">
                  <c:v>1.49715</c:v>
                </c:pt>
                <c:pt idx="795">
                  <c:v>1.4985000000000002</c:v>
                </c:pt>
                <c:pt idx="796">
                  <c:v>1.4998500000000001</c:v>
                </c:pt>
                <c:pt idx="797">
                  <c:v>1.5012000000000001</c:v>
                </c:pt>
                <c:pt idx="798">
                  <c:v>1.5025500000000001</c:v>
                </c:pt>
                <c:pt idx="799">
                  <c:v>1.5039</c:v>
                </c:pt>
                <c:pt idx="800">
                  <c:v>1.5052500000000002</c:v>
                </c:pt>
                <c:pt idx="801">
                  <c:v>1.5066000000000002</c:v>
                </c:pt>
                <c:pt idx="802">
                  <c:v>1.5079500000000001</c:v>
                </c:pt>
                <c:pt idx="803">
                  <c:v>1.5093000000000001</c:v>
                </c:pt>
                <c:pt idx="804">
                  <c:v>1.51065</c:v>
                </c:pt>
                <c:pt idx="805">
                  <c:v>1.512</c:v>
                </c:pt>
                <c:pt idx="806">
                  <c:v>1.5133500000000002</c:v>
                </c:pt>
                <c:pt idx="807">
                  <c:v>1.5147000000000002</c:v>
                </c:pt>
                <c:pt idx="808">
                  <c:v>1.5160500000000001</c:v>
                </c:pt>
                <c:pt idx="809">
                  <c:v>1.5174000000000001</c:v>
                </c:pt>
                <c:pt idx="810">
                  <c:v>1.51875</c:v>
                </c:pt>
                <c:pt idx="811">
                  <c:v>1.5201</c:v>
                </c:pt>
                <c:pt idx="812">
                  <c:v>1.5214500000000002</c:v>
                </c:pt>
                <c:pt idx="813">
                  <c:v>1.5228000000000002</c:v>
                </c:pt>
                <c:pt idx="814">
                  <c:v>1.5241500000000001</c:v>
                </c:pt>
                <c:pt idx="815">
                  <c:v>1.5255000000000001</c:v>
                </c:pt>
                <c:pt idx="816">
                  <c:v>1.52685</c:v>
                </c:pt>
                <c:pt idx="817">
                  <c:v>1.5282</c:v>
                </c:pt>
                <c:pt idx="818">
                  <c:v>1.52955</c:v>
                </c:pt>
                <c:pt idx="819">
                  <c:v>1.5309000000000001</c:v>
                </c:pt>
                <c:pt idx="820">
                  <c:v>1.5322500000000001</c:v>
                </c:pt>
                <c:pt idx="821">
                  <c:v>1.5336000000000003</c:v>
                </c:pt>
                <c:pt idx="822">
                  <c:v>1.53495</c:v>
                </c:pt>
                <c:pt idx="823">
                  <c:v>1.5363</c:v>
                </c:pt>
                <c:pt idx="824">
                  <c:v>1.5376500000000002</c:v>
                </c:pt>
                <c:pt idx="825">
                  <c:v>1.5390000000000001</c:v>
                </c:pt>
                <c:pt idx="826">
                  <c:v>1.5403500000000001</c:v>
                </c:pt>
                <c:pt idx="827">
                  <c:v>1.5417000000000001</c:v>
                </c:pt>
                <c:pt idx="828">
                  <c:v>1.5430500000000003</c:v>
                </c:pt>
                <c:pt idx="829">
                  <c:v>1.5444000000000002</c:v>
                </c:pt>
                <c:pt idx="830">
                  <c:v>1.5457500000000002</c:v>
                </c:pt>
                <c:pt idx="831">
                  <c:v>1.5471000000000001</c:v>
                </c:pt>
                <c:pt idx="832">
                  <c:v>1.5484500000000001</c:v>
                </c:pt>
                <c:pt idx="833">
                  <c:v>1.5498000000000001</c:v>
                </c:pt>
                <c:pt idx="834">
                  <c:v>1.5511500000000003</c:v>
                </c:pt>
                <c:pt idx="835">
                  <c:v>1.5525000000000002</c:v>
                </c:pt>
                <c:pt idx="836">
                  <c:v>1.5538500000000002</c:v>
                </c:pt>
                <c:pt idx="837">
                  <c:v>1.5552000000000001</c:v>
                </c:pt>
                <c:pt idx="838">
                  <c:v>1.5565500000000001</c:v>
                </c:pt>
                <c:pt idx="839">
                  <c:v>1.5579000000000001</c:v>
                </c:pt>
                <c:pt idx="840">
                  <c:v>1.5592500000000002</c:v>
                </c:pt>
                <c:pt idx="841">
                  <c:v>1.5606000000000002</c:v>
                </c:pt>
                <c:pt idx="842">
                  <c:v>1.5619500000000002</c:v>
                </c:pt>
                <c:pt idx="843">
                  <c:v>1.5633000000000001</c:v>
                </c:pt>
                <c:pt idx="844">
                  <c:v>1.5646500000000001</c:v>
                </c:pt>
                <c:pt idx="845">
                  <c:v>1.5660000000000001</c:v>
                </c:pt>
                <c:pt idx="846">
                  <c:v>1.56735</c:v>
                </c:pt>
                <c:pt idx="847">
                  <c:v>1.5687000000000002</c:v>
                </c:pt>
                <c:pt idx="848">
                  <c:v>1.5700500000000002</c:v>
                </c:pt>
                <c:pt idx="849">
                  <c:v>1.5714000000000001</c:v>
                </c:pt>
                <c:pt idx="850">
                  <c:v>1.5727500000000001</c:v>
                </c:pt>
                <c:pt idx="851">
                  <c:v>1.5741000000000003</c:v>
                </c:pt>
                <c:pt idx="852">
                  <c:v>1.5754500000000002</c:v>
                </c:pt>
                <c:pt idx="853">
                  <c:v>1.5768000000000002</c:v>
                </c:pt>
                <c:pt idx="854">
                  <c:v>1.5781500000000002</c:v>
                </c:pt>
                <c:pt idx="855">
                  <c:v>1.5795000000000001</c:v>
                </c:pt>
                <c:pt idx="856">
                  <c:v>1.5808500000000001</c:v>
                </c:pt>
                <c:pt idx="857">
                  <c:v>1.5822000000000001</c:v>
                </c:pt>
                <c:pt idx="858">
                  <c:v>1.58355</c:v>
                </c:pt>
                <c:pt idx="859">
                  <c:v>1.5849000000000002</c:v>
                </c:pt>
                <c:pt idx="860">
                  <c:v>1.5862500000000002</c:v>
                </c:pt>
                <c:pt idx="861">
                  <c:v>1.5876000000000001</c:v>
                </c:pt>
                <c:pt idx="862">
                  <c:v>1.5889500000000001</c:v>
                </c:pt>
                <c:pt idx="863">
                  <c:v>1.5903000000000003</c:v>
                </c:pt>
                <c:pt idx="864">
                  <c:v>1.5916500000000002</c:v>
                </c:pt>
                <c:pt idx="865">
                  <c:v>1.5930000000000002</c:v>
                </c:pt>
                <c:pt idx="866">
                  <c:v>1.5943500000000002</c:v>
                </c:pt>
                <c:pt idx="867">
                  <c:v>1.5957000000000001</c:v>
                </c:pt>
                <c:pt idx="868">
                  <c:v>1.5970500000000001</c:v>
                </c:pt>
                <c:pt idx="869">
                  <c:v>1.5984</c:v>
                </c:pt>
                <c:pt idx="870">
                  <c:v>1.5997500000000002</c:v>
                </c:pt>
                <c:pt idx="871">
                  <c:v>1.6011</c:v>
                </c:pt>
                <c:pt idx="872">
                  <c:v>1.6024500000000002</c:v>
                </c:pt>
                <c:pt idx="873">
                  <c:v>1.6037999999999999</c:v>
                </c:pt>
                <c:pt idx="874">
                  <c:v>1.6051500000000001</c:v>
                </c:pt>
                <c:pt idx="875">
                  <c:v>1.6065</c:v>
                </c:pt>
                <c:pt idx="876">
                  <c:v>1.60785</c:v>
                </c:pt>
                <c:pt idx="877">
                  <c:v>1.6092</c:v>
                </c:pt>
                <c:pt idx="878">
                  <c:v>1.6105499999999999</c:v>
                </c:pt>
                <c:pt idx="879">
                  <c:v>1.6118999999999999</c:v>
                </c:pt>
                <c:pt idx="880">
                  <c:v>1.6132500000000001</c:v>
                </c:pt>
                <c:pt idx="881">
                  <c:v>1.6146</c:v>
                </c:pt>
                <c:pt idx="882">
                  <c:v>1.6159500000000002</c:v>
                </c:pt>
                <c:pt idx="883">
                  <c:v>1.6173000000000002</c:v>
                </c:pt>
                <c:pt idx="884">
                  <c:v>1.6186500000000001</c:v>
                </c:pt>
                <c:pt idx="885">
                  <c:v>1.62</c:v>
                </c:pt>
                <c:pt idx="886">
                  <c:v>1.6213500000000001</c:v>
                </c:pt>
                <c:pt idx="887">
                  <c:v>1.6227000000000003</c:v>
                </c:pt>
                <c:pt idx="888">
                  <c:v>1.62405</c:v>
                </c:pt>
                <c:pt idx="889">
                  <c:v>1.6254</c:v>
                </c:pt>
                <c:pt idx="890">
                  <c:v>1.6267500000000001</c:v>
                </c:pt>
                <c:pt idx="891">
                  <c:v>1.6281000000000001</c:v>
                </c:pt>
                <c:pt idx="892">
                  <c:v>1.6294500000000001</c:v>
                </c:pt>
                <c:pt idx="893">
                  <c:v>1.6308</c:v>
                </c:pt>
                <c:pt idx="894">
                  <c:v>1.63215</c:v>
                </c:pt>
                <c:pt idx="895">
                  <c:v>1.6335</c:v>
                </c:pt>
                <c:pt idx="896">
                  <c:v>1.6348499999999999</c:v>
                </c:pt>
                <c:pt idx="897">
                  <c:v>1.6362000000000001</c:v>
                </c:pt>
                <c:pt idx="898">
                  <c:v>1.6375500000000001</c:v>
                </c:pt>
                <c:pt idx="899">
                  <c:v>1.6389000000000002</c:v>
                </c:pt>
                <c:pt idx="900">
                  <c:v>1.6402500000000002</c:v>
                </c:pt>
                <c:pt idx="901">
                  <c:v>1.6415999999999999</c:v>
                </c:pt>
                <c:pt idx="902">
                  <c:v>1.6429500000000001</c:v>
                </c:pt>
                <c:pt idx="903">
                  <c:v>1.6443000000000001</c:v>
                </c:pt>
                <c:pt idx="904">
                  <c:v>1.6456500000000001</c:v>
                </c:pt>
                <c:pt idx="905">
                  <c:v>1.6470000000000002</c:v>
                </c:pt>
                <c:pt idx="906">
                  <c:v>1.6483500000000002</c:v>
                </c:pt>
                <c:pt idx="907">
                  <c:v>1.6496999999999999</c:v>
                </c:pt>
                <c:pt idx="908">
                  <c:v>1.6510500000000001</c:v>
                </c:pt>
                <c:pt idx="909">
                  <c:v>1.6524000000000001</c:v>
                </c:pt>
                <c:pt idx="910">
                  <c:v>1.6537500000000003</c:v>
                </c:pt>
                <c:pt idx="911">
                  <c:v>1.6551</c:v>
                </c:pt>
                <c:pt idx="912">
                  <c:v>1.6564500000000002</c:v>
                </c:pt>
                <c:pt idx="913">
                  <c:v>1.6578000000000002</c:v>
                </c:pt>
                <c:pt idx="914">
                  <c:v>1.6591500000000001</c:v>
                </c:pt>
                <c:pt idx="915">
                  <c:v>1.6605000000000001</c:v>
                </c:pt>
                <c:pt idx="916">
                  <c:v>1.6618500000000003</c:v>
                </c:pt>
                <c:pt idx="917">
                  <c:v>1.6632000000000002</c:v>
                </c:pt>
                <c:pt idx="918">
                  <c:v>1.6645500000000002</c:v>
                </c:pt>
                <c:pt idx="919">
                  <c:v>1.6659000000000002</c:v>
                </c:pt>
                <c:pt idx="920">
                  <c:v>1.6672500000000001</c:v>
                </c:pt>
                <c:pt idx="921">
                  <c:v>1.6686000000000001</c:v>
                </c:pt>
                <c:pt idx="922">
                  <c:v>1.66995</c:v>
                </c:pt>
                <c:pt idx="923">
                  <c:v>1.6713</c:v>
                </c:pt>
                <c:pt idx="924">
                  <c:v>1.6726500000000002</c:v>
                </c:pt>
                <c:pt idx="925">
                  <c:v>1.6740000000000002</c:v>
                </c:pt>
                <c:pt idx="926">
                  <c:v>1.6753500000000001</c:v>
                </c:pt>
                <c:pt idx="927">
                  <c:v>1.6767000000000001</c:v>
                </c:pt>
                <c:pt idx="928">
                  <c:v>1.67805</c:v>
                </c:pt>
                <c:pt idx="929">
                  <c:v>1.6794</c:v>
                </c:pt>
                <c:pt idx="930">
                  <c:v>1.6807500000000002</c:v>
                </c:pt>
                <c:pt idx="931">
                  <c:v>1.6821000000000002</c:v>
                </c:pt>
                <c:pt idx="932">
                  <c:v>1.6834500000000001</c:v>
                </c:pt>
                <c:pt idx="933">
                  <c:v>1.6848000000000001</c:v>
                </c:pt>
                <c:pt idx="934">
                  <c:v>1.6861500000000003</c:v>
                </c:pt>
                <c:pt idx="935">
                  <c:v>1.6875</c:v>
                </c:pt>
                <c:pt idx="936">
                  <c:v>1.6888500000000002</c:v>
                </c:pt>
                <c:pt idx="937">
                  <c:v>1.6902000000000001</c:v>
                </c:pt>
                <c:pt idx="938">
                  <c:v>1.6915500000000001</c:v>
                </c:pt>
                <c:pt idx="939">
                  <c:v>1.6929000000000001</c:v>
                </c:pt>
                <c:pt idx="940">
                  <c:v>1.69425</c:v>
                </c:pt>
                <c:pt idx="941">
                  <c:v>1.6956000000000002</c:v>
                </c:pt>
                <c:pt idx="942">
                  <c:v>1.6969500000000002</c:v>
                </c:pt>
                <c:pt idx="943">
                  <c:v>1.6983000000000001</c:v>
                </c:pt>
                <c:pt idx="944">
                  <c:v>1.6996500000000001</c:v>
                </c:pt>
                <c:pt idx="945">
                  <c:v>1.7010000000000003</c:v>
                </c:pt>
                <c:pt idx="946">
                  <c:v>1.7023500000000003</c:v>
                </c:pt>
                <c:pt idx="947">
                  <c:v>1.7037000000000002</c:v>
                </c:pt>
                <c:pt idx="948">
                  <c:v>1.7050500000000002</c:v>
                </c:pt>
                <c:pt idx="949">
                  <c:v>1.7063999999999999</c:v>
                </c:pt>
                <c:pt idx="950">
                  <c:v>1.7077500000000001</c:v>
                </c:pt>
                <c:pt idx="951">
                  <c:v>1.7091000000000001</c:v>
                </c:pt>
                <c:pt idx="952">
                  <c:v>1.71045</c:v>
                </c:pt>
                <c:pt idx="953">
                  <c:v>1.7118000000000002</c:v>
                </c:pt>
                <c:pt idx="954">
                  <c:v>1.71315</c:v>
                </c:pt>
                <c:pt idx="955">
                  <c:v>1.7145000000000001</c:v>
                </c:pt>
                <c:pt idx="956">
                  <c:v>1.7158500000000001</c:v>
                </c:pt>
                <c:pt idx="957">
                  <c:v>1.7172000000000003</c:v>
                </c:pt>
                <c:pt idx="958">
                  <c:v>1.7185500000000002</c:v>
                </c:pt>
                <c:pt idx="959">
                  <c:v>1.7199000000000002</c:v>
                </c:pt>
                <c:pt idx="960">
                  <c:v>1.7212500000000002</c:v>
                </c:pt>
                <c:pt idx="961">
                  <c:v>1.7225999999999999</c:v>
                </c:pt>
                <c:pt idx="962">
                  <c:v>1.7239500000000001</c:v>
                </c:pt>
                <c:pt idx="963">
                  <c:v>1.7253000000000001</c:v>
                </c:pt>
                <c:pt idx="964">
                  <c:v>1.4388750000000001</c:v>
                </c:pt>
                <c:pt idx="965">
                  <c:v>1.44</c:v>
                </c:pt>
                <c:pt idx="966">
                  <c:v>1.441125</c:v>
                </c:pt>
                <c:pt idx="967">
                  <c:v>1.44225</c:v>
                </c:pt>
                <c:pt idx="968">
                  <c:v>1.4433750000000001</c:v>
                </c:pt>
                <c:pt idx="969">
                  <c:v>1.4445000000000001</c:v>
                </c:pt>
                <c:pt idx="970">
                  <c:v>1.4456249999999999</c:v>
                </c:pt>
                <c:pt idx="971">
                  <c:v>1.44675</c:v>
                </c:pt>
                <c:pt idx="972">
                  <c:v>1.447875</c:v>
                </c:pt>
                <c:pt idx="973">
                  <c:v>1.4490000000000001</c:v>
                </c:pt>
                <c:pt idx="974">
                  <c:v>1.4501250000000001</c:v>
                </c:pt>
                <c:pt idx="975">
                  <c:v>1.4512500000000002</c:v>
                </c:pt>
                <c:pt idx="976">
                  <c:v>1.4523750000000002</c:v>
                </c:pt>
                <c:pt idx="977">
                  <c:v>1.4535</c:v>
                </c:pt>
                <c:pt idx="978">
                  <c:v>1.4546250000000001</c:v>
                </c:pt>
                <c:pt idx="979">
                  <c:v>1.4557500000000001</c:v>
                </c:pt>
                <c:pt idx="980">
                  <c:v>1.4568750000000001</c:v>
                </c:pt>
                <c:pt idx="981">
                  <c:v>1.4580000000000002</c:v>
                </c:pt>
                <c:pt idx="982">
                  <c:v>1.459125</c:v>
                </c:pt>
                <c:pt idx="983">
                  <c:v>1.46025</c:v>
                </c:pt>
                <c:pt idx="984">
                  <c:v>1.4613750000000001</c:v>
                </c:pt>
                <c:pt idx="985">
                  <c:v>1.4624999999999999</c:v>
                </c:pt>
                <c:pt idx="986">
                  <c:v>1.4636250000000002</c:v>
                </c:pt>
                <c:pt idx="987">
                  <c:v>1.46475</c:v>
                </c:pt>
                <c:pt idx="988">
                  <c:v>1.465875</c:v>
                </c:pt>
                <c:pt idx="989">
                  <c:v>1.4670000000000001</c:v>
                </c:pt>
                <c:pt idx="990">
                  <c:v>1.4681250000000001</c:v>
                </c:pt>
                <c:pt idx="991">
                  <c:v>1.4692500000000002</c:v>
                </c:pt>
                <c:pt idx="992">
                  <c:v>1.4703750000000002</c:v>
                </c:pt>
                <c:pt idx="993">
                  <c:v>1.4715</c:v>
                </c:pt>
                <c:pt idx="994">
                  <c:v>1.4726250000000001</c:v>
                </c:pt>
                <c:pt idx="995">
                  <c:v>1.4737499999999999</c:v>
                </c:pt>
                <c:pt idx="996">
                  <c:v>1.4748749999999999</c:v>
                </c:pt>
                <c:pt idx="997">
                  <c:v>1.476</c:v>
                </c:pt>
                <c:pt idx="998">
                  <c:v>1.477125</c:v>
                </c:pt>
                <c:pt idx="999">
                  <c:v>1.4782500000000001</c:v>
                </c:pt>
                <c:pt idx="1000">
                  <c:v>1.4793750000000001</c:v>
                </c:pt>
                <c:pt idx="1001">
                  <c:v>1.4805000000000001</c:v>
                </c:pt>
                <c:pt idx="1002">
                  <c:v>1.481625</c:v>
                </c:pt>
                <c:pt idx="1003">
                  <c:v>1.48275</c:v>
                </c:pt>
                <c:pt idx="1004">
                  <c:v>1.4838750000000001</c:v>
                </c:pt>
                <c:pt idx="1005">
                  <c:v>1.4850000000000001</c:v>
                </c:pt>
                <c:pt idx="1006">
                  <c:v>1.4861249999999999</c:v>
                </c:pt>
                <c:pt idx="1007">
                  <c:v>1.48725</c:v>
                </c:pt>
                <c:pt idx="1008">
                  <c:v>1.488375</c:v>
                </c:pt>
                <c:pt idx="1009">
                  <c:v>1.4895</c:v>
                </c:pt>
                <c:pt idx="1010">
                  <c:v>1.4906250000000001</c:v>
                </c:pt>
                <c:pt idx="1011">
                  <c:v>1.4917500000000001</c:v>
                </c:pt>
                <c:pt idx="1012">
                  <c:v>1.492875</c:v>
                </c:pt>
                <c:pt idx="1013">
                  <c:v>1.494</c:v>
                </c:pt>
                <c:pt idx="1014">
                  <c:v>1.495125</c:v>
                </c:pt>
                <c:pt idx="1015">
                  <c:v>1.4962500000000001</c:v>
                </c:pt>
                <c:pt idx="1016">
                  <c:v>1.4973750000000001</c:v>
                </c:pt>
                <c:pt idx="1017">
                  <c:v>1.4984999999999999</c:v>
                </c:pt>
                <c:pt idx="1018">
                  <c:v>1.499625</c:v>
                </c:pt>
                <c:pt idx="1019">
                  <c:v>1.50075</c:v>
                </c:pt>
                <c:pt idx="1020">
                  <c:v>1.5018750000000001</c:v>
                </c:pt>
                <c:pt idx="1021">
                  <c:v>1.5030000000000001</c:v>
                </c:pt>
                <c:pt idx="1022">
                  <c:v>1.5041249999999999</c:v>
                </c:pt>
                <c:pt idx="1023">
                  <c:v>1.50525</c:v>
                </c:pt>
                <c:pt idx="1024">
                  <c:v>1.506375</c:v>
                </c:pt>
                <c:pt idx="1025">
                  <c:v>1.5075000000000001</c:v>
                </c:pt>
                <c:pt idx="1026">
                  <c:v>1.5086249999999999</c:v>
                </c:pt>
                <c:pt idx="1027">
                  <c:v>1.5097500000000001</c:v>
                </c:pt>
                <c:pt idx="1028">
                  <c:v>1.5108750000000002</c:v>
                </c:pt>
                <c:pt idx="1029">
                  <c:v>1.512</c:v>
                </c:pt>
                <c:pt idx="1030">
                  <c:v>1.5131250000000001</c:v>
                </c:pt>
                <c:pt idx="1031">
                  <c:v>1.5142500000000001</c:v>
                </c:pt>
                <c:pt idx="1032">
                  <c:v>1.5153750000000001</c:v>
                </c:pt>
                <c:pt idx="1033">
                  <c:v>1.5165000000000002</c:v>
                </c:pt>
                <c:pt idx="1034">
                  <c:v>1.517625</c:v>
                </c:pt>
                <c:pt idx="1035">
                  <c:v>1.51875</c:v>
                </c:pt>
                <c:pt idx="1036">
                  <c:v>1.5198749999999999</c:v>
                </c:pt>
                <c:pt idx="1037">
                  <c:v>1.5209999999999999</c:v>
                </c:pt>
                <c:pt idx="1038">
                  <c:v>1.522125</c:v>
                </c:pt>
                <c:pt idx="1039">
                  <c:v>1.52325</c:v>
                </c:pt>
                <c:pt idx="1040">
                  <c:v>1.524375</c:v>
                </c:pt>
                <c:pt idx="1041">
                  <c:v>1.5255000000000001</c:v>
                </c:pt>
                <c:pt idx="1042">
                  <c:v>1.5266249999999999</c:v>
                </c:pt>
                <c:pt idx="1043">
                  <c:v>1.5277499999999999</c:v>
                </c:pt>
                <c:pt idx="1044">
                  <c:v>1.5288750000000002</c:v>
                </c:pt>
                <c:pt idx="1045">
                  <c:v>1.53</c:v>
                </c:pt>
                <c:pt idx="1046">
                  <c:v>1.5311250000000001</c:v>
                </c:pt>
                <c:pt idx="1047">
                  <c:v>1.5322500000000001</c:v>
                </c:pt>
                <c:pt idx="1048">
                  <c:v>1.5333749999999999</c:v>
                </c:pt>
                <c:pt idx="1049">
                  <c:v>1.5345</c:v>
                </c:pt>
                <c:pt idx="1050">
                  <c:v>1.535625</c:v>
                </c:pt>
                <c:pt idx="1051">
                  <c:v>1.5367500000000001</c:v>
                </c:pt>
                <c:pt idx="1052">
                  <c:v>1.5378750000000001</c:v>
                </c:pt>
                <c:pt idx="1053">
                  <c:v>1.5390000000000001</c:v>
                </c:pt>
                <c:pt idx="1054">
                  <c:v>1.5401250000000002</c:v>
                </c:pt>
                <c:pt idx="1055">
                  <c:v>1.5412500000000002</c:v>
                </c:pt>
                <c:pt idx="1056">
                  <c:v>1.5423750000000001</c:v>
                </c:pt>
                <c:pt idx="1057">
                  <c:v>1.5434999999999999</c:v>
                </c:pt>
                <c:pt idx="1058">
                  <c:v>1.5446250000000001</c:v>
                </c:pt>
                <c:pt idx="1059">
                  <c:v>1.5457500000000002</c:v>
                </c:pt>
                <c:pt idx="1060">
                  <c:v>1.5468750000000002</c:v>
                </c:pt>
                <c:pt idx="1061">
                  <c:v>1.548</c:v>
                </c:pt>
                <c:pt idx="1062">
                  <c:v>1.5491249999999999</c:v>
                </c:pt>
                <c:pt idx="1063">
                  <c:v>1.5502500000000001</c:v>
                </c:pt>
                <c:pt idx="1064">
                  <c:v>1.5513750000000002</c:v>
                </c:pt>
                <c:pt idx="1065">
                  <c:v>1.5525</c:v>
                </c:pt>
                <c:pt idx="1066">
                  <c:v>1.553625</c:v>
                </c:pt>
                <c:pt idx="1067">
                  <c:v>1.5547500000000001</c:v>
                </c:pt>
                <c:pt idx="1068">
                  <c:v>1.5558749999999999</c:v>
                </c:pt>
                <c:pt idx="1069">
                  <c:v>1.5569999999999999</c:v>
                </c:pt>
                <c:pt idx="1070">
                  <c:v>1.558125</c:v>
                </c:pt>
                <c:pt idx="1071">
                  <c:v>1.5592500000000002</c:v>
                </c:pt>
                <c:pt idx="1072">
                  <c:v>1.5603750000000001</c:v>
                </c:pt>
                <c:pt idx="1073">
                  <c:v>1.5615000000000001</c:v>
                </c:pt>
                <c:pt idx="1074">
                  <c:v>1.5626250000000002</c:v>
                </c:pt>
                <c:pt idx="1075">
                  <c:v>1.5637500000000002</c:v>
                </c:pt>
                <c:pt idx="1076">
                  <c:v>1.5648750000000002</c:v>
                </c:pt>
                <c:pt idx="1077">
                  <c:v>1.5660000000000001</c:v>
                </c:pt>
                <c:pt idx="1078">
                  <c:v>1.5671250000000001</c:v>
                </c:pt>
                <c:pt idx="1079">
                  <c:v>1.5682500000000001</c:v>
                </c:pt>
                <c:pt idx="1080">
                  <c:v>1.5693750000000002</c:v>
                </c:pt>
                <c:pt idx="1081">
                  <c:v>1.5705000000000002</c:v>
                </c:pt>
                <c:pt idx="1082">
                  <c:v>1.5716249999999998</c:v>
                </c:pt>
                <c:pt idx="1083">
                  <c:v>1.5727499999999999</c:v>
                </c:pt>
                <c:pt idx="1084">
                  <c:v>1.5738749999999999</c:v>
                </c:pt>
                <c:pt idx="1085">
                  <c:v>1.5750000000000002</c:v>
                </c:pt>
                <c:pt idx="1086">
                  <c:v>1.5761249999999998</c:v>
                </c:pt>
                <c:pt idx="1087">
                  <c:v>1.57725</c:v>
                </c:pt>
                <c:pt idx="1088">
                  <c:v>1.5783749999999999</c:v>
                </c:pt>
                <c:pt idx="1089">
                  <c:v>1.5794999999999999</c:v>
                </c:pt>
                <c:pt idx="1090">
                  <c:v>1.5806249999999999</c:v>
                </c:pt>
                <c:pt idx="1091">
                  <c:v>1.58175</c:v>
                </c:pt>
                <c:pt idx="1092">
                  <c:v>1.5828749999999998</c:v>
                </c:pt>
                <c:pt idx="1093">
                  <c:v>1.5839999999999999</c:v>
                </c:pt>
                <c:pt idx="1094">
                  <c:v>1.5851250000000001</c:v>
                </c:pt>
                <c:pt idx="1095">
                  <c:v>1.5862499999999999</c:v>
                </c:pt>
                <c:pt idx="1096">
                  <c:v>1.5873750000000002</c:v>
                </c:pt>
                <c:pt idx="1097">
                  <c:v>1.5885</c:v>
                </c:pt>
                <c:pt idx="1098">
                  <c:v>1.5896250000000001</c:v>
                </c:pt>
                <c:pt idx="1099">
                  <c:v>1.5907500000000001</c:v>
                </c:pt>
                <c:pt idx="1100">
                  <c:v>1.5918749999999999</c:v>
                </c:pt>
                <c:pt idx="1101">
                  <c:v>1.593</c:v>
                </c:pt>
                <c:pt idx="1102">
                  <c:v>1.594125</c:v>
                </c:pt>
                <c:pt idx="1103">
                  <c:v>1.5952500000000001</c:v>
                </c:pt>
                <c:pt idx="1104">
                  <c:v>1.5963750000000001</c:v>
                </c:pt>
                <c:pt idx="1105">
                  <c:v>1.5974999999999999</c:v>
                </c:pt>
                <c:pt idx="1106">
                  <c:v>1.5986250000000002</c:v>
                </c:pt>
                <c:pt idx="1107">
                  <c:v>1.59975</c:v>
                </c:pt>
                <c:pt idx="1108">
                  <c:v>1.600875</c:v>
                </c:pt>
                <c:pt idx="1109">
                  <c:v>1.6019999999999999</c:v>
                </c:pt>
                <c:pt idx="1110">
                  <c:v>1.6031250000000001</c:v>
                </c:pt>
                <c:pt idx="1111">
                  <c:v>1.6042500000000002</c:v>
                </c:pt>
                <c:pt idx="1112">
                  <c:v>1.605375</c:v>
                </c:pt>
                <c:pt idx="1113">
                  <c:v>1.6065</c:v>
                </c:pt>
                <c:pt idx="1114">
                  <c:v>1.6076250000000001</c:v>
                </c:pt>
                <c:pt idx="1115">
                  <c:v>1.6087499999999999</c:v>
                </c:pt>
                <c:pt idx="1116">
                  <c:v>1.6098749999999999</c:v>
                </c:pt>
                <c:pt idx="1117">
                  <c:v>1.6110000000000002</c:v>
                </c:pt>
                <c:pt idx="1118">
                  <c:v>1.612125</c:v>
                </c:pt>
                <c:pt idx="1119">
                  <c:v>1.6132500000000001</c:v>
                </c:pt>
                <c:pt idx="1120">
                  <c:v>1.6143750000000001</c:v>
                </c:pt>
                <c:pt idx="1121">
                  <c:v>1.6154999999999999</c:v>
                </c:pt>
                <c:pt idx="1122">
                  <c:v>1.616625</c:v>
                </c:pt>
                <c:pt idx="1123">
                  <c:v>1.61775</c:v>
                </c:pt>
                <c:pt idx="1124">
                  <c:v>1.6188749999999998</c:v>
                </c:pt>
                <c:pt idx="1125">
                  <c:v>1.6199999999999999</c:v>
                </c:pt>
                <c:pt idx="1126">
                  <c:v>1.6211249999999999</c:v>
                </c:pt>
                <c:pt idx="1127">
                  <c:v>1.6222500000000002</c:v>
                </c:pt>
                <c:pt idx="1128">
                  <c:v>1.6233750000000002</c:v>
                </c:pt>
                <c:pt idx="1129">
                  <c:v>1.6244999999999998</c:v>
                </c:pt>
                <c:pt idx="1130">
                  <c:v>1.6256249999999999</c:v>
                </c:pt>
                <c:pt idx="1131">
                  <c:v>1.6267499999999999</c:v>
                </c:pt>
                <c:pt idx="1132">
                  <c:v>1.627875</c:v>
                </c:pt>
                <c:pt idx="1133">
                  <c:v>1.629</c:v>
                </c:pt>
                <c:pt idx="1134">
                  <c:v>1.630125</c:v>
                </c:pt>
                <c:pt idx="1135">
                  <c:v>1.6312500000000001</c:v>
                </c:pt>
                <c:pt idx="1136">
                  <c:v>1.6323749999999999</c:v>
                </c:pt>
                <c:pt idx="1137">
                  <c:v>1.6335</c:v>
                </c:pt>
                <c:pt idx="1138">
                  <c:v>1.6346250000000002</c:v>
                </c:pt>
                <c:pt idx="1139">
                  <c:v>1.63575</c:v>
                </c:pt>
                <c:pt idx="1140">
                  <c:v>1.6368749999999999</c:v>
                </c:pt>
                <c:pt idx="1141">
                  <c:v>1.6379999999999999</c:v>
                </c:pt>
                <c:pt idx="1142">
                  <c:v>1.6391249999999999</c:v>
                </c:pt>
                <c:pt idx="1143">
                  <c:v>1.64025</c:v>
                </c:pt>
                <c:pt idx="1144">
                  <c:v>1.6413750000000003</c:v>
                </c:pt>
                <c:pt idx="1145">
                  <c:v>1.6425000000000001</c:v>
                </c:pt>
                <c:pt idx="1146">
                  <c:v>1.6436250000000001</c:v>
                </c:pt>
                <c:pt idx="1147">
                  <c:v>1.6447500000000002</c:v>
                </c:pt>
                <c:pt idx="1148">
                  <c:v>1.645875</c:v>
                </c:pt>
                <c:pt idx="1149">
                  <c:v>1.6469999999999998</c:v>
                </c:pt>
                <c:pt idx="1150">
                  <c:v>1.6481250000000001</c:v>
                </c:pt>
                <c:pt idx="1151">
                  <c:v>1.6492500000000001</c:v>
                </c:pt>
                <c:pt idx="1152">
                  <c:v>1.6503749999999999</c:v>
                </c:pt>
                <c:pt idx="1153">
                  <c:v>1.6515</c:v>
                </c:pt>
                <c:pt idx="1154">
                  <c:v>1.652625</c:v>
                </c:pt>
                <c:pt idx="1155">
                  <c:v>1.6537499999999998</c:v>
                </c:pt>
                <c:pt idx="1156">
                  <c:v>1.6548750000000001</c:v>
                </c:pt>
                <c:pt idx="1157">
                  <c:v>1.6560000000000001</c:v>
                </c:pt>
                <c:pt idx="1158">
                  <c:v>1.657125</c:v>
                </c:pt>
                <c:pt idx="1159">
                  <c:v>1.6582500000000002</c:v>
                </c:pt>
                <c:pt idx="1160">
                  <c:v>1.659375</c:v>
                </c:pt>
                <c:pt idx="1161">
                  <c:v>1.6605000000000001</c:v>
                </c:pt>
                <c:pt idx="1162">
                  <c:v>1.6616250000000001</c:v>
                </c:pt>
                <c:pt idx="1163">
                  <c:v>1.6627500000000002</c:v>
                </c:pt>
                <c:pt idx="1164">
                  <c:v>1.663875</c:v>
                </c:pt>
                <c:pt idx="1165">
                  <c:v>1.665</c:v>
                </c:pt>
                <c:pt idx="1166">
                  <c:v>1.6661249999999999</c:v>
                </c:pt>
                <c:pt idx="1167">
                  <c:v>1.6672500000000001</c:v>
                </c:pt>
                <c:pt idx="1168">
                  <c:v>1.6683750000000002</c:v>
                </c:pt>
                <c:pt idx="1169">
                  <c:v>1.6695000000000002</c:v>
                </c:pt>
                <c:pt idx="1170">
                  <c:v>1.670625</c:v>
                </c:pt>
                <c:pt idx="1171">
                  <c:v>1.6717499999999998</c:v>
                </c:pt>
                <c:pt idx="1172">
                  <c:v>1.6728750000000001</c:v>
                </c:pt>
                <c:pt idx="1173">
                  <c:v>1.6740000000000002</c:v>
                </c:pt>
                <c:pt idx="1174">
                  <c:v>1.675125</c:v>
                </c:pt>
                <c:pt idx="1175">
                  <c:v>1.67625</c:v>
                </c:pt>
                <c:pt idx="1176">
                  <c:v>1.6773749999999998</c:v>
                </c:pt>
                <c:pt idx="1177">
                  <c:v>1.6784999999999999</c:v>
                </c:pt>
                <c:pt idx="1178">
                  <c:v>1.6796249999999999</c:v>
                </c:pt>
                <c:pt idx="1179">
                  <c:v>1.68075</c:v>
                </c:pt>
                <c:pt idx="1180">
                  <c:v>1.681875</c:v>
                </c:pt>
                <c:pt idx="1181">
                  <c:v>1.6830000000000001</c:v>
                </c:pt>
                <c:pt idx="1182">
                  <c:v>1.6841249999999999</c:v>
                </c:pt>
                <c:pt idx="1183">
                  <c:v>1.6852500000000001</c:v>
                </c:pt>
                <c:pt idx="1184">
                  <c:v>1.686375</c:v>
                </c:pt>
                <c:pt idx="1185">
                  <c:v>1.6875</c:v>
                </c:pt>
                <c:pt idx="1186">
                  <c:v>1.688625</c:v>
                </c:pt>
                <c:pt idx="1187">
                  <c:v>1.6897499999999999</c:v>
                </c:pt>
                <c:pt idx="1188">
                  <c:v>1.6908750000000001</c:v>
                </c:pt>
                <c:pt idx="1189">
                  <c:v>1.6920000000000002</c:v>
                </c:pt>
                <c:pt idx="1190">
                  <c:v>1.693125</c:v>
                </c:pt>
                <c:pt idx="1191">
                  <c:v>1.69425</c:v>
                </c:pt>
                <c:pt idx="1192">
                  <c:v>1.6953750000000001</c:v>
                </c:pt>
                <c:pt idx="1193">
                  <c:v>1.6964999999999999</c:v>
                </c:pt>
                <c:pt idx="1194">
                  <c:v>1.6976250000000002</c:v>
                </c:pt>
                <c:pt idx="1195">
                  <c:v>1.69875</c:v>
                </c:pt>
                <c:pt idx="1196">
                  <c:v>1.699875</c:v>
                </c:pt>
                <c:pt idx="1197">
                  <c:v>1.7010000000000001</c:v>
                </c:pt>
                <c:pt idx="1198">
                  <c:v>1.7021249999999999</c:v>
                </c:pt>
                <c:pt idx="1199">
                  <c:v>1.7032499999999999</c:v>
                </c:pt>
                <c:pt idx="1200">
                  <c:v>1.7043750000000002</c:v>
                </c:pt>
                <c:pt idx="1201">
                  <c:v>1.7055</c:v>
                </c:pt>
                <c:pt idx="1202">
                  <c:v>1.7066250000000001</c:v>
                </c:pt>
                <c:pt idx="1203">
                  <c:v>1.7077499999999999</c:v>
                </c:pt>
                <c:pt idx="1204">
                  <c:v>1.7088749999999999</c:v>
                </c:pt>
                <c:pt idx="1205">
                  <c:v>1.7100000000000002</c:v>
                </c:pt>
                <c:pt idx="1206">
                  <c:v>1.711125</c:v>
                </c:pt>
                <c:pt idx="1207">
                  <c:v>1.71225</c:v>
                </c:pt>
                <c:pt idx="1208">
                  <c:v>1.7133749999999999</c:v>
                </c:pt>
                <c:pt idx="1209">
                  <c:v>1.7145000000000001</c:v>
                </c:pt>
                <c:pt idx="1210">
                  <c:v>1.715625</c:v>
                </c:pt>
                <c:pt idx="1211">
                  <c:v>1.71675</c:v>
                </c:pt>
                <c:pt idx="1212">
                  <c:v>1.7178749999999998</c:v>
                </c:pt>
                <c:pt idx="1213">
                  <c:v>1.7190000000000001</c:v>
                </c:pt>
                <c:pt idx="1214">
                  <c:v>1.7201250000000001</c:v>
                </c:pt>
                <c:pt idx="1215">
                  <c:v>1.7212499999999999</c:v>
                </c:pt>
                <c:pt idx="1216">
                  <c:v>1.722375</c:v>
                </c:pt>
                <c:pt idx="1217">
                  <c:v>1.7234999999999998</c:v>
                </c:pt>
                <c:pt idx="1218">
                  <c:v>1.7246250000000001</c:v>
                </c:pt>
                <c:pt idx="1219">
                  <c:v>1.7257499999999999</c:v>
                </c:pt>
                <c:pt idx="1220">
                  <c:v>1.4801785714285716</c:v>
                </c:pt>
                <c:pt idx="1221">
                  <c:v>1.4811428571428571</c:v>
                </c:pt>
                <c:pt idx="1222">
                  <c:v>1.4821071428571431</c:v>
                </c:pt>
                <c:pt idx="1223">
                  <c:v>1.4830714285714286</c:v>
                </c:pt>
                <c:pt idx="1224">
                  <c:v>1.4840357142857143</c:v>
                </c:pt>
                <c:pt idx="1225">
                  <c:v>1.4850000000000001</c:v>
                </c:pt>
                <c:pt idx="1226">
                  <c:v>1.4859642857142858</c:v>
                </c:pt>
                <c:pt idx="1227">
                  <c:v>1.4869285714285714</c:v>
                </c:pt>
                <c:pt idx="1228">
                  <c:v>1.4878928571428574</c:v>
                </c:pt>
                <c:pt idx="1229">
                  <c:v>1.4888571428571431</c:v>
                </c:pt>
                <c:pt idx="1230">
                  <c:v>1.4898214285714289</c:v>
                </c:pt>
                <c:pt idx="1231">
                  <c:v>1.4907857142857144</c:v>
                </c:pt>
                <c:pt idx="1232">
                  <c:v>1.4917499999999999</c:v>
                </c:pt>
                <c:pt idx="1233">
                  <c:v>1.4927142857142859</c:v>
                </c:pt>
                <c:pt idx="1234">
                  <c:v>1.4936785714285714</c:v>
                </c:pt>
                <c:pt idx="1235">
                  <c:v>1.4946428571428572</c:v>
                </c:pt>
                <c:pt idx="1236">
                  <c:v>1.4956071428571429</c:v>
                </c:pt>
                <c:pt idx="1237">
                  <c:v>1.4965714285714289</c:v>
                </c:pt>
                <c:pt idx="1238">
                  <c:v>1.4975357142857142</c:v>
                </c:pt>
                <c:pt idx="1239">
                  <c:v>1.4984999999999999</c:v>
                </c:pt>
                <c:pt idx="1240">
                  <c:v>1.4994642857142859</c:v>
                </c:pt>
                <c:pt idx="1241">
                  <c:v>1.5004285714285717</c:v>
                </c:pt>
                <c:pt idx="1242">
                  <c:v>1.501392857142857</c:v>
                </c:pt>
                <c:pt idx="1243">
                  <c:v>1.5023571428571429</c:v>
                </c:pt>
                <c:pt idx="1244">
                  <c:v>1.5033214285714285</c:v>
                </c:pt>
                <c:pt idx="1245">
                  <c:v>1.5042857142857144</c:v>
                </c:pt>
                <c:pt idx="1246">
                  <c:v>1.5052500000000002</c:v>
                </c:pt>
                <c:pt idx="1247">
                  <c:v>1.5062142857142857</c:v>
                </c:pt>
                <c:pt idx="1248">
                  <c:v>1.5071785714285715</c:v>
                </c:pt>
                <c:pt idx="1249">
                  <c:v>1.508142857142857</c:v>
                </c:pt>
                <c:pt idx="1250">
                  <c:v>1.509107142857143</c:v>
                </c:pt>
                <c:pt idx="1251">
                  <c:v>1.5100714285714285</c:v>
                </c:pt>
                <c:pt idx="1252">
                  <c:v>1.5110357142857145</c:v>
                </c:pt>
                <c:pt idx="1253">
                  <c:v>1.512</c:v>
                </c:pt>
                <c:pt idx="1254">
                  <c:v>1.5129642857142858</c:v>
                </c:pt>
                <c:pt idx="1255">
                  <c:v>1.5139285714285715</c:v>
                </c:pt>
                <c:pt idx="1256">
                  <c:v>1.5148928571428573</c:v>
                </c:pt>
                <c:pt idx="1257">
                  <c:v>1.515857142857143</c:v>
                </c:pt>
                <c:pt idx="1258">
                  <c:v>1.5168214285714285</c:v>
                </c:pt>
                <c:pt idx="1259">
                  <c:v>1.5177857142857143</c:v>
                </c:pt>
                <c:pt idx="1260">
                  <c:v>1.51875</c:v>
                </c:pt>
                <c:pt idx="1261">
                  <c:v>1.5197142857142858</c:v>
                </c:pt>
                <c:pt idx="1262">
                  <c:v>1.5206785714285715</c:v>
                </c:pt>
                <c:pt idx="1263">
                  <c:v>1.5216428571428571</c:v>
                </c:pt>
                <c:pt idx="1264">
                  <c:v>1.5226071428571428</c:v>
                </c:pt>
                <c:pt idx="1265">
                  <c:v>1.5235714285714286</c:v>
                </c:pt>
                <c:pt idx="1266">
                  <c:v>1.5245357142857143</c:v>
                </c:pt>
                <c:pt idx="1267">
                  <c:v>1.5255000000000003</c:v>
                </c:pt>
                <c:pt idx="1268">
                  <c:v>1.5264642857142861</c:v>
                </c:pt>
                <c:pt idx="1269">
                  <c:v>1.5274285714285714</c:v>
                </c:pt>
                <c:pt idx="1270">
                  <c:v>1.5283928571428573</c:v>
                </c:pt>
                <c:pt idx="1271">
                  <c:v>1.5293571428571429</c:v>
                </c:pt>
                <c:pt idx="1272">
                  <c:v>1.5303214285714288</c:v>
                </c:pt>
                <c:pt idx="1273">
                  <c:v>1.5312857142857144</c:v>
                </c:pt>
                <c:pt idx="1274">
                  <c:v>1.5322500000000003</c:v>
                </c:pt>
                <c:pt idx="1275">
                  <c:v>1.5332142857142859</c:v>
                </c:pt>
                <c:pt idx="1276">
                  <c:v>1.5341785714285716</c:v>
                </c:pt>
                <c:pt idx="1277">
                  <c:v>1.5351428571428574</c:v>
                </c:pt>
                <c:pt idx="1278">
                  <c:v>1.5361071428571429</c:v>
                </c:pt>
                <c:pt idx="1279">
                  <c:v>1.5370714285714284</c:v>
                </c:pt>
                <c:pt idx="1280">
                  <c:v>1.5380357142857144</c:v>
                </c:pt>
                <c:pt idx="1281">
                  <c:v>1.5390000000000001</c:v>
                </c:pt>
                <c:pt idx="1282">
                  <c:v>1.5399642857142857</c:v>
                </c:pt>
                <c:pt idx="1283">
                  <c:v>1.5409285714285714</c:v>
                </c:pt>
                <c:pt idx="1284">
                  <c:v>1.5418928571428574</c:v>
                </c:pt>
                <c:pt idx="1285">
                  <c:v>1.5428571428571429</c:v>
                </c:pt>
                <c:pt idx="1286">
                  <c:v>1.5438214285714287</c:v>
                </c:pt>
                <c:pt idx="1287">
                  <c:v>1.5447857142857144</c:v>
                </c:pt>
                <c:pt idx="1288">
                  <c:v>1.54575</c:v>
                </c:pt>
                <c:pt idx="1289">
                  <c:v>1.5467142857142857</c:v>
                </c:pt>
                <c:pt idx="1290">
                  <c:v>1.5476785714285715</c:v>
                </c:pt>
                <c:pt idx="1291">
                  <c:v>1.5486428571428572</c:v>
                </c:pt>
                <c:pt idx="1292">
                  <c:v>1.549607142857143</c:v>
                </c:pt>
                <c:pt idx="1293">
                  <c:v>1.5505714285714287</c:v>
                </c:pt>
                <c:pt idx="1294">
                  <c:v>1.5515357142857142</c:v>
                </c:pt>
                <c:pt idx="1295">
                  <c:v>1.5525</c:v>
                </c:pt>
                <c:pt idx="1296">
                  <c:v>1.553464285714286</c:v>
                </c:pt>
                <c:pt idx="1297">
                  <c:v>1.5544285714285715</c:v>
                </c:pt>
                <c:pt idx="1298">
                  <c:v>1.5553928571428572</c:v>
                </c:pt>
                <c:pt idx="1299">
                  <c:v>1.5563571428571428</c:v>
                </c:pt>
                <c:pt idx="1300">
                  <c:v>1.5573214285714287</c:v>
                </c:pt>
                <c:pt idx="1301">
                  <c:v>1.5582857142857143</c:v>
                </c:pt>
                <c:pt idx="1302">
                  <c:v>1.55925</c:v>
                </c:pt>
                <c:pt idx="1303">
                  <c:v>1.5602142857142858</c:v>
                </c:pt>
                <c:pt idx="1304">
                  <c:v>1.5611785714285715</c:v>
                </c:pt>
                <c:pt idx="1305">
                  <c:v>1.5621428571428573</c:v>
                </c:pt>
                <c:pt idx="1306">
                  <c:v>1.563107142857143</c:v>
                </c:pt>
                <c:pt idx="1307">
                  <c:v>1.5640714285714286</c:v>
                </c:pt>
                <c:pt idx="1308">
                  <c:v>1.5650357142857143</c:v>
                </c:pt>
                <c:pt idx="1309">
                  <c:v>1.5660000000000001</c:v>
                </c:pt>
                <c:pt idx="1310">
                  <c:v>1.5669642857142856</c:v>
                </c:pt>
                <c:pt idx="1311">
                  <c:v>1.5679285714285716</c:v>
                </c:pt>
                <c:pt idx="1312">
                  <c:v>1.5688928571428573</c:v>
                </c:pt>
                <c:pt idx="1313">
                  <c:v>1.5698571428571428</c:v>
                </c:pt>
                <c:pt idx="1314">
                  <c:v>1.5708214285714286</c:v>
                </c:pt>
                <c:pt idx="1315">
                  <c:v>1.5717857142857143</c:v>
                </c:pt>
                <c:pt idx="1316">
                  <c:v>1.5727500000000001</c:v>
                </c:pt>
                <c:pt idx="1317">
                  <c:v>1.5737142857142858</c:v>
                </c:pt>
                <c:pt idx="1318">
                  <c:v>1.5746785714285716</c:v>
                </c:pt>
                <c:pt idx="1319">
                  <c:v>1.5756428571428573</c:v>
                </c:pt>
                <c:pt idx="1320">
                  <c:v>1.5766071428571429</c:v>
                </c:pt>
                <c:pt idx="1321">
                  <c:v>1.5775714285714286</c:v>
                </c:pt>
                <c:pt idx="1322">
                  <c:v>1.5785357142857144</c:v>
                </c:pt>
                <c:pt idx="1323">
                  <c:v>1.5795000000000001</c:v>
                </c:pt>
                <c:pt idx="1324">
                  <c:v>1.5804642857142859</c:v>
                </c:pt>
                <c:pt idx="1325">
                  <c:v>1.5814285714285716</c:v>
                </c:pt>
                <c:pt idx="1326">
                  <c:v>1.5823928571428572</c:v>
                </c:pt>
                <c:pt idx="1327">
                  <c:v>1.5833571428571429</c:v>
                </c:pt>
                <c:pt idx="1328">
                  <c:v>1.5843214285714287</c:v>
                </c:pt>
                <c:pt idx="1329">
                  <c:v>1.5852857142857144</c:v>
                </c:pt>
                <c:pt idx="1330">
                  <c:v>1.5862499999999999</c:v>
                </c:pt>
                <c:pt idx="1331">
                  <c:v>1.5872142857142859</c:v>
                </c:pt>
                <c:pt idx="1332">
                  <c:v>1.5881785714285714</c:v>
                </c:pt>
                <c:pt idx="1333">
                  <c:v>1.5891428571428572</c:v>
                </c:pt>
                <c:pt idx="1334">
                  <c:v>1.5901071428571429</c:v>
                </c:pt>
                <c:pt idx="1335">
                  <c:v>1.5910714285714287</c:v>
                </c:pt>
                <c:pt idx="1336">
                  <c:v>1.5920357142857144</c:v>
                </c:pt>
                <c:pt idx="1337">
                  <c:v>1.593</c:v>
                </c:pt>
                <c:pt idx="1338">
                  <c:v>1.5939642857142857</c:v>
                </c:pt>
                <c:pt idx="1339">
                  <c:v>1.5949285714285715</c:v>
                </c:pt>
                <c:pt idx="1340">
                  <c:v>1.5958928571428572</c:v>
                </c:pt>
                <c:pt idx="1341">
                  <c:v>1.596857142857143</c:v>
                </c:pt>
                <c:pt idx="1342">
                  <c:v>1.5978214285714287</c:v>
                </c:pt>
                <c:pt idx="1343">
                  <c:v>1.5987857142857143</c:v>
                </c:pt>
                <c:pt idx="1344">
                  <c:v>1.59975</c:v>
                </c:pt>
                <c:pt idx="1345">
                  <c:v>1.6007142857142858</c:v>
                </c:pt>
                <c:pt idx="1346">
                  <c:v>1.6016785714285715</c:v>
                </c:pt>
                <c:pt idx="1347">
                  <c:v>1.6026428571428573</c:v>
                </c:pt>
                <c:pt idx="1348">
                  <c:v>1.6036071428571428</c:v>
                </c:pt>
                <c:pt idx="1349">
                  <c:v>1.6045714285714285</c:v>
                </c:pt>
                <c:pt idx="1350">
                  <c:v>1.6055357142857143</c:v>
                </c:pt>
                <c:pt idx="1351">
                  <c:v>1.6065</c:v>
                </c:pt>
                <c:pt idx="1352">
                  <c:v>1.6074642857142858</c:v>
                </c:pt>
                <c:pt idx="1353">
                  <c:v>1.6084285714285715</c:v>
                </c:pt>
                <c:pt idx="1354">
                  <c:v>1.6093928571428573</c:v>
                </c:pt>
                <c:pt idx="1355">
                  <c:v>1.6103571428571428</c:v>
                </c:pt>
                <c:pt idx="1356">
                  <c:v>1.6113214285714286</c:v>
                </c:pt>
                <c:pt idx="1357">
                  <c:v>1.6122857142857143</c:v>
                </c:pt>
                <c:pt idx="1358">
                  <c:v>1.6132500000000001</c:v>
                </c:pt>
                <c:pt idx="1359">
                  <c:v>1.6142142857142858</c:v>
                </c:pt>
                <c:pt idx="1360">
                  <c:v>1.6151785714285716</c:v>
                </c:pt>
                <c:pt idx="1361">
                  <c:v>1.6161428571428573</c:v>
                </c:pt>
                <c:pt idx="1362">
                  <c:v>1.6171071428571429</c:v>
                </c:pt>
                <c:pt idx="1363">
                  <c:v>1.6180714285714286</c:v>
                </c:pt>
                <c:pt idx="1364">
                  <c:v>1.6190357142857144</c:v>
                </c:pt>
                <c:pt idx="1365">
                  <c:v>1.62</c:v>
                </c:pt>
                <c:pt idx="1366">
                  <c:v>1.6209642857142856</c:v>
                </c:pt>
                <c:pt idx="1367">
                  <c:v>1.6219285714285716</c:v>
                </c:pt>
                <c:pt idx="1368">
                  <c:v>1.6228928571428574</c:v>
                </c:pt>
                <c:pt idx="1369">
                  <c:v>1.6238571428571431</c:v>
                </c:pt>
                <c:pt idx="1370">
                  <c:v>1.6248214285714286</c:v>
                </c:pt>
                <c:pt idx="1371">
                  <c:v>1.6257857142857142</c:v>
                </c:pt>
                <c:pt idx="1372">
                  <c:v>1.6267500000000001</c:v>
                </c:pt>
                <c:pt idx="1373">
                  <c:v>1.6277142857142857</c:v>
                </c:pt>
                <c:pt idx="1374">
                  <c:v>1.6286785714285714</c:v>
                </c:pt>
                <c:pt idx="1375">
                  <c:v>1.6296428571428574</c:v>
                </c:pt>
                <c:pt idx="1376">
                  <c:v>1.6306071428571429</c:v>
                </c:pt>
                <c:pt idx="1377">
                  <c:v>1.6315714285714287</c:v>
                </c:pt>
                <c:pt idx="1378">
                  <c:v>1.6325357142857142</c:v>
                </c:pt>
                <c:pt idx="1379">
                  <c:v>1.6335</c:v>
                </c:pt>
                <c:pt idx="1380">
                  <c:v>1.6344642857142857</c:v>
                </c:pt>
                <c:pt idx="1381">
                  <c:v>1.6354285714285715</c:v>
                </c:pt>
                <c:pt idx="1382">
                  <c:v>1.6363928571428572</c:v>
                </c:pt>
                <c:pt idx="1383">
                  <c:v>1.637357142857143</c:v>
                </c:pt>
                <c:pt idx="1384">
                  <c:v>1.6383214285714287</c:v>
                </c:pt>
                <c:pt idx="1385">
                  <c:v>1.6392857142857145</c:v>
                </c:pt>
                <c:pt idx="1386">
                  <c:v>1.6402500000000002</c:v>
                </c:pt>
                <c:pt idx="1387">
                  <c:v>1.6412142857142857</c:v>
                </c:pt>
                <c:pt idx="1388">
                  <c:v>1.6421785714285715</c:v>
                </c:pt>
                <c:pt idx="1389">
                  <c:v>1.6431428571428572</c:v>
                </c:pt>
                <c:pt idx="1390">
                  <c:v>1.6441071428571428</c:v>
                </c:pt>
                <c:pt idx="1391">
                  <c:v>1.6450714285714287</c:v>
                </c:pt>
                <c:pt idx="1392">
                  <c:v>1.6460357142857143</c:v>
                </c:pt>
                <c:pt idx="1393">
                  <c:v>1.647</c:v>
                </c:pt>
                <c:pt idx="1394">
                  <c:v>1.6479642857142858</c:v>
                </c:pt>
                <c:pt idx="1395">
                  <c:v>1.6489285714285715</c:v>
                </c:pt>
                <c:pt idx="1396">
                  <c:v>1.6498928571428573</c:v>
                </c:pt>
                <c:pt idx="1397">
                  <c:v>1.650857142857143</c:v>
                </c:pt>
                <c:pt idx="1398">
                  <c:v>1.6518214285714286</c:v>
                </c:pt>
                <c:pt idx="1399">
                  <c:v>1.6527857142857143</c:v>
                </c:pt>
                <c:pt idx="1400">
                  <c:v>1.6537500000000001</c:v>
                </c:pt>
                <c:pt idx="1401">
                  <c:v>1.6547142857142858</c:v>
                </c:pt>
                <c:pt idx="1402">
                  <c:v>1.6556785714285716</c:v>
                </c:pt>
                <c:pt idx="1403">
                  <c:v>1.6566428571428573</c:v>
                </c:pt>
                <c:pt idx="1404">
                  <c:v>1.6576071428571428</c:v>
                </c:pt>
                <c:pt idx="1405">
                  <c:v>1.6585714285714286</c:v>
                </c:pt>
                <c:pt idx="1406">
                  <c:v>1.6595357142857143</c:v>
                </c:pt>
                <c:pt idx="1407">
                  <c:v>1.6605000000000001</c:v>
                </c:pt>
                <c:pt idx="1408">
                  <c:v>1.6614642857142858</c:v>
                </c:pt>
                <c:pt idx="1409">
                  <c:v>1.6624285714285716</c:v>
                </c:pt>
                <c:pt idx="1410">
                  <c:v>1.6633928571428571</c:v>
                </c:pt>
                <c:pt idx="1411">
                  <c:v>1.6643571428571429</c:v>
                </c:pt>
                <c:pt idx="1412">
                  <c:v>1.6653214285714286</c:v>
                </c:pt>
                <c:pt idx="1413">
                  <c:v>1.6662857142857144</c:v>
                </c:pt>
                <c:pt idx="1414">
                  <c:v>1.6672500000000001</c:v>
                </c:pt>
                <c:pt idx="1415">
                  <c:v>1.6682142857142859</c:v>
                </c:pt>
                <c:pt idx="1416">
                  <c:v>1.6691785714285714</c:v>
                </c:pt>
                <c:pt idx="1417">
                  <c:v>1.6701428571428574</c:v>
                </c:pt>
                <c:pt idx="1418">
                  <c:v>1.6711071428571429</c:v>
                </c:pt>
                <c:pt idx="1419">
                  <c:v>1.6720714285714287</c:v>
                </c:pt>
                <c:pt idx="1420">
                  <c:v>1.6730357142857144</c:v>
                </c:pt>
                <c:pt idx="1421">
                  <c:v>1.6740000000000002</c:v>
                </c:pt>
                <c:pt idx="1422">
                  <c:v>1.6749642857142857</c:v>
                </c:pt>
                <c:pt idx="1423">
                  <c:v>1.6759285714285714</c:v>
                </c:pt>
                <c:pt idx="1424">
                  <c:v>1.6768928571428572</c:v>
                </c:pt>
                <c:pt idx="1425">
                  <c:v>1.6778571428571429</c:v>
                </c:pt>
                <c:pt idx="1426">
                  <c:v>1.6788214285714287</c:v>
                </c:pt>
                <c:pt idx="1427">
                  <c:v>1.6797857142857142</c:v>
                </c:pt>
                <c:pt idx="1428">
                  <c:v>1.68075</c:v>
                </c:pt>
                <c:pt idx="1429">
                  <c:v>1.6817142857142857</c:v>
                </c:pt>
                <c:pt idx="1430">
                  <c:v>1.6826785714285715</c:v>
                </c:pt>
                <c:pt idx="1431">
                  <c:v>1.6836428571428572</c:v>
                </c:pt>
                <c:pt idx="1432">
                  <c:v>1.6846071428571427</c:v>
                </c:pt>
                <c:pt idx="1433">
                  <c:v>1.6855714285714285</c:v>
                </c:pt>
                <c:pt idx="1434">
                  <c:v>1.6865357142857145</c:v>
                </c:pt>
                <c:pt idx="1435">
                  <c:v>1.6875000000000002</c:v>
                </c:pt>
                <c:pt idx="1436">
                  <c:v>1.6884642857142858</c:v>
                </c:pt>
                <c:pt idx="1437">
                  <c:v>1.6894285714285715</c:v>
                </c:pt>
                <c:pt idx="1438">
                  <c:v>1.6903928571428573</c:v>
                </c:pt>
                <c:pt idx="1439">
                  <c:v>1.6913571428571428</c:v>
                </c:pt>
                <c:pt idx="1440">
                  <c:v>1.6923214285714285</c:v>
                </c:pt>
                <c:pt idx="1441">
                  <c:v>1.6932857142857145</c:v>
                </c:pt>
                <c:pt idx="1442">
                  <c:v>1.69425</c:v>
                </c:pt>
                <c:pt idx="1443">
                  <c:v>1.6952142857142858</c:v>
                </c:pt>
                <c:pt idx="1444">
                  <c:v>1.6961785714285715</c:v>
                </c:pt>
                <c:pt idx="1445">
                  <c:v>1.6971428571428573</c:v>
                </c:pt>
                <c:pt idx="1446">
                  <c:v>1.6981071428571428</c:v>
                </c:pt>
                <c:pt idx="1447">
                  <c:v>1.6990714285714288</c:v>
                </c:pt>
                <c:pt idx="1448">
                  <c:v>1.7000357142857143</c:v>
                </c:pt>
                <c:pt idx="1449">
                  <c:v>1.7010000000000001</c:v>
                </c:pt>
                <c:pt idx="1450">
                  <c:v>1.7019642857142858</c:v>
                </c:pt>
                <c:pt idx="1451">
                  <c:v>1.7029285714285716</c:v>
                </c:pt>
                <c:pt idx="1452">
                  <c:v>1.7038928571428573</c:v>
                </c:pt>
                <c:pt idx="1453">
                  <c:v>1.7048571428571428</c:v>
                </c:pt>
                <c:pt idx="1454">
                  <c:v>1.7058214285714286</c:v>
                </c:pt>
                <c:pt idx="1455">
                  <c:v>1.7067857142857144</c:v>
                </c:pt>
                <c:pt idx="1456">
                  <c:v>1.7077499999999999</c:v>
                </c:pt>
                <c:pt idx="1457">
                  <c:v>1.7087142857142859</c:v>
                </c:pt>
                <c:pt idx="1458">
                  <c:v>1.7096785714285714</c:v>
                </c:pt>
                <c:pt idx="1459">
                  <c:v>1.7106428571428574</c:v>
                </c:pt>
                <c:pt idx="1460">
                  <c:v>1.7116071428571429</c:v>
                </c:pt>
                <c:pt idx="1461">
                  <c:v>1.7125714285714286</c:v>
                </c:pt>
                <c:pt idx="1462">
                  <c:v>1.7135357142857144</c:v>
                </c:pt>
                <c:pt idx="1463">
                  <c:v>1.7145000000000001</c:v>
                </c:pt>
                <c:pt idx="1464">
                  <c:v>1.7154642857142859</c:v>
                </c:pt>
                <c:pt idx="1465">
                  <c:v>1.7164285714285716</c:v>
                </c:pt>
                <c:pt idx="1466">
                  <c:v>1.7173928571428572</c:v>
                </c:pt>
                <c:pt idx="1467">
                  <c:v>1.7183571428571429</c:v>
                </c:pt>
                <c:pt idx="1468">
                  <c:v>1.7193214285714287</c:v>
                </c:pt>
                <c:pt idx="1469">
                  <c:v>1.7202857142857142</c:v>
                </c:pt>
                <c:pt idx="1470">
                  <c:v>1.7212499999999999</c:v>
                </c:pt>
                <c:pt idx="1471">
                  <c:v>1.7222142857142857</c:v>
                </c:pt>
                <c:pt idx="1472">
                  <c:v>1.7231785714285714</c:v>
                </c:pt>
                <c:pt idx="1473">
                  <c:v>1.7241428571428572</c:v>
                </c:pt>
                <c:pt idx="1474">
                  <c:v>1.725107142857143</c:v>
                </c:pt>
                <c:pt idx="1475">
                  <c:v>1.7260714285714287</c:v>
                </c:pt>
                <c:pt idx="1476">
                  <c:v>1.5111562500000002</c:v>
                </c:pt>
                <c:pt idx="1477">
                  <c:v>1.512</c:v>
                </c:pt>
                <c:pt idx="1478">
                  <c:v>1.5128437500000003</c:v>
                </c:pt>
                <c:pt idx="1479">
                  <c:v>1.5136875000000001</c:v>
                </c:pt>
                <c:pt idx="1480">
                  <c:v>1.5145312500000001</c:v>
                </c:pt>
                <c:pt idx="1481">
                  <c:v>1.5153749999999999</c:v>
                </c:pt>
                <c:pt idx="1482">
                  <c:v>1.5162187500000002</c:v>
                </c:pt>
                <c:pt idx="1483">
                  <c:v>1.5170625000000002</c:v>
                </c:pt>
                <c:pt idx="1484">
                  <c:v>1.5179062500000002</c:v>
                </c:pt>
                <c:pt idx="1485">
                  <c:v>1.5187500000000003</c:v>
                </c:pt>
                <c:pt idx="1486">
                  <c:v>1.5195937500000001</c:v>
                </c:pt>
                <c:pt idx="1487">
                  <c:v>1.5204375000000001</c:v>
                </c:pt>
                <c:pt idx="1488">
                  <c:v>1.5212812500000001</c:v>
                </c:pt>
                <c:pt idx="1489">
                  <c:v>1.522125</c:v>
                </c:pt>
                <c:pt idx="1490">
                  <c:v>1.5229687500000002</c:v>
                </c:pt>
                <c:pt idx="1491">
                  <c:v>1.5238125000000002</c:v>
                </c:pt>
                <c:pt idx="1492">
                  <c:v>1.52465625</c:v>
                </c:pt>
                <c:pt idx="1493">
                  <c:v>1.5255000000000001</c:v>
                </c:pt>
                <c:pt idx="1494">
                  <c:v>1.5263437500000001</c:v>
                </c:pt>
                <c:pt idx="1495">
                  <c:v>1.5271875000000001</c:v>
                </c:pt>
                <c:pt idx="1496">
                  <c:v>1.5280312500000002</c:v>
                </c:pt>
                <c:pt idx="1497">
                  <c:v>1.5288750000000002</c:v>
                </c:pt>
                <c:pt idx="1498">
                  <c:v>1.52971875</c:v>
                </c:pt>
                <c:pt idx="1499">
                  <c:v>1.5305625</c:v>
                </c:pt>
                <c:pt idx="1500">
                  <c:v>1.5314062500000001</c:v>
                </c:pt>
                <c:pt idx="1501">
                  <c:v>1.5322500000000001</c:v>
                </c:pt>
                <c:pt idx="1502">
                  <c:v>1.5330937500000001</c:v>
                </c:pt>
                <c:pt idx="1503">
                  <c:v>1.5339375</c:v>
                </c:pt>
                <c:pt idx="1504">
                  <c:v>1.5347812500000002</c:v>
                </c:pt>
                <c:pt idx="1505">
                  <c:v>1.535625</c:v>
                </c:pt>
                <c:pt idx="1506">
                  <c:v>1.53646875</c:v>
                </c:pt>
                <c:pt idx="1507">
                  <c:v>1.5373125000000001</c:v>
                </c:pt>
                <c:pt idx="1508">
                  <c:v>1.5381562500000001</c:v>
                </c:pt>
                <c:pt idx="1509">
                  <c:v>1.5390000000000001</c:v>
                </c:pt>
                <c:pt idx="1510">
                  <c:v>1.5398437500000002</c:v>
                </c:pt>
                <c:pt idx="1511">
                  <c:v>1.5406875000000002</c:v>
                </c:pt>
                <c:pt idx="1512">
                  <c:v>1.5415312500000002</c:v>
                </c:pt>
                <c:pt idx="1513">
                  <c:v>1.5423750000000001</c:v>
                </c:pt>
                <c:pt idx="1514">
                  <c:v>1.5432187500000001</c:v>
                </c:pt>
                <c:pt idx="1515">
                  <c:v>1.5440625000000001</c:v>
                </c:pt>
                <c:pt idx="1516">
                  <c:v>1.5449062500000001</c:v>
                </c:pt>
                <c:pt idx="1517">
                  <c:v>1.54575</c:v>
                </c:pt>
                <c:pt idx="1518">
                  <c:v>1.5465937500000002</c:v>
                </c:pt>
                <c:pt idx="1519">
                  <c:v>1.5474375000000002</c:v>
                </c:pt>
                <c:pt idx="1520">
                  <c:v>1.5482812500000001</c:v>
                </c:pt>
                <c:pt idx="1521">
                  <c:v>1.5491250000000001</c:v>
                </c:pt>
                <c:pt idx="1522">
                  <c:v>1.5499687500000001</c:v>
                </c:pt>
                <c:pt idx="1523">
                  <c:v>1.5508125000000001</c:v>
                </c:pt>
                <c:pt idx="1524">
                  <c:v>1.55165625</c:v>
                </c:pt>
                <c:pt idx="1525">
                  <c:v>1.5525000000000002</c:v>
                </c:pt>
                <c:pt idx="1526">
                  <c:v>1.55334375</c:v>
                </c:pt>
                <c:pt idx="1527">
                  <c:v>1.5541875000000001</c:v>
                </c:pt>
                <c:pt idx="1528">
                  <c:v>1.5550312500000001</c:v>
                </c:pt>
                <c:pt idx="1529">
                  <c:v>1.5558750000000001</c:v>
                </c:pt>
                <c:pt idx="1530">
                  <c:v>1.5567187499999999</c:v>
                </c:pt>
                <c:pt idx="1531">
                  <c:v>1.5575625000000002</c:v>
                </c:pt>
                <c:pt idx="1532">
                  <c:v>1.55840625</c:v>
                </c:pt>
                <c:pt idx="1533">
                  <c:v>1.55925</c:v>
                </c:pt>
                <c:pt idx="1534">
                  <c:v>1.5600937500000003</c:v>
                </c:pt>
                <c:pt idx="1535">
                  <c:v>1.5609375000000001</c:v>
                </c:pt>
                <c:pt idx="1536">
                  <c:v>1.5617812500000001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2-41C2-9BD3-A7403BF65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532096"/>
        <c:axId val="506527832"/>
      </c:lineChart>
      <c:catAx>
        <c:axId val="50653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27832"/>
        <c:crosses val="autoZero"/>
        <c:auto val="1"/>
        <c:lblAlgn val="ctr"/>
        <c:lblOffset val="100"/>
        <c:noMultiLvlLbl val="0"/>
      </c:catAx>
      <c:valAx>
        <c:axId val="50652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4763</xdr:rowOff>
        </xdr:from>
        <xdr:to>
          <xdr:col>0</xdr:col>
          <xdr:colOff>495300</xdr:colOff>
          <xdr:row>16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4763</xdr:rowOff>
        </xdr:from>
        <xdr:to>
          <xdr:col>0</xdr:col>
          <xdr:colOff>495300</xdr:colOff>
          <xdr:row>6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35</xdr:row>
          <xdr:rowOff>19050</xdr:rowOff>
        </xdr:from>
        <xdr:to>
          <xdr:col>0</xdr:col>
          <xdr:colOff>447675</xdr:colOff>
          <xdr:row>35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4763</xdr:rowOff>
        </xdr:from>
        <xdr:to>
          <xdr:col>0</xdr:col>
          <xdr:colOff>495300</xdr:colOff>
          <xdr:row>40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11</xdr:row>
          <xdr:rowOff>4763</xdr:rowOff>
        </xdr:from>
        <xdr:to>
          <xdr:col>0</xdr:col>
          <xdr:colOff>495300</xdr:colOff>
          <xdr:row>11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26</xdr:row>
          <xdr:rowOff>4763</xdr:rowOff>
        </xdr:from>
        <xdr:to>
          <xdr:col>0</xdr:col>
          <xdr:colOff>495300</xdr:colOff>
          <xdr:row>26</xdr:row>
          <xdr:rowOff>171450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31</xdr:row>
          <xdr:rowOff>4763</xdr:rowOff>
        </xdr:from>
        <xdr:to>
          <xdr:col>0</xdr:col>
          <xdr:colOff>495300</xdr:colOff>
          <xdr:row>31</xdr:row>
          <xdr:rowOff>171450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623886</xdr:colOff>
      <xdr:row>7</xdr:row>
      <xdr:rowOff>233367</xdr:rowOff>
    </xdr:from>
    <xdr:to>
      <xdr:col>20</xdr:col>
      <xdr:colOff>490538</xdr:colOff>
      <xdr:row>29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1150@13layer" TargetMode="External"/><Relationship Id="rId2" Type="http://schemas.openxmlformats.org/officeDocument/2006/relationships/hyperlink" Target="mailto:2300@13layer" TargetMode="External"/><Relationship Id="rId1" Type="http://schemas.openxmlformats.org/officeDocument/2006/relationships/hyperlink" Target="mailto:700@1.35GHz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>
    <tabColor rgb="FF00B0F0"/>
    <outlinePr summaryRight="0"/>
  </sheetPr>
  <dimension ref="A1:AF31"/>
  <sheetViews>
    <sheetView workbookViewId="0">
      <pane xSplit="2" ySplit="3" topLeftCell="E4" activePane="bottomRight" state="frozen"/>
      <selection pane="topRight" activeCell="C1" sqref="C1"/>
      <selection pane="bottomLeft" activeCell="A4" sqref="A4"/>
      <selection pane="bottomRight" activeCell="D1" sqref="D1:H1"/>
    </sheetView>
  </sheetViews>
  <sheetFormatPr defaultRowHeight="13.9" outlineLevelCol="1" x14ac:dyDescent="0.4"/>
  <cols>
    <col min="1" max="1" width="17.46484375" customWidth="1"/>
    <col min="2" max="2" width="23" customWidth="1"/>
    <col min="3" max="3" width="5" bestFit="1" customWidth="1"/>
    <col min="4" max="4" width="5.1328125" bestFit="1" customWidth="1"/>
    <col min="5" max="5" width="5.53125" bestFit="1" customWidth="1"/>
    <col min="6" max="6" width="2.19921875" bestFit="1" customWidth="1"/>
    <col min="7" max="7" width="2.796875" bestFit="1" customWidth="1"/>
    <col min="8" max="8" width="6.265625" bestFit="1" customWidth="1"/>
    <col min="9" max="9" width="5.73046875" bestFit="1" customWidth="1"/>
    <col min="10" max="10" width="4.265625" bestFit="1" customWidth="1"/>
    <col min="11" max="11" width="5.796875" bestFit="1" customWidth="1"/>
    <col min="12" max="12" width="2.59765625" customWidth="1" outlineLevel="1"/>
    <col min="13" max="13" width="4.06640625" customWidth="1" outlineLevel="1"/>
    <col min="14" max="14" width="3.3984375" customWidth="1" outlineLevel="1"/>
    <col min="15" max="15" width="4.06640625" customWidth="1" outlineLevel="1"/>
    <col min="16" max="16" width="4.265625" customWidth="1" outlineLevel="1"/>
    <col min="17" max="17" width="4.06640625" customWidth="1" outlineLevel="1"/>
    <col min="18" max="18" width="4.53125" customWidth="1" outlineLevel="1"/>
    <col min="19" max="19" width="4.06640625" customWidth="1" outlineLevel="1"/>
    <col min="20" max="20" width="4.53125" customWidth="1" outlineLevel="1"/>
    <col min="21" max="21" width="4.06640625" customWidth="1" outlineLevel="1"/>
    <col min="22" max="22" width="4.19921875" customWidth="1" outlineLevel="1"/>
    <col min="23" max="23" width="4.06640625" customWidth="1" outlineLevel="1"/>
    <col min="24" max="24" width="6.06640625" bestFit="1" customWidth="1"/>
    <col min="25" max="25" width="4.59765625" customWidth="1" outlineLevel="1"/>
    <col min="26" max="26" width="5.73046875" customWidth="1" outlineLevel="1"/>
    <col min="27" max="27" width="4.265625" customWidth="1" outlineLevel="1"/>
    <col min="28" max="29" width="6.06640625" customWidth="1" outlineLevel="1"/>
    <col min="30" max="30" width="5.1328125" bestFit="1" customWidth="1"/>
    <col min="31" max="31" width="8.46484375" customWidth="1"/>
    <col min="32" max="32" width="8.06640625" customWidth="1"/>
  </cols>
  <sheetData>
    <row r="1" spans="1:32" x14ac:dyDescent="0.4">
      <c r="A1" s="54" t="s">
        <v>4</v>
      </c>
      <c r="B1" s="54" t="s">
        <v>14</v>
      </c>
      <c r="C1" s="54" t="s">
        <v>5</v>
      </c>
      <c r="D1" s="53" t="s">
        <v>15</v>
      </c>
      <c r="E1" s="53"/>
      <c r="F1" s="53"/>
      <c r="G1" s="53"/>
      <c r="H1" s="53"/>
      <c r="I1" s="56" t="s">
        <v>16</v>
      </c>
      <c r="J1" s="57"/>
      <c r="K1" s="58"/>
      <c r="L1" s="53" t="s">
        <v>150</v>
      </c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4" t="s">
        <v>19</v>
      </c>
      <c r="Y1" s="59" t="s">
        <v>149</v>
      </c>
      <c r="Z1" s="60"/>
      <c r="AA1" s="60"/>
      <c r="AB1" s="60"/>
      <c r="AC1" s="61"/>
      <c r="AD1" s="54" t="s">
        <v>20</v>
      </c>
      <c r="AE1" s="53" t="s">
        <v>21</v>
      </c>
      <c r="AF1" s="53"/>
    </row>
    <row r="2" spans="1:32" x14ac:dyDescent="0.4">
      <c r="A2" s="55"/>
      <c r="B2" s="55"/>
      <c r="C2" s="55"/>
      <c r="D2" s="33" t="s">
        <v>146</v>
      </c>
      <c r="E2" s="33" t="s">
        <v>147</v>
      </c>
      <c r="F2" s="33" t="s">
        <v>144</v>
      </c>
      <c r="G2" s="33" t="s">
        <v>145</v>
      </c>
      <c r="H2" s="36" t="s">
        <v>148</v>
      </c>
      <c r="I2" s="1" t="s">
        <v>17</v>
      </c>
      <c r="J2" s="1" t="s">
        <v>18</v>
      </c>
      <c r="K2" s="1" t="s">
        <v>9</v>
      </c>
      <c r="L2" s="33" t="s">
        <v>151</v>
      </c>
      <c r="M2" s="33" t="s">
        <v>157</v>
      </c>
      <c r="N2" s="33" t="s">
        <v>152</v>
      </c>
      <c r="O2" s="33" t="s">
        <v>157</v>
      </c>
      <c r="P2" s="33" t="s">
        <v>153</v>
      </c>
      <c r="Q2" s="33" t="s">
        <v>157</v>
      </c>
      <c r="R2" s="33" t="s">
        <v>154</v>
      </c>
      <c r="S2" s="33" t="s">
        <v>157</v>
      </c>
      <c r="T2" s="33" t="s">
        <v>155</v>
      </c>
      <c r="U2" s="33" t="s">
        <v>157</v>
      </c>
      <c r="V2" s="33" t="s">
        <v>156</v>
      </c>
      <c r="W2" s="33" t="s">
        <v>157</v>
      </c>
      <c r="X2" s="55"/>
      <c r="Y2" s="34" t="s">
        <v>131</v>
      </c>
      <c r="Z2" s="34" t="s">
        <v>132</v>
      </c>
      <c r="AA2" s="34" t="s">
        <v>18</v>
      </c>
      <c r="AB2" s="34" t="s">
        <v>16</v>
      </c>
      <c r="AC2" s="34" t="s">
        <v>130</v>
      </c>
      <c r="AD2" s="55"/>
      <c r="AE2" s="33" t="s">
        <v>143</v>
      </c>
      <c r="AF2" s="36" t="s">
        <v>158</v>
      </c>
    </row>
    <row r="3" spans="1:32" x14ac:dyDescent="0.4">
      <c r="A3" s="37" t="s">
        <v>159</v>
      </c>
      <c r="B3" s="37"/>
      <c r="C3" s="37"/>
      <c r="D3" s="37"/>
      <c r="E3" s="37"/>
      <c r="F3" s="37"/>
      <c r="G3" s="37"/>
      <c r="H3" s="38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>
        <f>SUM(AE4:AE30)</f>
        <v>70</v>
      </c>
      <c r="AF3" s="37">
        <f>SUM(AF4:AF30)</f>
        <v>512</v>
      </c>
    </row>
    <row r="4" spans="1:32" x14ac:dyDescent="0.4">
      <c r="A4" s="35" t="s">
        <v>142</v>
      </c>
      <c r="B4" s="6"/>
      <c r="C4" s="35" t="str">
        <f>Script!G17</f>
        <v>TP</v>
      </c>
      <c r="D4" s="6">
        <v>1</v>
      </c>
      <c r="E4" s="6"/>
      <c r="F4" s="5">
        <f>IF(OR(C4="SP",C4="TP"),1,IF(C4="DP",2,D4))</f>
        <v>1</v>
      </c>
      <c r="G4" s="5">
        <f>IF(C4="SP","",IF(C4="TP",1,IF(C4="DP",2,E4)))</f>
        <v>1</v>
      </c>
      <c r="H4" s="5" t="str">
        <f>IF(AND(F4&gt;0,G4&gt;0),CONCATENATE(F4,"R",G4,"W"),"")</f>
        <v>1R1W</v>
      </c>
      <c r="I4" s="35">
        <f>LOG(Script!E17, 2)</f>
        <v>11</v>
      </c>
      <c r="J4" s="5">
        <f>IF(C4="REG",0,IF(I4&lt;=0,0,IF(I4=1,3,IF(I4&lt;5,4,IF(I4&lt;12,5,IF(I4&lt;27,6,IF(I4&lt;58,7,IF(I4&lt;121,8,IF(I4&lt;248,9,IF(I4&lt;503,10,IF(I4&lt;1014,11,IF(I4&lt;2037,12,IF(I4&lt;4084,13,"OF")))))))))))))</f>
        <v>5</v>
      </c>
      <c r="K4" s="5">
        <f>I4+J4</f>
        <v>16</v>
      </c>
      <c r="L4" s="6">
        <v>0</v>
      </c>
      <c r="M4" s="5">
        <f t="shared" ref="M4:M30" si="0">IF(C4="SP",L4*(AB4+1+LOG(AC4,2)),IF(C4="TP",L4*(AB4+2+LOG(AC4,2)),0))</f>
        <v>0</v>
      </c>
      <c r="N4" s="6">
        <v>1</v>
      </c>
      <c r="O4" s="5">
        <f t="shared" ref="O4:O30" si="1">IF(C4="SP",N4*(AB4),IF(C4="TP",N4*(AB4),0))</f>
        <v>16</v>
      </c>
      <c r="P4" s="6">
        <v>1</v>
      </c>
      <c r="Q4" s="5">
        <f t="shared" ref="Q4:Q30" si="2">IF(OR(C4="",C4="REG"),0,(1+N4)*LOG(AC4,2)+Z4)</f>
        <v>19</v>
      </c>
      <c r="R4" s="6">
        <v>0</v>
      </c>
      <c r="S4" s="5"/>
      <c r="T4" s="6">
        <v>0</v>
      </c>
      <c r="U4" s="5"/>
      <c r="V4" s="6">
        <v>0</v>
      </c>
      <c r="W4" s="5"/>
      <c r="X4" s="35">
        <f>Script!F17</f>
        <v>16</v>
      </c>
      <c r="Y4" s="6">
        <v>1</v>
      </c>
      <c r="Z4" s="5">
        <f>I4*Y4</f>
        <v>11</v>
      </c>
      <c r="AA4" s="5">
        <f>IF(C4="REG",0,IF(Z4&lt;=0,0,IF(Z4=1,3,IF(Z4&lt;5,4,IF(Z4&lt;12,5,IF(Z4&lt;27,6,IF(Z4&lt;58,7,IF(Z4&lt;121,8,IF(Z4&lt;248,9,IF(Z4&lt;503,10,IF(Z4&lt;1014,11,IF(Z4&lt;2037,12,IF(Z4&lt;4084,13,"OF")))))))))))))</f>
        <v>5</v>
      </c>
      <c r="AB4" s="5">
        <f>Z4+AA4</f>
        <v>16</v>
      </c>
      <c r="AC4" s="5">
        <f>X4/Y4</f>
        <v>16</v>
      </c>
      <c r="AD4" s="35">
        <f>Script!D17</f>
        <v>2</v>
      </c>
      <c r="AE4" s="5">
        <f t="shared" ref="AE4:AE30" si="3">IF(C4="REG",AB4*AC4,(M4+O4+Q4+S4+U4+W4))*AD4</f>
        <v>70</v>
      </c>
      <c r="AF4" s="5">
        <f t="shared" ref="AF4:AF30" si="4">IF(AND(C4&lt;&gt;"",C4&lt;&gt;"REG"),AB4*AC4*AD4,0)</f>
        <v>512</v>
      </c>
    </row>
    <row r="5" spans="1:32" x14ac:dyDescent="0.4">
      <c r="A5" s="35"/>
      <c r="B5" s="6"/>
      <c r="C5" s="35"/>
      <c r="D5" s="6"/>
      <c r="E5" s="6"/>
      <c r="F5" s="5">
        <f t="shared" ref="F5:F30" si="5">IF(OR(C5="SP",C5="TP"),1,IF(C5="DP",2,D5))</f>
        <v>0</v>
      </c>
      <c r="G5" s="5">
        <f t="shared" ref="G5:G30" si="6">IF(C5="SP","",IF(C5="TP",1,IF(C5="DP",2,E5)))</f>
        <v>0</v>
      </c>
      <c r="H5" s="5" t="str">
        <f t="shared" ref="H5:H30" si="7">IF(AND(F5&gt;0,G5&gt;0),CONCATENATE(F5,"R",G5,"W"),"")</f>
        <v/>
      </c>
      <c r="I5" s="35"/>
      <c r="J5" s="5">
        <f t="shared" ref="J5:J15" si="8">IF(C5="REG",0,IF(I5&lt;=0,0,IF(I5=1,3,IF(I5&lt;5,4,IF(I5&lt;12,5,IF(I5&lt;27,6,IF(I5&lt;58,7,IF(I5&lt;121,8,IF(I5&lt;248,9,IF(I5&lt;503,10,IF(I5&lt;1014,11,IF(I5&lt;2037,12,IF(I5&lt;4084,13,"OF")))))))))))))</f>
        <v>0</v>
      </c>
      <c r="K5" s="5">
        <f t="shared" ref="K5:K15" si="9">I5+J5</f>
        <v>0</v>
      </c>
      <c r="L5" s="6">
        <v>0</v>
      </c>
      <c r="M5" s="5">
        <f t="shared" si="0"/>
        <v>0</v>
      </c>
      <c r="N5" s="6">
        <v>1</v>
      </c>
      <c r="O5" s="5">
        <f t="shared" si="1"/>
        <v>0</v>
      </c>
      <c r="P5" s="6">
        <v>1</v>
      </c>
      <c r="Q5" s="5">
        <f t="shared" si="2"/>
        <v>0</v>
      </c>
      <c r="R5" s="6">
        <v>0</v>
      </c>
      <c r="S5" s="5"/>
      <c r="T5" s="6">
        <v>0</v>
      </c>
      <c r="U5" s="5"/>
      <c r="V5" s="6">
        <v>0</v>
      </c>
      <c r="W5" s="5"/>
      <c r="X5" s="35"/>
      <c r="Y5" s="6">
        <v>1</v>
      </c>
      <c r="Z5" s="5">
        <f t="shared" ref="Z5:Z30" si="10">I5*Y5</f>
        <v>0</v>
      </c>
      <c r="AA5" s="5">
        <f t="shared" ref="AA5:AA30" si="11">IF(C5="REG",0,IF(Z5&lt;=0,0,IF(Z5=1,3,IF(Z5&lt;5,4,IF(Z5&lt;12,5,IF(Z5&lt;27,6,IF(Z5&lt;58,7,IF(Z5&lt;121,8,IF(Z5&lt;248,9,IF(Z5&lt;503,10,IF(Z5&lt;1014,11,IF(Z5&lt;2037,12,IF(Z5&lt;4084,13,"OF")))))))))))))</f>
        <v>0</v>
      </c>
      <c r="AB5" s="5">
        <f t="shared" ref="AB5:AB30" si="12">Z5+AA5</f>
        <v>0</v>
      </c>
      <c r="AC5" s="5">
        <f t="shared" ref="AC5:AC30" si="13">X5/Y5</f>
        <v>0</v>
      </c>
      <c r="AD5" s="35">
        <v>1</v>
      </c>
      <c r="AE5" s="5">
        <f t="shared" si="3"/>
        <v>0</v>
      </c>
      <c r="AF5" s="5">
        <f t="shared" si="4"/>
        <v>0</v>
      </c>
    </row>
    <row r="6" spans="1:32" x14ac:dyDescent="0.4">
      <c r="A6" s="35"/>
      <c r="B6" s="6"/>
      <c r="C6" s="35" t="s">
        <v>55</v>
      </c>
      <c r="D6" s="6"/>
      <c r="E6" s="6"/>
      <c r="F6" s="5">
        <f t="shared" si="5"/>
        <v>0</v>
      </c>
      <c r="G6" s="5">
        <f t="shared" si="6"/>
        <v>0</v>
      </c>
      <c r="H6" s="5" t="str">
        <f t="shared" si="7"/>
        <v/>
      </c>
      <c r="I6" s="35"/>
      <c r="J6" s="5">
        <f t="shared" si="8"/>
        <v>0</v>
      </c>
      <c r="K6" s="5">
        <f t="shared" si="9"/>
        <v>0</v>
      </c>
      <c r="L6" s="6">
        <v>0</v>
      </c>
      <c r="M6" s="5">
        <f t="shared" si="0"/>
        <v>0</v>
      </c>
      <c r="N6" s="6">
        <v>1</v>
      </c>
      <c r="O6" s="5">
        <f t="shared" si="1"/>
        <v>0</v>
      </c>
      <c r="P6" s="6">
        <v>1</v>
      </c>
      <c r="Q6" s="5">
        <f t="shared" si="2"/>
        <v>0</v>
      </c>
      <c r="R6" s="6">
        <v>0</v>
      </c>
      <c r="S6" s="5"/>
      <c r="T6" s="6">
        <v>0</v>
      </c>
      <c r="U6" s="5"/>
      <c r="V6" s="6">
        <v>0</v>
      </c>
      <c r="W6" s="5"/>
      <c r="X6" s="35"/>
      <c r="Y6" s="6">
        <v>1</v>
      </c>
      <c r="Z6" s="5">
        <f t="shared" si="10"/>
        <v>0</v>
      </c>
      <c r="AA6" s="5">
        <f t="shared" si="11"/>
        <v>0</v>
      </c>
      <c r="AB6" s="5">
        <f t="shared" si="12"/>
        <v>0</v>
      </c>
      <c r="AC6" s="5">
        <f t="shared" si="13"/>
        <v>0</v>
      </c>
      <c r="AD6" s="35">
        <v>1</v>
      </c>
      <c r="AE6" s="5">
        <f t="shared" si="3"/>
        <v>0</v>
      </c>
      <c r="AF6" s="5">
        <f t="shared" si="4"/>
        <v>0</v>
      </c>
    </row>
    <row r="7" spans="1:32" x14ac:dyDescent="0.4">
      <c r="A7" s="35"/>
      <c r="B7" s="6"/>
      <c r="C7" s="35"/>
      <c r="D7" s="6"/>
      <c r="E7" s="6"/>
      <c r="F7" s="5">
        <f t="shared" si="5"/>
        <v>0</v>
      </c>
      <c r="G7" s="5">
        <f t="shared" si="6"/>
        <v>0</v>
      </c>
      <c r="H7" s="5" t="str">
        <f t="shared" si="7"/>
        <v/>
      </c>
      <c r="I7" s="35"/>
      <c r="J7" s="5">
        <f t="shared" si="8"/>
        <v>0</v>
      </c>
      <c r="K7" s="5">
        <f t="shared" si="9"/>
        <v>0</v>
      </c>
      <c r="L7" s="6">
        <v>0</v>
      </c>
      <c r="M7" s="5">
        <f t="shared" si="0"/>
        <v>0</v>
      </c>
      <c r="N7" s="6">
        <v>1</v>
      </c>
      <c r="O7" s="5">
        <f t="shared" si="1"/>
        <v>0</v>
      </c>
      <c r="P7" s="6">
        <v>1</v>
      </c>
      <c r="Q7" s="5">
        <f t="shared" si="2"/>
        <v>0</v>
      </c>
      <c r="R7" s="6">
        <v>0</v>
      </c>
      <c r="S7" s="5"/>
      <c r="T7" s="6">
        <v>0</v>
      </c>
      <c r="U7" s="5"/>
      <c r="V7" s="6">
        <v>0</v>
      </c>
      <c r="W7" s="5"/>
      <c r="X7" s="35"/>
      <c r="Y7" s="6">
        <v>1</v>
      </c>
      <c r="Z7" s="5">
        <f t="shared" si="10"/>
        <v>0</v>
      </c>
      <c r="AA7" s="5">
        <f t="shared" si="11"/>
        <v>0</v>
      </c>
      <c r="AB7" s="5">
        <f t="shared" si="12"/>
        <v>0</v>
      </c>
      <c r="AC7" s="5">
        <f t="shared" si="13"/>
        <v>0</v>
      </c>
      <c r="AD7" s="35">
        <v>1</v>
      </c>
      <c r="AE7" s="5">
        <f t="shared" si="3"/>
        <v>0</v>
      </c>
      <c r="AF7" s="5">
        <f t="shared" si="4"/>
        <v>0</v>
      </c>
    </row>
    <row r="8" spans="1:32" x14ac:dyDescent="0.4">
      <c r="A8" s="35"/>
      <c r="B8" s="6"/>
      <c r="C8" s="35"/>
      <c r="D8" s="6"/>
      <c r="E8" s="6"/>
      <c r="F8" s="5">
        <f t="shared" si="5"/>
        <v>0</v>
      </c>
      <c r="G8" s="5">
        <f t="shared" si="6"/>
        <v>0</v>
      </c>
      <c r="H8" s="5" t="str">
        <f t="shared" si="7"/>
        <v/>
      </c>
      <c r="I8" s="35"/>
      <c r="J8" s="5">
        <f t="shared" si="8"/>
        <v>0</v>
      </c>
      <c r="K8" s="5">
        <f t="shared" si="9"/>
        <v>0</v>
      </c>
      <c r="L8" s="6">
        <v>0</v>
      </c>
      <c r="M8" s="5">
        <f t="shared" si="0"/>
        <v>0</v>
      </c>
      <c r="N8" s="6">
        <v>1</v>
      </c>
      <c r="O8" s="5">
        <f t="shared" si="1"/>
        <v>0</v>
      </c>
      <c r="P8" s="6">
        <v>1</v>
      </c>
      <c r="Q8" s="5">
        <f t="shared" si="2"/>
        <v>0</v>
      </c>
      <c r="R8" s="6">
        <v>0</v>
      </c>
      <c r="S8" s="5"/>
      <c r="T8" s="6">
        <v>0</v>
      </c>
      <c r="U8" s="5"/>
      <c r="V8" s="6">
        <v>0</v>
      </c>
      <c r="W8" s="5"/>
      <c r="X8" s="35"/>
      <c r="Y8" s="6">
        <v>1</v>
      </c>
      <c r="Z8" s="5">
        <f t="shared" si="10"/>
        <v>0</v>
      </c>
      <c r="AA8" s="5">
        <f t="shared" si="11"/>
        <v>0</v>
      </c>
      <c r="AB8" s="5">
        <f t="shared" si="12"/>
        <v>0</v>
      </c>
      <c r="AC8" s="5">
        <f t="shared" si="13"/>
        <v>0</v>
      </c>
      <c r="AD8" s="35">
        <v>1</v>
      </c>
      <c r="AE8" s="5">
        <f t="shared" si="3"/>
        <v>0</v>
      </c>
      <c r="AF8" s="5">
        <f t="shared" si="4"/>
        <v>0</v>
      </c>
    </row>
    <row r="9" spans="1:32" x14ac:dyDescent="0.4">
      <c r="A9" s="35"/>
      <c r="B9" s="6"/>
      <c r="C9" s="35"/>
      <c r="D9" s="6"/>
      <c r="E9" s="6"/>
      <c r="F9" s="5">
        <f t="shared" si="5"/>
        <v>0</v>
      </c>
      <c r="G9" s="5">
        <f t="shared" si="6"/>
        <v>0</v>
      </c>
      <c r="H9" s="5" t="str">
        <f t="shared" si="7"/>
        <v/>
      </c>
      <c r="I9" s="35"/>
      <c r="J9" s="5">
        <f t="shared" si="8"/>
        <v>0</v>
      </c>
      <c r="K9" s="5">
        <f t="shared" si="9"/>
        <v>0</v>
      </c>
      <c r="L9" s="6">
        <v>0</v>
      </c>
      <c r="M9" s="5">
        <f t="shared" si="0"/>
        <v>0</v>
      </c>
      <c r="N9" s="6">
        <v>1</v>
      </c>
      <c r="O9" s="5">
        <f t="shared" si="1"/>
        <v>0</v>
      </c>
      <c r="P9" s="6">
        <v>1</v>
      </c>
      <c r="Q9" s="5">
        <f t="shared" si="2"/>
        <v>0</v>
      </c>
      <c r="R9" s="6">
        <v>0</v>
      </c>
      <c r="S9" s="5"/>
      <c r="T9" s="6">
        <v>0</v>
      </c>
      <c r="U9" s="5"/>
      <c r="V9" s="6">
        <v>0</v>
      </c>
      <c r="W9" s="5"/>
      <c r="X9" s="35"/>
      <c r="Y9" s="6">
        <v>1</v>
      </c>
      <c r="Z9" s="5">
        <f t="shared" si="10"/>
        <v>0</v>
      </c>
      <c r="AA9" s="5">
        <f t="shared" si="11"/>
        <v>0</v>
      </c>
      <c r="AB9" s="5">
        <f t="shared" si="12"/>
        <v>0</v>
      </c>
      <c r="AC9" s="5">
        <f t="shared" si="13"/>
        <v>0</v>
      </c>
      <c r="AD9" s="35">
        <v>1</v>
      </c>
      <c r="AE9" s="5">
        <f t="shared" si="3"/>
        <v>0</v>
      </c>
      <c r="AF9" s="5">
        <f t="shared" si="4"/>
        <v>0</v>
      </c>
    </row>
    <row r="10" spans="1:32" x14ac:dyDescent="0.4">
      <c r="A10" s="35"/>
      <c r="B10" s="6"/>
      <c r="C10" s="35"/>
      <c r="D10" s="6"/>
      <c r="E10" s="6"/>
      <c r="F10" s="5">
        <f t="shared" si="5"/>
        <v>0</v>
      </c>
      <c r="G10" s="5">
        <f t="shared" si="6"/>
        <v>0</v>
      </c>
      <c r="H10" s="5" t="str">
        <f t="shared" si="7"/>
        <v/>
      </c>
      <c r="I10" s="35"/>
      <c r="J10" s="5">
        <f t="shared" si="8"/>
        <v>0</v>
      </c>
      <c r="K10" s="5">
        <f t="shared" si="9"/>
        <v>0</v>
      </c>
      <c r="L10" s="6">
        <v>0</v>
      </c>
      <c r="M10" s="5">
        <f t="shared" si="0"/>
        <v>0</v>
      </c>
      <c r="N10" s="6">
        <v>1</v>
      </c>
      <c r="O10" s="5">
        <f t="shared" si="1"/>
        <v>0</v>
      </c>
      <c r="P10" s="6">
        <v>1</v>
      </c>
      <c r="Q10" s="5">
        <f t="shared" si="2"/>
        <v>0</v>
      </c>
      <c r="R10" s="6">
        <v>0</v>
      </c>
      <c r="S10" s="5"/>
      <c r="T10" s="6">
        <v>0</v>
      </c>
      <c r="U10" s="5"/>
      <c r="V10" s="6">
        <v>0</v>
      </c>
      <c r="W10" s="5"/>
      <c r="X10" s="35"/>
      <c r="Y10" s="6">
        <v>1</v>
      </c>
      <c r="Z10" s="5">
        <f t="shared" si="10"/>
        <v>0</v>
      </c>
      <c r="AA10" s="5">
        <f t="shared" si="11"/>
        <v>0</v>
      </c>
      <c r="AB10" s="5">
        <f t="shared" si="12"/>
        <v>0</v>
      </c>
      <c r="AC10" s="5">
        <f t="shared" si="13"/>
        <v>0</v>
      </c>
      <c r="AD10" s="35">
        <v>1</v>
      </c>
      <c r="AE10" s="5">
        <f t="shared" si="3"/>
        <v>0</v>
      </c>
      <c r="AF10" s="5">
        <f t="shared" si="4"/>
        <v>0</v>
      </c>
    </row>
    <row r="11" spans="1:32" x14ac:dyDescent="0.4">
      <c r="A11" s="35"/>
      <c r="B11" s="6"/>
      <c r="C11" s="35"/>
      <c r="D11" s="6"/>
      <c r="E11" s="6"/>
      <c r="F11" s="5">
        <f t="shared" si="5"/>
        <v>0</v>
      </c>
      <c r="G11" s="5">
        <f t="shared" si="6"/>
        <v>0</v>
      </c>
      <c r="H11" s="5" t="str">
        <f t="shared" si="7"/>
        <v/>
      </c>
      <c r="I11" s="35"/>
      <c r="J11" s="5">
        <f t="shared" si="8"/>
        <v>0</v>
      </c>
      <c r="K11" s="5">
        <f t="shared" si="9"/>
        <v>0</v>
      </c>
      <c r="L11" s="6">
        <v>0</v>
      </c>
      <c r="M11" s="5">
        <f t="shared" si="0"/>
        <v>0</v>
      </c>
      <c r="N11" s="6">
        <v>1</v>
      </c>
      <c r="O11" s="5">
        <f t="shared" si="1"/>
        <v>0</v>
      </c>
      <c r="P11" s="6">
        <v>1</v>
      </c>
      <c r="Q11" s="5">
        <f t="shared" si="2"/>
        <v>0</v>
      </c>
      <c r="R11" s="6">
        <v>0</v>
      </c>
      <c r="S11" s="5"/>
      <c r="T11" s="6">
        <v>0</v>
      </c>
      <c r="U11" s="5"/>
      <c r="V11" s="6">
        <v>0</v>
      </c>
      <c r="W11" s="5"/>
      <c r="X11" s="35"/>
      <c r="Y11" s="6">
        <v>1</v>
      </c>
      <c r="Z11" s="5">
        <f t="shared" si="10"/>
        <v>0</v>
      </c>
      <c r="AA11" s="5">
        <f t="shared" si="11"/>
        <v>0</v>
      </c>
      <c r="AB11" s="5">
        <f t="shared" si="12"/>
        <v>0</v>
      </c>
      <c r="AC11" s="5">
        <f t="shared" si="13"/>
        <v>0</v>
      </c>
      <c r="AD11" s="35">
        <v>1</v>
      </c>
      <c r="AE11" s="5">
        <f t="shared" si="3"/>
        <v>0</v>
      </c>
      <c r="AF11" s="5">
        <f t="shared" si="4"/>
        <v>0</v>
      </c>
    </row>
    <row r="12" spans="1:32" x14ac:dyDescent="0.4">
      <c r="A12" s="35"/>
      <c r="B12" s="6"/>
      <c r="C12" s="35"/>
      <c r="D12" s="6"/>
      <c r="E12" s="6"/>
      <c r="F12" s="5">
        <f t="shared" si="5"/>
        <v>0</v>
      </c>
      <c r="G12" s="5">
        <f t="shared" si="6"/>
        <v>0</v>
      </c>
      <c r="H12" s="5" t="str">
        <f t="shared" si="7"/>
        <v/>
      </c>
      <c r="I12" s="35"/>
      <c r="J12" s="5">
        <f t="shared" si="8"/>
        <v>0</v>
      </c>
      <c r="K12" s="5">
        <f t="shared" si="9"/>
        <v>0</v>
      </c>
      <c r="L12" s="6">
        <v>0</v>
      </c>
      <c r="M12" s="5">
        <f t="shared" si="0"/>
        <v>0</v>
      </c>
      <c r="N12" s="6">
        <v>1</v>
      </c>
      <c r="O12" s="5">
        <f t="shared" si="1"/>
        <v>0</v>
      </c>
      <c r="P12" s="6">
        <v>1</v>
      </c>
      <c r="Q12" s="5">
        <f t="shared" si="2"/>
        <v>0</v>
      </c>
      <c r="R12" s="6">
        <v>0</v>
      </c>
      <c r="S12" s="5"/>
      <c r="T12" s="6">
        <v>0</v>
      </c>
      <c r="U12" s="5"/>
      <c r="V12" s="6">
        <v>0</v>
      </c>
      <c r="W12" s="5"/>
      <c r="X12" s="35"/>
      <c r="Y12" s="6">
        <v>1</v>
      </c>
      <c r="Z12" s="5">
        <f t="shared" si="10"/>
        <v>0</v>
      </c>
      <c r="AA12" s="5">
        <f t="shared" si="11"/>
        <v>0</v>
      </c>
      <c r="AB12" s="5">
        <f t="shared" si="12"/>
        <v>0</v>
      </c>
      <c r="AC12" s="5">
        <f t="shared" si="13"/>
        <v>0</v>
      </c>
      <c r="AD12" s="35">
        <v>1</v>
      </c>
      <c r="AE12" s="5">
        <f t="shared" si="3"/>
        <v>0</v>
      </c>
      <c r="AF12" s="5">
        <f t="shared" si="4"/>
        <v>0</v>
      </c>
    </row>
    <row r="13" spans="1:32" x14ac:dyDescent="0.4">
      <c r="A13" s="35"/>
      <c r="B13" s="6"/>
      <c r="C13" s="35"/>
      <c r="D13" s="6"/>
      <c r="E13" s="6"/>
      <c r="F13" s="5">
        <f t="shared" si="5"/>
        <v>0</v>
      </c>
      <c r="G13" s="5">
        <f t="shared" si="6"/>
        <v>0</v>
      </c>
      <c r="H13" s="5" t="str">
        <f t="shared" si="7"/>
        <v/>
      </c>
      <c r="I13" s="35"/>
      <c r="J13" s="5">
        <f t="shared" si="8"/>
        <v>0</v>
      </c>
      <c r="K13" s="5">
        <f t="shared" si="9"/>
        <v>0</v>
      </c>
      <c r="L13" s="6">
        <v>0</v>
      </c>
      <c r="M13" s="5">
        <f t="shared" si="0"/>
        <v>0</v>
      </c>
      <c r="N13" s="6">
        <v>1</v>
      </c>
      <c r="O13" s="5">
        <f t="shared" si="1"/>
        <v>0</v>
      </c>
      <c r="P13" s="6">
        <v>1</v>
      </c>
      <c r="Q13" s="5">
        <f t="shared" si="2"/>
        <v>0</v>
      </c>
      <c r="R13" s="6">
        <v>0</v>
      </c>
      <c r="S13" s="5"/>
      <c r="T13" s="6">
        <v>0</v>
      </c>
      <c r="U13" s="5"/>
      <c r="V13" s="6">
        <v>0</v>
      </c>
      <c r="W13" s="5"/>
      <c r="X13" s="35"/>
      <c r="Y13" s="6">
        <v>1</v>
      </c>
      <c r="Z13" s="5">
        <f t="shared" si="10"/>
        <v>0</v>
      </c>
      <c r="AA13" s="5">
        <f t="shared" si="11"/>
        <v>0</v>
      </c>
      <c r="AB13" s="5">
        <f t="shared" si="12"/>
        <v>0</v>
      </c>
      <c r="AC13" s="5">
        <f t="shared" si="13"/>
        <v>0</v>
      </c>
      <c r="AD13" s="35">
        <v>1</v>
      </c>
      <c r="AE13" s="5">
        <f t="shared" si="3"/>
        <v>0</v>
      </c>
      <c r="AF13" s="5">
        <f t="shared" si="4"/>
        <v>0</v>
      </c>
    </row>
    <row r="14" spans="1:32" x14ac:dyDescent="0.4">
      <c r="A14" s="35"/>
      <c r="B14" s="6"/>
      <c r="C14" s="35"/>
      <c r="D14" s="6"/>
      <c r="E14" s="6"/>
      <c r="F14" s="5">
        <f t="shared" si="5"/>
        <v>0</v>
      </c>
      <c r="G14" s="5">
        <f t="shared" si="6"/>
        <v>0</v>
      </c>
      <c r="H14" s="5" t="str">
        <f t="shared" si="7"/>
        <v/>
      </c>
      <c r="I14" s="35"/>
      <c r="J14" s="5">
        <f t="shared" si="8"/>
        <v>0</v>
      </c>
      <c r="K14" s="5">
        <f t="shared" si="9"/>
        <v>0</v>
      </c>
      <c r="L14" s="6">
        <v>0</v>
      </c>
      <c r="M14" s="5">
        <f t="shared" si="0"/>
        <v>0</v>
      </c>
      <c r="N14" s="6">
        <v>1</v>
      </c>
      <c r="O14" s="5">
        <f t="shared" si="1"/>
        <v>0</v>
      </c>
      <c r="P14" s="6">
        <v>1</v>
      </c>
      <c r="Q14" s="5">
        <f t="shared" si="2"/>
        <v>0</v>
      </c>
      <c r="R14" s="6">
        <v>0</v>
      </c>
      <c r="S14" s="5"/>
      <c r="T14" s="6">
        <v>0</v>
      </c>
      <c r="U14" s="5"/>
      <c r="V14" s="6">
        <v>0</v>
      </c>
      <c r="W14" s="5"/>
      <c r="X14" s="35"/>
      <c r="Y14" s="6">
        <v>1</v>
      </c>
      <c r="Z14" s="5">
        <f t="shared" si="10"/>
        <v>0</v>
      </c>
      <c r="AA14" s="5">
        <f t="shared" si="11"/>
        <v>0</v>
      </c>
      <c r="AB14" s="5">
        <f t="shared" si="12"/>
        <v>0</v>
      </c>
      <c r="AC14" s="5">
        <f t="shared" si="13"/>
        <v>0</v>
      </c>
      <c r="AD14" s="35">
        <v>1</v>
      </c>
      <c r="AE14" s="5">
        <f t="shared" si="3"/>
        <v>0</v>
      </c>
      <c r="AF14" s="5">
        <f t="shared" si="4"/>
        <v>0</v>
      </c>
    </row>
    <row r="15" spans="1:32" x14ac:dyDescent="0.4">
      <c r="A15" s="35"/>
      <c r="B15" s="6"/>
      <c r="C15" s="35"/>
      <c r="D15" s="6"/>
      <c r="E15" s="6"/>
      <c r="F15" s="5">
        <f t="shared" si="5"/>
        <v>0</v>
      </c>
      <c r="G15" s="5">
        <f t="shared" si="6"/>
        <v>0</v>
      </c>
      <c r="H15" s="5" t="str">
        <f t="shared" si="7"/>
        <v/>
      </c>
      <c r="I15" s="35"/>
      <c r="J15" s="5">
        <f t="shared" si="8"/>
        <v>0</v>
      </c>
      <c r="K15" s="5">
        <f t="shared" si="9"/>
        <v>0</v>
      </c>
      <c r="L15" s="6">
        <v>0</v>
      </c>
      <c r="M15" s="5">
        <f t="shared" si="0"/>
        <v>0</v>
      </c>
      <c r="N15" s="6">
        <v>1</v>
      </c>
      <c r="O15" s="5">
        <f t="shared" si="1"/>
        <v>0</v>
      </c>
      <c r="P15" s="6">
        <v>1</v>
      </c>
      <c r="Q15" s="5">
        <f t="shared" si="2"/>
        <v>0</v>
      </c>
      <c r="R15" s="6">
        <v>0</v>
      </c>
      <c r="S15" s="5"/>
      <c r="T15" s="6">
        <v>0</v>
      </c>
      <c r="U15" s="5"/>
      <c r="V15" s="6">
        <v>0</v>
      </c>
      <c r="W15" s="5"/>
      <c r="X15" s="35"/>
      <c r="Y15" s="6">
        <v>1</v>
      </c>
      <c r="Z15" s="5">
        <f t="shared" si="10"/>
        <v>0</v>
      </c>
      <c r="AA15" s="5">
        <f t="shared" si="11"/>
        <v>0</v>
      </c>
      <c r="AB15" s="5">
        <f t="shared" si="12"/>
        <v>0</v>
      </c>
      <c r="AC15" s="5">
        <f t="shared" si="13"/>
        <v>0</v>
      </c>
      <c r="AD15" s="35">
        <v>1</v>
      </c>
      <c r="AE15" s="5">
        <f t="shared" si="3"/>
        <v>0</v>
      </c>
      <c r="AF15" s="5">
        <f t="shared" si="4"/>
        <v>0</v>
      </c>
    </row>
    <row r="16" spans="1:32" x14ac:dyDescent="0.4">
      <c r="A16" s="35"/>
      <c r="B16" s="6"/>
      <c r="C16" s="35"/>
      <c r="D16" s="6"/>
      <c r="E16" s="6"/>
      <c r="F16" s="5">
        <f t="shared" si="5"/>
        <v>0</v>
      </c>
      <c r="G16" s="5">
        <f t="shared" si="6"/>
        <v>0</v>
      </c>
      <c r="H16" s="5" t="str">
        <f t="shared" si="7"/>
        <v/>
      </c>
      <c r="I16" s="35"/>
      <c r="J16" s="5">
        <f t="shared" ref="J16:J30" si="14">IF(C16="REG",0,IF(I16&lt;=0,0,IF(I16=1,3,IF(I16&lt;5,4,IF(I16&lt;12,5,IF(I16&lt;27,6,IF(I16&lt;58,7,IF(I16&lt;121,8,IF(I16&lt;248,9,IF(I16&lt;503,10,IF(I16&lt;1014,11,IF(I16&lt;2037,12,IF(I16&lt;4084,13,"OF")))))))))))))</f>
        <v>0</v>
      </c>
      <c r="K16" s="5">
        <f t="shared" ref="K16:K30" si="15">I16+J16</f>
        <v>0</v>
      </c>
      <c r="L16" s="6">
        <v>0</v>
      </c>
      <c r="M16" s="5">
        <f t="shared" si="0"/>
        <v>0</v>
      </c>
      <c r="N16" s="6">
        <v>1</v>
      </c>
      <c r="O16" s="5">
        <f t="shared" si="1"/>
        <v>0</v>
      </c>
      <c r="P16" s="6">
        <v>1</v>
      </c>
      <c r="Q16" s="5">
        <f t="shared" si="2"/>
        <v>0</v>
      </c>
      <c r="R16" s="6">
        <v>0</v>
      </c>
      <c r="S16" s="5"/>
      <c r="T16" s="6">
        <v>0</v>
      </c>
      <c r="U16" s="5"/>
      <c r="V16" s="6">
        <v>0</v>
      </c>
      <c r="W16" s="5"/>
      <c r="X16" s="35"/>
      <c r="Y16" s="6">
        <v>1</v>
      </c>
      <c r="Z16" s="5">
        <f t="shared" si="10"/>
        <v>0</v>
      </c>
      <c r="AA16" s="5">
        <f t="shared" si="11"/>
        <v>0</v>
      </c>
      <c r="AB16" s="5">
        <f t="shared" si="12"/>
        <v>0</v>
      </c>
      <c r="AC16" s="5">
        <f t="shared" si="13"/>
        <v>0</v>
      </c>
      <c r="AD16" s="35">
        <v>1</v>
      </c>
      <c r="AE16" s="5">
        <f t="shared" si="3"/>
        <v>0</v>
      </c>
      <c r="AF16" s="5">
        <f t="shared" si="4"/>
        <v>0</v>
      </c>
    </row>
    <row r="17" spans="1:32" x14ac:dyDescent="0.4">
      <c r="A17" s="35"/>
      <c r="B17" s="6"/>
      <c r="C17" s="35"/>
      <c r="D17" s="6"/>
      <c r="E17" s="6"/>
      <c r="F17" s="5">
        <f t="shared" si="5"/>
        <v>0</v>
      </c>
      <c r="G17" s="5">
        <f t="shared" si="6"/>
        <v>0</v>
      </c>
      <c r="H17" s="5" t="str">
        <f t="shared" si="7"/>
        <v/>
      </c>
      <c r="I17" s="35"/>
      <c r="J17" s="5">
        <f t="shared" si="14"/>
        <v>0</v>
      </c>
      <c r="K17" s="5">
        <f t="shared" si="15"/>
        <v>0</v>
      </c>
      <c r="L17" s="6">
        <v>0</v>
      </c>
      <c r="M17" s="5">
        <f t="shared" si="0"/>
        <v>0</v>
      </c>
      <c r="N17" s="6">
        <v>1</v>
      </c>
      <c r="O17" s="5">
        <f t="shared" si="1"/>
        <v>0</v>
      </c>
      <c r="P17" s="6">
        <v>1</v>
      </c>
      <c r="Q17" s="5">
        <f t="shared" si="2"/>
        <v>0</v>
      </c>
      <c r="R17" s="6">
        <v>0</v>
      </c>
      <c r="S17" s="5"/>
      <c r="T17" s="6">
        <v>0</v>
      </c>
      <c r="U17" s="5"/>
      <c r="V17" s="6">
        <v>0</v>
      </c>
      <c r="W17" s="5"/>
      <c r="X17" s="35"/>
      <c r="Y17" s="6">
        <v>1</v>
      </c>
      <c r="Z17" s="5">
        <f t="shared" si="10"/>
        <v>0</v>
      </c>
      <c r="AA17" s="5">
        <f t="shared" si="11"/>
        <v>0</v>
      </c>
      <c r="AB17" s="5">
        <f t="shared" si="12"/>
        <v>0</v>
      </c>
      <c r="AC17" s="5">
        <f t="shared" si="13"/>
        <v>0</v>
      </c>
      <c r="AD17" s="35">
        <v>1</v>
      </c>
      <c r="AE17" s="5">
        <f t="shared" si="3"/>
        <v>0</v>
      </c>
      <c r="AF17" s="5">
        <f t="shared" si="4"/>
        <v>0</v>
      </c>
    </row>
    <row r="18" spans="1:32" x14ac:dyDescent="0.4">
      <c r="A18" s="35"/>
      <c r="B18" s="6"/>
      <c r="C18" s="35"/>
      <c r="D18" s="6"/>
      <c r="E18" s="6"/>
      <c r="F18" s="5">
        <f t="shared" si="5"/>
        <v>0</v>
      </c>
      <c r="G18" s="5">
        <f t="shared" si="6"/>
        <v>0</v>
      </c>
      <c r="H18" s="5" t="str">
        <f t="shared" si="7"/>
        <v/>
      </c>
      <c r="I18" s="35"/>
      <c r="J18" s="5">
        <f t="shared" si="14"/>
        <v>0</v>
      </c>
      <c r="K18" s="5">
        <f t="shared" si="15"/>
        <v>0</v>
      </c>
      <c r="L18" s="6">
        <v>0</v>
      </c>
      <c r="M18" s="5">
        <f t="shared" si="0"/>
        <v>0</v>
      </c>
      <c r="N18" s="6">
        <v>1</v>
      </c>
      <c r="O18" s="5">
        <f t="shared" si="1"/>
        <v>0</v>
      </c>
      <c r="P18" s="6">
        <v>1</v>
      </c>
      <c r="Q18" s="5">
        <f t="shared" si="2"/>
        <v>0</v>
      </c>
      <c r="R18" s="6">
        <v>0</v>
      </c>
      <c r="S18" s="5"/>
      <c r="T18" s="6">
        <v>0</v>
      </c>
      <c r="U18" s="5"/>
      <c r="V18" s="6">
        <v>0</v>
      </c>
      <c r="W18" s="5"/>
      <c r="X18" s="35"/>
      <c r="Y18" s="6">
        <v>1</v>
      </c>
      <c r="Z18" s="5">
        <f t="shared" si="10"/>
        <v>0</v>
      </c>
      <c r="AA18" s="5">
        <f t="shared" si="11"/>
        <v>0</v>
      </c>
      <c r="AB18" s="5">
        <f t="shared" si="12"/>
        <v>0</v>
      </c>
      <c r="AC18" s="5">
        <f t="shared" si="13"/>
        <v>0</v>
      </c>
      <c r="AD18" s="35">
        <v>1</v>
      </c>
      <c r="AE18" s="5">
        <f t="shared" si="3"/>
        <v>0</v>
      </c>
      <c r="AF18" s="5">
        <f t="shared" si="4"/>
        <v>0</v>
      </c>
    </row>
    <row r="19" spans="1:32" x14ac:dyDescent="0.4">
      <c r="A19" s="35"/>
      <c r="B19" s="6"/>
      <c r="C19" s="35"/>
      <c r="D19" s="6"/>
      <c r="E19" s="6"/>
      <c r="F19" s="5">
        <f t="shared" si="5"/>
        <v>0</v>
      </c>
      <c r="G19" s="5">
        <f t="shared" si="6"/>
        <v>0</v>
      </c>
      <c r="H19" s="5" t="str">
        <f t="shared" si="7"/>
        <v/>
      </c>
      <c r="I19" s="35"/>
      <c r="J19" s="5">
        <f t="shared" si="14"/>
        <v>0</v>
      </c>
      <c r="K19" s="5">
        <f t="shared" si="15"/>
        <v>0</v>
      </c>
      <c r="L19" s="6">
        <v>0</v>
      </c>
      <c r="M19" s="5">
        <f t="shared" si="0"/>
        <v>0</v>
      </c>
      <c r="N19" s="6">
        <v>1</v>
      </c>
      <c r="O19" s="5">
        <f t="shared" si="1"/>
        <v>0</v>
      </c>
      <c r="P19" s="6">
        <v>1</v>
      </c>
      <c r="Q19" s="5">
        <f t="shared" si="2"/>
        <v>0</v>
      </c>
      <c r="R19" s="6">
        <v>0</v>
      </c>
      <c r="S19" s="5"/>
      <c r="T19" s="6">
        <v>0</v>
      </c>
      <c r="U19" s="5"/>
      <c r="V19" s="6">
        <v>0</v>
      </c>
      <c r="W19" s="5"/>
      <c r="X19" s="35"/>
      <c r="Y19" s="6">
        <v>1</v>
      </c>
      <c r="Z19" s="5">
        <f t="shared" si="10"/>
        <v>0</v>
      </c>
      <c r="AA19" s="5">
        <f t="shared" si="11"/>
        <v>0</v>
      </c>
      <c r="AB19" s="5">
        <f t="shared" si="12"/>
        <v>0</v>
      </c>
      <c r="AC19" s="5">
        <f t="shared" si="13"/>
        <v>0</v>
      </c>
      <c r="AD19" s="35">
        <v>1</v>
      </c>
      <c r="AE19" s="5">
        <f t="shared" si="3"/>
        <v>0</v>
      </c>
      <c r="AF19" s="5">
        <f t="shared" si="4"/>
        <v>0</v>
      </c>
    </row>
    <row r="20" spans="1:32" x14ac:dyDescent="0.4">
      <c r="A20" s="35"/>
      <c r="B20" s="6"/>
      <c r="C20" s="35"/>
      <c r="D20" s="6"/>
      <c r="E20" s="6"/>
      <c r="F20" s="5">
        <f t="shared" si="5"/>
        <v>0</v>
      </c>
      <c r="G20" s="5">
        <f t="shared" si="6"/>
        <v>0</v>
      </c>
      <c r="H20" s="5" t="str">
        <f t="shared" si="7"/>
        <v/>
      </c>
      <c r="I20" s="35"/>
      <c r="J20" s="5">
        <f t="shared" si="14"/>
        <v>0</v>
      </c>
      <c r="K20" s="5">
        <f t="shared" si="15"/>
        <v>0</v>
      </c>
      <c r="L20" s="6">
        <v>0</v>
      </c>
      <c r="M20" s="5">
        <f t="shared" si="0"/>
        <v>0</v>
      </c>
      <c r="N20" s="6">
        <v>1</v>
      </c>
      <c r="O20" s="5">
        <f t="shared" si="1"/>
        <v>0</v>
      </c>
      <c r="P20" s="6">
        <v>1</v>
      </c>
      <c r="Q20" s="5">
        <f t="shared" si="2"/>
        <v>0</v>
      </c>
      <c r="R20" s="6">
        <v>0</v>
      </c>
      <c r="S20" s="5"/>
      <c r="T20" s="6">
        <v>0</v>
      </c>
      <c r="U20" s="5"/>
      <c r="V20" s="6">
        <v>0</v>
      </c>
      <c r="W20" s="5"/>
      <c r="X20" s="35"/>
      <c r="Y20" s="6">
        <v>1</v>
      </c>
      <c r="Z20" s="5">
        <f t="shared" si="10"/>
        <v>0</v>
      </c>
      <c r="AA20" s="5">
        <f t="shared" si="11"/>
        <v>0</v>
      </c>
      <c r="AB20" s="5">
        <f t="shared" si="12"/>
        <v>0</v>
      </c>
      <c r="AC20" s="5">
        <f t="shared" si="13"/>
        <v>0</v>
      </c>
      <c r="AD20" s="35">
        <v>1</v>
      </c>
      <c r="AE20" s="5">
        <f t="shared" si="3"/>
        <v>0</v>
      </c>
      <c r="AF20" s="5">
        <f t="shared" si="4"/>
        <v>0</v>
      </c>
    </row>
    <row r="21" spans="1:32" x14ac:dyDescent="0.4">
      <c r="A21" s="35"/>
      <c r="B21" s="6"/>
      <c r="C21" s="35"/>
      <c r="D21" s="6"/>
      <c r="E21" s="6"/>
      <c r="F21" s="5">
        <f t="shared" si="5"/>
        <v>0</v>
      </c>
      <c r="G21" s="5">
        <f t="shared" si="6"/>
        <v>0</v>
      </c>
      <c r="H21" s="5" t="str">
        <f t="shared" si="7"/>
        <v/>
      </c>
      <c r="I21" s="35"/>
      <c r="J21" s="5">
        <f t="shared" si="14"/>
        <v>0</v>
      </c>
      <c r="K21" s="5">
        <f t="shared" si="15"/>
        <v>0</v>
      </c>
      <c r="L21" s="6">
        <v>0</v>
      </c>
      <c r="M21" s="5">
        <f t="shared" si="0"/>
        <v>0</v>
      </c>
      <c r="N21" s="6">
        <v>1</v>
      </c>
      <c r="O21" s="5">
        <f t="shared" si="1"/>
        <v>0</v>
      </c>
      <c r="P21" s="6">
        <v>1</v>
      </c>
      <c r="Q21" s="5">
        <f t="shared" si="2"/>
        <v>0</v>
      </c>
      <c r="R21" s="6">
        <v>0</v>
      </c>
      <c r="S21" s="5"/>
      <c r="T21" s="6">
        <v>0</v>
      </c>
      <c r="U21" s="5"/>
      <c r="V21" s="6">
        <v>0</v>
      </c>
      <c r="W21" s="5"/>
      <c r="X21" s="35"/>
      <c r="Y21" s="6">
        <v>1</v>
      </c>
      <c r="Z21" s="5">
        <f t="shared" si="10"/>
        <v>0</v>
      </c>
      <c r="AA21" s="5">
        <f t="shared" si="11"/>
        <v>0</v>
      </c>
      <c r="AB21" s="5">
        <f t="shared" si="12"/>
        <v>0</v>
      </c>
      <c r="AC21" s="5">
        <f t="shared" si="13"/>
        <v>0</v>
      </c>
      <c r="AD21" s="35">
        <v>1</v>
      </c>
      <c r="AE21" s="5">
        <f t="shared" si="3"/>
        <v>0</v>
      </c>
      <c r="AF21" s="5">
        <f t="shared" si="4"/>
        <v>0</v>
      </c>
    </row>
    <row r="22" spans="1:32" x14ac:dyDescent="0.4">
      <c r="A22" s="35"/>
      <c r="B22" s="6"/>
      <c r="C22" s="35"/>
      <c r="D22" s="6"/>
      <c r="E22" s="6"/>
      <c r="F22" s="5">
        <f t="shared" si="5"/>
        <v>0</v>
      </c>
      <c r="G22" s="5">
        <f t="shared" si="6"/>
        <v>0</v>
      </c>
      <c r="H22" s="5" t="str">
        <f t="shared" si="7"/>
        <v/>
      </c>
      <c r="I22" s="35"/>
      <c r="J22" s="5">
        <f t="shared" si="14"/>
        <v>0</v>
      </c>
      <c r="K22" s="5">
        <f t="shared" si="15"/>
        <v>0</v>
      </c>
      <c r="L22" s="6">
        <v>0</v>
      </c>
      <c r="M22" s="5">
        <f t="shared" si="0"/>
        <v>0</v>
      </c>
      <c r="N22" s="6">
        <v>1</v>
      </c>
      <c r="O22" s="5">
        <f t="shared" si="1"/>
        <v>0</v>
      </c>
      <c r="P22" s="6">
        <v>1</v>
      </c>
      <c r="Q22" s="5">
        <f t="shared" si="2"/>
        <v>0</v>
      </c>
      <c r="R22" s="6">
        <v>0</v>
      </c>
      <c r="S22" s="5"/>
      <c r="T22" s="6">
        <v>0</v>
      </c>
      <c r="U22" s="5"/>
      <c r="V22" s="6">
        <v>0</v>
      </c>
      <c r="W22" s="5"/>
      <c r="X22" s="35"/>
      <c r="Y22" s="6">
        <v>1</v>
      </c>
      <c r="Z22" s="5">
        <f t="shared" si="10"/>
        <v>0</v>
      </c>
      <c r="AA22" s="5">
        <f t="shared" si="11"/>
        <v>0</v>
      </c>
      <c r="AB22" s="5">
        <f t="shared" si="12"/>
        <v>0</v>
      </c>
      <c r="AC22" s="5">
        <f t="shared" si="13"/>
        <v>0</v>
      </c>
      <c r="AD22" s="35">
        <v>1</v>
      </c>
      <c r="AE22" s="5">
        <f t="shared" si="3"/>
        <v>0</v>
      </c>
      <c r="AF22" s="5">
        <f t="shared" si="4"/>
        <v>0</v>
      </c>
    </row>
    <row r="23" spans="1:32" x14ac:dyDescent="0.4">
      <c r="A23" s="35"/>
      <c r="B23" s="6"/>
      <c r="C23" s="35"/>
      <c r="D23" s="6"/>
      <c r="E23" s="6"/>
      <c r="F23" s="5">
        <f t="shared" si="5"/>
        <v>0</v>
      </c>
      <c r="G23" s="5">
        <f t="shared" si="6"/>
        <v>0</v>
      </c>
      <c r="H23" s="5" t="str">
        <f t="shared" si="7"/>
        <v/>
      </c>
      <c r="I23" s="35"/>
      <c r="J23" s="5">
        <f t="shared" si="14"/>
        <v>0</v>
      </c>
      <c r="K23" s="5">
        <f t="shared" si="15"/>
        <v>0</v>
      </c>
      <c r="L23" s="6">
        <v>0</v>
      </c>
      <c r="M23" s="5">
        <f t="shared" si="0"/>
        <v>0</v>
      </c>
      <c r="N23" s="6">
        <v>1</v>
      </c>
      <c r="O23" s="5">
        <f t="shared" si="1"/>
        <v>0</v>
      </c>
      <c r="P23" s="6">
        <v>1</v>
      </c>
      <c r="Q23" s="5">
        <f t="shared" si="2"/>
        <v>0</v>
      </c>
      <c r="R23" s="6">
        <v>0</v>
      </c>
      <c r="S23" s="5"/>
      <c r="T23" s="6">
        <v>0</v>
      </c>
      <c r="U23" s="5"/>
      <c r="V23" s="6">
        <v>0</v>
      </c>
      <c r="W23" s="5"/>
      <c r="X23" s="35"/>
      <c r="Y23" s="6">
        <v>1</v>
      </c>
      <c r="Z23" s="5">
        <f t="shared" si="10"/>
        <v>0</v>
      </c>
      <c r="AA23" s="5">
        <f t="shared" si="11"/>
        <v>0</v>
      </c>
      <c r="AB23" s="5">
        <f t="shared" si="12"/>
        <v>0</v>
      </c>
      <c r="AC23" s="5">
        <f t="shared" si="13"/>
        <v>0</v>
      </c>
      <c r="AD23" s="35">
        <v>1</v>
      </c>
      <c r="AE23" s="5">
        <f t="shared" si="3"/>
        <v>0</v>
      </c>
      <c r="AF23" s="5">
        <f t="shared" si="4"/>
        <v>0</v>
      </c>
    </row>
    <row r="24" spans="1:32" x14ac:dyDescent="0.4">
      <c r="A24" s="35"/>
      <c r="B24" s="6"/>
      <c r="C24" s="35"/>
      <c r="D24" s="6"/>
      <c r="E24" s="6"/>
      <c r="F24" s="5">
        <f t="shared" si="5"/>
        <v>0</v>
      </c>
      <c r="G24" s="5">
        <f t="shared" si="6"/>
        <v>0</v>
      </c>
      <c r="H24" s="5" t="str">
        <f t="shared" si="7"/>
        <v/>
      </c>
      <c r="I24" s="35"/>
      <c r="J24" s="5">
        <f t="shared" si="14"/>
        <v>0</v>
      </c>
      <c r="K24" s="5">
        <f t="shared" si="15"/>
        <v>0</v>
      </c>
      <c r="L24" s="6">
        <v>0</v>
      </c>
      <c r="M24" s="5">
        <f t="shared" si="0"/>
        <v>0</v>
      </c>
      <c r="N24" s="6">
        <v>1</v>
      </c>
      <c r="O24" s="5">
        <f t="shared" si="1"/>
        <v>0</v>
      </c>
      <c r="P24" s="6">
        <v>1</v>
      </c>
      <c r="Q24" s="5">
        <f t="shared" si="2"/>
        <v>0</v>
      </c>
      <c r="R24" s="6">
        <v>0</v>
      </c>
      <c r="S24" s="5"/>
      <c r="T24" s="6">
        <v>0</v>
      </c>
      <c r="U24" s="5"/>
      <c r="V24" s="6">
        <v>0</v>
      </c>
      <c r="W24" s="5"/>
      <c r="X24" s="35"/>
      <c r="Y24" s="6">
        <v>1</v>
      </c>
      <c r="Z24" s="5">
        <f t="shared" si="10"/>
        <v>0</v>
      </c>
      <c r="AA24" s="5">
        <f t="shared" si="11"/>
        <v>0</v>
      </c>
      <c r="AB24" s="5">
        <f t="shared" si="12"/>
        <v>0</v>
      </c>
      <c r="AC24" s="5">
        <f t="shared" si="13"/>
        <v>0</v>
      </c>
      <c r="AD24" s="35">
        <v>1</v>
      </c>
      <c r="AE24" s="5">
        <f t="shared" si="3"/>
        <v>0</v>
      </c>
      <c r="AF24" s="5">
        <f t="shared" si="4"/>
        <v>0</v>
      </c>
    </row>
    <row r="25" spans="1:32" x14ac:dyDescent="0.4">
      <c r="A25" s="35"/>
      <c r="B25" s="6"/>
      <c r="C25" s="35"/>
      <c r="D25" s="6"/>
      <c r="E25" s="6"/>
      <c r="F25" s="5">
        <f t="shared" si="5"/>
        <v>0</v>
      </c>
      <c r="G25" s="5">
        <f t="shared" si="6"/>
        <v>0</v>
      </c>
      <c r="H25" s="5" t="str">
        <f t="shared" si="7"/>
        <v/>
      </c>
      <c r="I25" s="35"/>
      <c r="J25" s="5">
        <f t="shared" si="14"/>
        <v>0</v>
      </c>
      <c r="K25" s="5">
        <f t="shared" si="15"/>
        <v>0</v>
      </c>
      <c r="L25" s="6">
        <v>0</v>
      </c>
      <c r="M25" s="5">
        <f t="shared" si="0"/>
        <v>0</v>
      </c>
      <c r="N25" s="6">
        <v>1</v>
      </c>
      <c r="O25" s="5">
        <f t="shared" si="1"/>
        <v>0</v>
      </c>
      <c r="P25" s="6">
        <v>1</v>
      </c>
      <c r="Q25" s="5">
        <f t="shared" si="2"/>
        <v>0</v>
      </c>
      <c r="R25" s="6">
        <v>0</v>
      </c>
      <c r="S25" s="5"/>
      <c r="T25" s="6">
        <v>0</v>
      </c>
      <c r="U25" s="5"/>
      <c r="V25" s="6">
        <v>0</v>
      </c>
      <c r="W25" s="5"/>
      <c r="X25" s="35"/>
      <c r="Y25" s="6">
        <v>1</v>
      </c>
      <c r="Z25" s="5">
        <f t="shared" si="10"/>
        <v>0</v>
      </c>
      <c r="AA25" s="5">
        <f t="shared" si="11"/>
        <v>0</v>
      </c>
      <c r="AB25" s="5">
        <f t="shared" si="12"/>
        <v>0</v>
      </c>
      <c r="AC25" s="5">
        <f t="shared" si="13"/>
        <v>0</v>
      </c>
      <c r="AD25" s="35">
        <v>1</v>
      </c>
      <c r="AE25" s="5">
        <f t="shared" si="3"/>
        <v>0</v>
      </c>
      <c r="AF25" s="5">
        <f t="shared" si="4"/>
        <v>0</v>
      </c>
    </row>
    <row r="26" spans="1:32" x14ac:dyDescent="0.4">
      <c r="A26" s="35"/>
      <c r="B26" s="6"/>
      <c r="C26" s="35"/>
      <c r="D26" s="6"/>
      <c r="E26" s="6"/>
      <c r="F26" s="5">
        <f t="shared" si="5"/>
        <v>0</v>
      </c>
      <c r="G26" s="5">
        <f t="shared" si="6"/>
        <v>0</v>
      </c>
      <c r="H26" s="5" t="str">
        <f t="shared" si="7"/>
        <v/>
      </c>
      <c r="I26" s="35"/>
      <c r="J26" s="5">
        <f t="shared" si="14"/>
        <v>0</v>
      </c>
      <c r="K26" s="5">
        <f t="shared" si="15"/>
        <v>0</v>
      </c>
      <c r="L26" s="6">
        <v>0</v>
      </c>
      <c r="M26" s="5">
        <f t="shared" si="0"/>
        <v>0</v>
      </c>
      <c r="N26" s="6">
        <v>1</v>
      </c>
      <c r="O26" s="5">
        <f t="shared" si="1"/>
        <v>0</v>
      </c>
      <c r="P26" s="6">
        <v>1</v>
      </c>
      <c r="Q26" s="5">
        <f t="shared" si="2"/>
        <v>0</v>
      </c>
      <c r="R26" s="6">
        <v>0</v>
      </c>
      <c r="S26" s="5"/>
      <c r="T26" s="6">
        <v>0</v>
      </c>
      <c r="U26" s="5"/>
      <c r="V26" s="6">
        <v>0</v>
      </c>
      <c r="W26" s="5"/>
      <c r="X26" s="35"/>
      <c r="Y26" s="6">
        <v>1</v>
      </c>
      <c r="Z26" s="5">
        <f t="shared" si="10"/>
        <v>0</v>
      </c>
      <c r="AA26" s="5">
        <f t="shared" si="11"/>
        <v>0</v>
      </c>
      <c r="AB26" s="5">
        <f t="shared" si="12"/>
        <v>0</v>
      </c>
      <c r="AC26" s="5">
        <f t="shared" si="13"/>
        <v>0</v>
      </c>
      <c r="AD26" s="35">
        <v>1</v>
      </c>
      <c r="AE26" s="5">
        <f t="shared" si="3"/>
        <v>0</v>
      </c>
      <c r="AF26" s="5">
        <f t="shared" si="4"/>
        <v>0</v>
      </c>
    </row>
    <row r="27" spans="1:32" x14ac:dyDescent="0.4">
      <c r="A27" s="35"/>
      <c r="B27" s="6"/>
      <c r="C27" s="35"/>
      <c r="D27" s="6"/>
      <c r="E27" s="6"/>
      <c r="F27" s="5">
        <f t="shared" si="5"/>
        <v>0</v>
      </c>
      <c r="G27" s="5">
        <f t="shared" si="6"/>
        <v>0</v>
      </c>
      <c r="H27" s="5" t="str">
        <f t="shared" si="7"/>
        <v/>
      </c>
      <c r="I27" s="35"/>
      <c r="J27" s="5">
        <f t="shared" si="14"/>
        <v>0</v>
      </c>
      <c r="K27" s="5">
        <f t="shared" si="15"/>
        <v>0</v>
      </c>
      <c r="L27" s="6">
        <v>0</v>
      </c>
      <c r="M27" s="5">
        <f t="shared" si="0"/>
        <v>0</v>
      </c>
      <c r="N27" s="6">
        <v>1</v>
      </c>
      <c r="O27" s="5">
        <f t="shared" si="1"/>
        <v>0</v>
      </c>
      <c r="P27" s="6">
        <v>1</v>
      </c>
      <c r="Q27" s="5">
        <f t="shared" si="2"/>
        <v>0</v>
      </c>
      <c r="R27" s="6">
        <v>0</v>
      </c>
      <c r="S27" s="5"/>
      <c r="T27" s="6">
        <v>0</v>
      </c>
      <c r="U27" s="5"/>
      <c r="V27" s="6">
        <v>0</v>
      </c>
      <c r="W27" s="5"/>
      <c r="X27" s="35"/>
      <c r="Y27" s="6">
        <v>1</v>
      </c>
      <c r="Z27" s="5">
        <f t="shared" si="10"/>
        <v>0</v>
      </c>
      <c r="AA27" s="5">
        <f t="shared" si="11"/>
        <v>0</v>
      </c>
      <c r="AB27" s="5">
        <f t="shared" si="12"/>
        <v>0</v>
      </c>
      <c r="AC27" s="5">
        <f t="shared" si="13"/>
        <v>0</v>
      </c>
      <c r="AD27" s="35">
        <v>1</v>
      </c>
      <c r="AE27" s="5">
        <f t="shared" si="3"/>
        <v>0</v>
      </c>
      <c r="AF27" s="5">
        <f t="shared" si="4"/>
        <v>0</v>
      </c>
    </row>
    <row r="28" spans="1:32" x14ac:dyDescent="0.4">
      <c r="A28" s="35"/>
      <c r="B28" s="6"/>
      <c r="C28" s="35"/>
      <c r="D28" s="6"/>
      <c r="E28" s="6"/>
      <c r="F28" s="5">
        <f t="shared" si="5"/>
        <v>0</v>
      </c>
      <c r="G28" s="5">
        <f t="shared" si="6"/>
        <v>0</v>
      </c>
      <c r="H28" s="5" t="str">
        <f t="shared" si="7"/>
        <v/>
      </c>
      <c r="I28" s="35"/>
      <c r="J28" s="5">
        <f t="shared" si="14"/>
        <v>0</v>
      </c>
      <c r="K28" s="5">
        <f t="shared" si="15"/>
        <v>0</v>
      </c>
      <c r="L28" s="6">
        <v>0</v>
      </c>
      <c r="M28" s="5">
        <f t="shared" si="0"/>
        <v>0</v>
      </c>
      <c r="N28" s="6">
        <v>1</v>
      </c>
      <c r="O28" s="5">
        <f t="shared" si="1"/>
        <v>0</v>
      </c>
      <c r="P28" s="6">
        <v>1</v>
      </c>
      <c r="Q28" s="5">
        <f t="shared" si="2"/>
        <v>0</v>
      </c>
      <c r="R28" s="6">
        <v>0</v>
      </c>
      <c r="S28" s="5"/>
      <c r="T28" s="6">
        <v>0</v>
      </c>
      <c r="U28" s="5"/>
      <c r="V28" s="6">
        <v>0</v>
      </c>
      <c r="W28" s="5"/>
      <c r="X28" s="35"/>
      <c r="Y28" s="6">
        <v>1</v>
      </c>
      <c r="Z28" s="5">
        <f t="shared" si="10"/>
        <v>0</v>
      </c>
      <c r="AA28" s="5">
        <f t="shared" si="11"/>
        <v>0</v>
      </c>
      <c r="AB28" s="5">
        <f t="shared" si="12"/>
        <v>0</v>
      </c>
      <c r="AC28" s="5">
        <f t="shared" si="13"/>
        <v>0</v>
      </c>
      <c r="AD28" s="35">
        <v>1</v>
      </c>
      <c r="AE28" s="5">
        <f t="shared" si="3"/>
        <v>0</v>
      </c>
      <c r="AF28" s="5">
        <f t="shared" si="4"/>
        <v>0</v>
      </c>
    </row>
    <row r="29" spans="1:32" x14ac:dyDescent="0.4">
      <c r="A29" s="35"/>
      <c r="B29" s="6"/>
      <c r="C29" s="35"/>
      <c r="D29" s="6"/>
      <c r="E29" s="6"/>
      <c r="F29" s="5">
        <f t="shared" si="5"/>
        <v>0</v>
      </c>
      <c r="G29" s="5">
        <f t="shared" si="6"/>
        <v>0</v>
      </c>
      <c r="H29" s="5" t="str">
        <f t="shared" si="7"/>
        <v/>
      </c>
      <c r="I29" s="35"/>
      <c r="J29" s="5">
        <f t="shared" si="14"/>
        <v>0</v>
      </c>
      <c r="K29" s="5">
        <f t="shared" si="15"/>
        <v>0</v>
      </c>
      <c r="L29" s="6">
        <v>0</v>
      </c>
      <c r="M29" s="5">
        <f t="shared" si="0"/>
        <v>0</v>
      </c>
      <c r="N29" s="6">
        <v>1</v>
      </c>
      <c r="O29" s="5">
        <f t="shared" si="1"/>
        <v>0</v>
      </c>
      <c r="P29" s="6">
        <v>1</v>
      </c>
      <c r="Q29" s="5">
        <f t="shared" si="2"/>
        <v>0</v>
      </c>
      <c r="R29" s="6">
        <v>0</v>
      </c>
      <c r="S29" s="5"/>
      <c r="T29" s="6">
        <v>0</v>
      </c>
      <c r="U29" s="5"/>
      <c r="V29" s="6">
        <v>0</v>
      </c>
      <c r="W29" s="5"/>
      <c r="X29" s="35"/>
      <c r="Y29" s="6">
        <v>1</v>
      </c>
      <c r="Z29" s="5">
        <f t="shared" si="10"/>
        <v>0</v>
      </c>
      <c r="AA29" s="5">
        <f t="shared" si="11"/>
        <v>0</v>
      </c>
      <c r="AB29" s="5">
        <f t="shared" si="12"/>
        <v>0</v>
      </c>
      <c r="AC29" s="5">
        <f t="shared" si="13"/>
        <v>0</v>
      </c>
      <c r="AD29" s="35">
        <v>1</v>
      </c>
      <c r="AE29" s="5">
        <f t="shared" si="3"/>
        <v>0</v>
      </c>
      <c r="AF29" s="5">
        <f t="shared" si="4"/>
        <v>0</v>
      </c>
    </row>
    <row r="30" spans="1:32" x14ac:dyDescent="0.4">
      <c r="A30" s="35"/>
      <c r="B30" s="6"/>
      <c r="C30" s="35"/>
      <c r="D30" s="6"/>
      <c r="E30" s="6"/>
      <c r="F30" s="5">
        <f t="shared" si="5"/>
        <v>0</v>
      </c>
      <c r="G30" s="5">
        <f t="shared" si="6"/>
        <v>0</v>
      </c>
      <c r="H30" s="5" t="str">
        <f t="shared" si="7"/>
        <v/>
      </c>
      <c r="I30" s="35"/>
      <c r="J30" s="5">
        <f t="shared" si="14"/>
        <v>0</v>
      </c>
      <c r="K30" s="5">
        <f t="shared" si="15"/>
        <v>0</v>
      </c>
      <c r="L30" s="6">
        <v>0</v>
      </c>
      <c r="M30" s="5">
        <f t="shared" si="0"/>
        <v>0</v>
      </c>
      <c r="N30" s="6">
        <v>1</v>
      </c>
      <c r="O30" s="5">
        <f t="shared" si="1"/>
        <v>0</v>
      </c>
      <c r="P30" s="6">
        <v>1</v>
      </c>
      <c r="Q30" s="5">
        <f t="shared" si="2"/>
        <v>0</v>
      </c>
      <c r="R30" s="6">
        <v>0</v>
      </c>
      <c r="S30" s="5"/>
      <c r="T30" s="6">
        <v>0</v>
      </c>
      <c r="U30" s="5"/>
      <c r="V30" s="6">
        <v>0</v>
      </c>
      <c r="W30" s="5"/>
      <c r="X30" s="35"/>
      <c r="Y30" s="6">
        <v>1</v>
      </c>
      <c r="Z30" s="5">
        <f t="shared" si="10"/>
        <v>0</v>
      </c>
      <c r="AA30" s="5">
        <f t="shared" si="11"/>
        <v>0</v>
      </c>
      <c r="AB30" s="5">
        <f t="shared" si="12"/>
        <v>0</v>
      </c>
      <c r="AC30" s="5">
        <f t="shared" si="13"/>
        <v>0</v>
      </c>
      <c r="AD30" s="35">
        <v>1</v>
      </c>
      <c r="AE30" s="5">
        <f t="shared" si="3"/>
        <v>0</v>
      </c>
      <c r="AF30" s="5">
        <f t="shared" si="4"/>
        <v>0</v>
      </c>
    </row>
    <row r="31" spans="1:32" ht="5.25" customHeight="1" x14ac:dyDescent="0.4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</row>
  </sheetData>
  <mergeCells count="10">
    <mergeCell ref="AE1:AF1"/>
    <mergeCell ref="AD1:AD2"/>
    <mergeCell ref="A1:A2"/>
    <mergeCell ref="B1:B2"/>
    <mergeCell ref="C1:C2"/>
    <mergeCell ref="I1:K1"/>
    <mergeCell ref="X1:X2"/>
    <mergeCell ref="Y1:AC1"/>
    <mergeCell ref="D1:H1"/>
    <mergeCell ref="L1:W1"/>
  </mergeCells>
  <phoneticPr fontId="1" type="noConversion"/>
  <conditionalFormatting sqref="A4:A30">
    <cfRule type="expression" dxfId="36" priority="6">
      <formula>_xlfn.ISFORMULA(A4)</formula>
    </cfRule>
  </conditionalFormatting>
  <conditionalFormatting sqref="C4:C30">
    <cfRule type="expression" dxfId="35" priority="5">
      <formula>_xlfn.ISFORMULA(C4)</formula>
    </cfRule>
  </conditionalFormatting>
  <conditionalFormatting sqref="I4:I30">
    <cfRule type="expression" dxfId="34" priority="3">
      <formula>_xlfn.ISFORMULA(I4)</formula>
    </cfRule>
  </conditionalFormatting>
  <conditionalFormatting sqref="X4:X30">
    <cfRule type="expression" dxfId="33" priority="2">
      <formula>_xlfn.ISFORMULA(X4)</formula>
    </cfRule>
  </conditionalFormatting>
  <conditionalFormatting sqref="AD4:AD30">
    <cfRule type="expression" dxfId="32" priority="1">
      <formula>_xlfn.ISFORMULA(AD4)</formula>
    </cfRule>
  </conditionalFormatting>
  <dataValidations count="1">
    <dataValidation type="list" allowBlank="1" showInputMessage="1" showErrorMessage="1" sqref="C4:C30" xr:uid="{3AD1C5DE-8EA3-440C-937D-1BEB1DB1463D}">
      <formula1>"SP,TP,DP,TCAM,REG"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>
    <tabColor rgb="FF00B0F0"/>
  </sheetPr>
  <dimension ref="A1:P47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4" sqref="C14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44" t="s">
        <v>198</v>
      </c>
      <c r="E1" s="2">
        <f>COLUMN(DATA_DEPTH)</f>
        <v>5</v>
      </c>
      <c r="M1" s="9" t="s">
        <v>49</v>
      </c>
    </row>
    <row r="2" spans="1:13" x14ac:dyDescent="0.4">
      <c r="C2" s="7"/>
      <c r="D2" s="44" t="s">
        <v>199</v>
      </c>
      <c r="E2" s="2">
        <f>COLUMN(DATA_INST)</f>
        <v>5</v>
      </c>
    </row>
    <row r="3" spans="1:13" x14ac:dyDescent="0.4">
      <c r="C3" s="7"/>
      <c r="D3" s="7"/>
    </row>
    <row r="5" spans="1:13" ht="17.649999999999999" x14ac:dyDescent="0.4">
      <c r="A5" s="4" t="s">
        <v>35</v>
      </c>
    </row>
    <row r="6" spans="1:13" x14ac:dyDescent="0.4">
      <c r="B6" s="1" t="s">
        <v>4</v>
      </c>
      <c r="C6" s="1" t="s">
        <v>22</v>
      </c>
      <c r="D6" s="1" t="s">
        <v>32</v>
      </c>
      <c r="E6" s="1" t="s">
        <v>11</v>
      </c>
      <c r="F6" s="1" t="s">
        <v>16</v>
      </c>
      <c r="G6" s="1" t="s">
        <v>41</v>
      </c>
      <c r="H6" s="1" t="s">
        <v>43</v>
      </c>
      <c r="I6" s="1" t="s">
        <v>25</v>
      </c>
      <c r="J6" s="1" t="s">
        <v>26</v>
      </c>
      <c r="K6" s="1"/>
      <c r="L6" s="1"/>
      <c r="M6" s="1"/>
    </row>
    <row r="7" spans="1:13" x14ac:dyDescent="0.4">
      <c r="B7" s="2" t="s">
        <v>200</v>
      </c>
      <c r="C7" s="2">
        <v>3</v>
      </c>
      <c r="D7" s="2">
        <v>4</v>
      </c>
      <c r="E7" s="2">
        <v>1024</v>
      </c>
      <c r="F7" s="2">
        <v>25</v>
      </c>
      <c r="G7" s="2" t="s">
        <v>42</v>
      </c>
      <c r="H7" s="2">
        <v>4</v>
      </c>
      <c r="I7" s="2">
        <v>1</v>
      </c>
      <c r="J7" s="2" t="b">
        <v>1</v>
      </c>
      <c r="K7" s="2"/>
      <c r="L7" s="2"/>
      <c r="M7" s="2"/>
    </row>
    <row r="10" spans="1:13" ht="17.649999999999999" x14ac:dyDescent="0.4">
      <c r="A10" s="4" t="s">
        <v>33</v>
      </c>
    </row>
    <row r="11" spans="1:13" x14ac:dyDescent="0.4">
      <c r="B11" s="1" t="s">
        <v>4</v>
      </c>
      <c r="C11" s="1" t="s">
        <v>22</v>
      </c>
      <c r="D11" s="1" t="s">
        <v>32</v>
      </c>
      <c r="E11" s="1" t="s">
        <v>11</v>
      </c>
      <c r="F11" s="1" t="s">
        <v>16</v>
      </c>
      <c r="G11" s="1" t="s">
        <v>12</v>
      </c>
      <c r="H11" s="1" t="s">
        <v>44</v>
      </c>
      <c r="I11" s="1"/>
      <c r="J11" s="1"/>
      <c r="K11" s="1"/>
      <c r="L11" s="1"/>
      <c r="M11" s="1"/>
    </row>
    <row r="12" spans="1:13" x14ac:dyDescent="0.4">
      <c r="B12" s="2" t="s">
        <v>201</v>
      </c>
      <c r="C12" s="2">
        <v>3</v>
      </c>
      <c r="D12" s="2">
        <v>2</v>
      </c>
      <c r="E12" s="2">
        <v>2048</v>
      </c>
      <c r="F12" s="2">
        <v>25</v>
      </c>
      <c r="G12" s="2">
        <v>8</v>
      </c>
      <c r="H12" s="2">
        <v>4</v>
      </c>
      <c r="I12" s="2"/>
      <c r="J12" s="2"/>
      <c r="K12" s="2"/>
      <c r="L12" s="2"/>
      <c r="M12" s="2"/>
    </row>
    <row r="15" spans="1:13" ht="17.649999999999999" x14ac:dyDescent="0.4">
      <c r="A15" s="4" t="s">
        <v>34</v>
      </c>
    </row>
    <row r="16" spans="1:13" x14ac:dyDescent="0.4">
      <c r="B16" s="1" t="s">
        <v>4</v>
      </c>
      <c r="C16" s="1" t="s">
        <v>22</v>
      </c>
      <c r="D16" s="1" t="s">
        <v>32</v>
      </c>
      <c r="E16" s="1" t="s">
        <v>11</v>
      </c>
      <c r="F16" s="1" t="s">
        <v>12</v>
      </c>
      <c r="G16" s="1" t="s">
        <v>50</v>
      </c>
      <c r="H16" s="1" t="s">
        <v>24</v>
      </c>
      <c r="I16" s="1" t="s">
        <v>13</v>
      </c>
      <c r="J16" s="1" t="s">
        <v>23</v>
      </c>
      <c r="K16" s="1"/>
      <c r="L16" s="1"/>
      <c r="M16" s="1"/>
    </row>
    <row r="17" spans="1:13" x14ac:dyDescent="0.4">
      <c r="B17" s="2"/>
      <c r="C17" s="2">
        <v>3</v>
      </c>
      <c r="D17" s="2">
        <v>2</v>
      </c>
      <c r="E17" s="2">
        <v>2048</v>
      </c>
      <c r="F17" s="2">
        <v>16</v>
      </c>
      <c r="G17" s="2" t="s">
        <v>42</v>
      </c>
      <c r="H17" s="3">
        <f>SUMPRODUCT(G19:G22,H19:H22)</f>
        <v>20</v>
      </c>
      <c r="I17" s="2" t="b">
        <v>1</v>
      </c>
      <c r="J17" s="2">
        <v>1</v>
      </c>
      <c r="K17" s="2"/>
      <c r="L17" s="2"/>
      <c r="M17" s="2"/>
    </row>
    <row r="18" spans="1:13" x14ac:dyDescent="0.4">
      <c r="G18" s="19" t="s">
        <v>160</v>
      </c>
      <c r="H18" s="19" t="s">
        <v>12</v>
      </c>
      <c r="I18" s="65" t="s">
        <v>14</v>
      </c>
      <c r="J18" s="66"/>
      <c r="K18" s="66"/>
      <c r="L18" s="66"/>
      <c r="M18" s="67"/>
    </row>
    <row r="19" spans="1:13" x14ac:dyDescent="0.4">
      <c r="G19" s="2">
        <v>4</v>
      </c>
      <c r="H19" s="2">
        <v>2</v>
      </c>
      <c r="I19" s="62"/>
      <c r="J19" s="63"/>
      <c r="K19" s="63"/>
      <c r="L19" s="63"/>
      <c r="M19" s="64"/>
    </row>
    <row r="20" spans="1:13" x14ac:dyDescent="0.4">
      <c r="G20" s="2">
        <v>2</v>
      </c>
      <c r="H20" s="2">
        <v>4</v>
      </c>
      <c r="I20" s="62"/>
      <c r="J20" s="63"/>
      <c r="K20" s="63"/>
      <c r="L20" s="63"/>
      <c r="M20" s="64"/>
    </row>
    <row r="21" spans="1:13" x14ac:dyDescent="0.4">
      <c r="G21" s="2">
        <v>1</v>
      </c>
      <c r="H21" s="2">
        <v>4</v>
      </c>
      <c r="I21" s="62"/>
      <c r="J21" s="63"/>
      <c r="K21" s="63"/>
      <c r="L21" s="63"/>
      <c r="M21" s="64"/>
    </row>
    <row r="22" spans="1:13" ht="13.15" customHeight="1" x14ac:dyDescent="0.4">
      <c r="G22" s="2">
        <v>0</v>
      </c>
      <c r="H22" s="2">
        <v>4</v>
      </c>
      <c r="I22" s="62"/>
      <c r="J22" s="63"/>
      <c r="K22" s="63"/>
      <c r="L22" s="63"/>
      <c r="M22" s="64"/>
    </row>
    <row r="23" spans="1:13" x14ac:dyDescent="0.4">
      <c r="B23" s="12" t="s">
        <v>114</v>
      </c>
      <c r="C23" s="12" t="s">
        <v>114</v>
      </c>
      <c r="D23" s="12" t="s">
        <v>114</v>
      </c>
      <c r="E23" s="12" t="s">
        <v>114</v>
      </c>
      <c r="F23" s="12" t="s">
        <v>114</v>
      </c>
      <c r="G23" s="12" t="s">
        <v>114</v>
      </c>
      <c r="H23" s="12" t="s">
        <v>114</v>
      </c>
      <c r="I23" s="12" t="s">
        <v>114</v>
      </c>
      <c r="J23" s="12" t="s">
        <v>114</v>
      </c>
      <c r="K23" s="12" t="s">
        <v>114</v>
      </c>
      <c r="L23" s="12" t="s">
        <v>114</v>
      </c>
      <c r="M23" s="12" t="s">
        <v>114</v>
      </c>
    </row>
    <row r="25" spans="1:13" ht="17.649999999999999" x14ac:dyDescent="0.4">
      <c r="A25" s="4" t="s">
        <v>25</v>
      </c>
    </row>
    <row r="26" spans="1:13" x14ac:dyDescent="0.4">
      <c r="B26" s="43" t="s">
        <v>4</v>
      </c>
      <c r="C26" s="43" t="s">
        <v>22</v>
      </c>
      <c r="D26" s="43" t="s">
        <v>10</v>
      </c>
      <c r="E26" s="43" t="s">
        <v>11</v>
      </c>
      <c r="F26" s="43" t="s">
        <v>40</v>
      </c>
      <c r="G26" s="43"/>
      <c r="H26" s="43"/>
      <c r="I26" s="43"/>
      <c r="J26" s="43"/>
      <c r="K26" s="43"/>
      <c r="L26" s="43"/>
      <c r="M26" s="43"/>
    </row>
    <row r="27" spans="1:13" x14ac:dyDescent="0.4">
      <c r="B27" s="2"/>
      <c r="C27" s="2">
        <v>3</v>
      </c>
      <c r="D27" s="2">
        <v>1</v>
      </c>
      <c r="E27" s="2">
        <v>512</v>
      </c>
      <c r="F27" s="2">
        <v>1</v>
      </c>
      <c r="G27" s="2"/>
      <c r="H27" s="2"/>
      <c r="I27" s="2"/>
      <c r="J27" s="2"/>
      <c r="K27" s="2"/>
      <c r="L27" s="2"/>
      <c r="M27" s="2"/>
    </row>
    <row r="30" spans="1:13" ht="17.649999999999999" x14ac:dyDescent="0.4">
      <c r="A30" s="4" t="s">
        <v>51</v>
      </c>
    </row>
    <row r="31" spans="1:13" x14ac:dyDescent="0.4">
      <c r="B31" s="43" t="s">
        <v>4</v>
      </c>
      <c r="C31" s="43" t="s">
        <v>22</v>
      </c>
      <c r="D31" s="43" t="s">
        <v>10</v>
      </c>
      <c r="E31" s="43" t="s">
        <v>11</v>
      </c>
      <c r="F31" s="43" t="s">
        <v>40</v>
      </c>
      <c r="G31" s="43" t="s">
        <v>52</v>
      </c>
      <c r="H31" s="43" t="s">
        <v>53</v>
      </c>
      <c r="I31" s="43" t="s">
        <v>54</v>
      </c>
      <c r="J31" s="12" t="s">
        <v>5</v>
      </c>
      <c r="K31" s="43"/>
      <c r="L31" s="43"/>
      <c r="M31" s="43"/>
    </row>
    <row r="32" spans="1:13" x14ac:dyDescent="0.4">
      <c r="B32" s="2"/>
      <c r="C32" s="2">
        <v>4</v>
      </c>
      <c r="D32" s="2">
        <v>1</v>
      </c>
      <c r="E32" s="2">
        <v>512</v>
      </c>
      <c r="F32" s="2">
        <v>1</v>
      </c>
      <c r="G32" s="2">
        <v>1</v>
      </c>
      <c r="H32" s="2">
        <v>2</v>
      </c>
      <c r="I32" s="2">
        <v>3</v>
      </c>
      <c r="J32" s="11" t="s">
        <v>55</v>
      </c>
      <c r="K32" s="2"/>
      <c r="L32" s="2"/>
      <c r="M32" s="2"/>
    </row>
    <row r="34" spans="1:16" ht="17.649999999999999" x14ac:dyDescent="0.4">
      <c r="A34" s="4" t="s">
        <v>36</v>
      </c>
    </row>
    <row r="35" spans="1:16" x14ac:dyDescent="0.4">
      <c r="B35" s="1" t="s">
        <v>4</v>
      </c>
      <c r="C35" s="1" t="s">
        <v>28</v>
      </c>
      <c r="D35" s="1" t="s">
        <v>32</v>
      </c>
      <c r="E35" s="1" t="s">
        <v>5</v>
      </c>
      <c r="F35" s="1" t="s">
        <v>1</v>
      </c>
      <c r="G35" s="1" t="s">
        <v>27</v>
      </c>
      <c r="H35" s="1" t="s">
        <v>2</v>
      </c>
      <c r="I35" s="1" t="s">
        <v>0</v>
      </c>
      <c r="J35" s="1" t="s">
        <v>3</v>
      </c>
      <c r="K35" s="1" t="s">
        <v>6</v>
      </c>
      <c r="L35" s="1" t="s">
        <v>7</v>
      </c>
      <c r="M35" s="1" t="s">
        <v>8</v>
      </c>
      <c r="N35" s="1" t="s">
        <v>10</v>
      </c>
      <c r="O35" s="1" t="s">
        <v>9</v>
      </c>
      <c r="P35" s="1" t="s">
        <v>58</v>
      </c>
    </row>
    <row r="36" spans="1:16" x14ac:dyDescent="0.4">
      <c r="B36" s="2"/>
      <c r="C36" s="2">
        <v>6</v>
      </c>
      <c r="D36" s="2">
        <v>6</v>
      </c>
      <c r="E36" s="2" t="s">
        <v>57</v>
      </c>
      <c r="F36" s="2">
        <v>8</v>
      </c>
      <c r="G36" s="2">
        <v>0</v>
      </c>
      <c r="H36" s="2">
        <v>6</v>
      </c>
      <c r="I36" s="2">
        <v>2</v>
      </c>
      <c r="J36" s="2">
        <v>2</v>
      </c>
      <c r="K36" s="3">
        <f>F36*H36*I36*(J36+1)</f>
        <v>288</v>
      </c>
      <c r="L36" s="3">
        <f>H36*(J36+1)</f>
        <v>18</v>
      </c>
      <c r="M36" s="3">
        <f>IF(E36="RRDPA",CEILING(LOG(MAX(F36,H36),2),1)*I36*J36,IF(E36="BDPA",(CEILING(LOG(F36,2),1)+F36*CEILING(LOG(H36,2),1))*I36*J36,IF(E36="EIAA",(H36*CEILING(LOG(F36,2),1)+F36*CEILING(LOG(H36,2),1))*I36*J36,0)))</f>
        <v>108</v>
      </c>
      <c r="N36" s="2">
        <v>1</v>
      </c>
      <c r="O36" s="3">
        <f>(K36+L36+M36+IF(P36&gt;0,CEILING(LOG(P36,2),1),0)*F36*H36)*N36</f>
        <v>414</v>
      </c>
      <c r="P36" s="2">
        <v>0</v>
      </c>
    </row>
    <row r="39" spans="1:16" ht="17.649999999999999" x14ac:dyDescent="0.4">
      <c r="A39" s="4" t="s">
        <v>37</v>
      </c>
    </row>
    <row r="40" spans="1:16" x14ac:dyDescent="0.4">
      <c r="B40" s="1" t="s">
        <v>4</v>
      </c>
      <c r="C40" s="1" t="s">
        <v>22</v>
      </c>
      <c r="D40" s="1" t="s">
        <v>32</v>
      </c>
      <c r="E40" s="1" t="s">
        <v>29</v>
      </c>
      <c r="F40" s="1" t="s">
        <v>30</v>
      </c>
      <c r="G40" s="1" t="s">
        <v>31</v>
      </c>
      <c r="H40" s="1"/>
      <c r="I40" s="1"/>
      <c r="J40" s="1"/>
      <c r="K40" s="1"/>
      <c r="L40" s="1"/>
      <c r="M40" s="1"/>
    </row>
    <row r="41" spans="1:16" x14ac:dyDescent="0.4">
      <c r="B41" s="2"/>
      <c r="C41" s="2">
        <v>6</v>
      </c>
      <c r="D41" s="2"/>
      <c r="E41" s="2">
        <v>12</v>
      </c>
      <c r="F41" s="2">
        <v>5</v>
      </c>
      <c r="G41" s="2">
        <v>6</v>
      </c>
      <c r="H41" s="2"/>
      <c r="I41" s="2"/>
      <c r="J41" s="2"/>
      <c r="K41" s="2"/>
      <c r="L41" s="2"/>
      <c r="M41" s="2"/>
    </row>
    <row r="47" spans="1:16" ht="13.15" customHeight="1" x14ac:dyDescent="0.4"/>
  </sheetData>
  <mergeCells count="5">
    <mergeCell ref="I19:M19"/>
    <mergeCell ref="I20:M20"/>
    <mergeCell ref="I21:M21"/>
    <mergeCell ref="I22:M22"/>
    <mergeCell ref="I18:M18"/>
  </mergeCells>
  <phoneticPr fontId="1" type="noConversion"/>
  <dataValidations disablePrompts="1" count="9">
    <dataValidation type="list" showInputMessage="1" showErrorMessage="1" sqref="E36" xr:uid="{9F40F0B9-21A3-400A-8238-8B96C7F869A1}">
      <formula1>"SPDPA,RRDPA,BDPA,EIAA"</formula1>
    </dataValidation>
    <dataValidation type="whole" showInputMessage="1" showErrorMessage="1" sqref="N36 F36 H36:J36" xr:uid="{4E2318B6-493B-45F0-989C-60D9F76C3EA4}">
      <formula1>1</formula1>
      <formula2>1024</formula2>
    </dataValidation>
    <dataValidation type="whole" operator="greaterThanOrEqual" allowBlank="1" showInputMessage="1" showErrorMessage="1" sqref="C36:D36 C12:G12 C17:F17 C7:F7 H7 C27:F27 C32:I32" xr:uid="{DFB266BC-50B3-4AD8-9736-2F6E173EB946}">
      <formula1>1</formula1>
    </dataValidation>
    <dataValidation type="whole" operator="greaterThanOrEqual" allowBlank="1" showInputMessage="1" showErrorMessage="1" sqref="I7 H12 J17 G19:I22" xr:uid="{27AEC03D-837E-47D9-85C1-CF0CE3D2284A}">
      <formula1>0</formula1>
    </dataValidation>
    <dataValidation type="list" allowBlank="1" showInputMessage="1" showErrorMessage="1" sqref="G7" xr:uid="{9AD5CDC8-46A2-44C5-BDD4-F691DE87678D}">
      <formula1>"SP,TP"</formula1>
    </dataValidation>
    <dataValidation type="list" allowBlank="1" showInputMessage="1" showErrorMessage="1" sqref="J7 I17" xr:uid="{98F56995-F533-4235-B8AE-A3F40AC386D7}">
      <formula1>"TRUE,FALSE"</formula1>
    </dataValidation>
    <dataValidation type="list" allowBlank="1" showInputMessage="1" showErrorMessage="1" sqref="G17" xr:uid="{6E4119CC-6A3A-4891-8831-413BA47AA4BA}">
      <formula1>"SP,TP,REG"</formula1>
    </dataValidation>
    <dataValidation type="list" allowBlank="1" showInputMessage="1" showErrorMessage="1" sqref="J32" xr:uid="{D4716A4B-4A2B-45DE-AB90-E9D8E084CF34}">
      <formula1>"REG,TP,DP"</formula1>
    </dataValidation>
    <dataValidation type="whole" showInputMessage="1" showErrorMessage="1" sqref="P36 G36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16</xdr:row>
                    <xdr:rowOff>4763</xdr:rowOff>
                  </from>
                  <to>
                    <xdr:col>0</xdr:col>
                    <xdr:colOff>495300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6</xdr:row>
                    <xdr:rowOff>4763</xdr:rowOff>
                  </from>
                  <to>
                    <xdr:col>0</xdr:col>
                    <xdr:colOff>495300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35</xdr:row>
                    <xdr:rowOff>19050</xdr:rowOff>
                  </from>
                  <to>
                    <xdr:col>0</xdr:col>
                    <xdr:colOff>447675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40</xdr:row>
                    <xdr:rowOff>4763</xdr:rowOff>
                  </from>
                  <to>
                    <xdr:col>0</xdr:col>
                    <xdr:colOff>495300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11</xdr:row>
                    <xdr:rowOff>4763</xdr:rowOff>
                  </from>
                  <to>
                    <xdr:col>0</xdr:col>
                    <xdr:colOff>495300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26</xdr:row>
                    <xdr:rowOff>4763</xdr:rowOff>
                  </from>
                  <to>
                    <xdr:col>0</xdr:col>
                    <xdr:colOff>495300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31</xdr:row>
                    <xdr:rowOff>4763</xdr:rowOff>
                  </from>
                  <to>
                    <xdr:col>0</xdr:col>
                    <xdr:colOff>495300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08F37-FC3C-430F-AFF3-48BDAFA24A38}">
  <sheetPr codeName="Sheet10">
    <tabColor rgb="FF00B0F0"/>
  </sheetPr>
  <dimension ref="A1:I38"/>
  <sheetViews>
    <sheetView workbookViewId="0">
      <selection activeCell="D7" sqref="D7"/>
    </sheetView>
  </sheetViews>
  <sheetFormatPr defaultRowHeight="13.9" x14ac:dyDescent="0.4"/>
  <cols>
    <col min="1" max="1" width="11.86328125" customWidth="1"/>
    <col min="2" max="2" width="6.73046875" customWidth="1"/>
    <col min="3" max="3" width="40.19921875" customWidth="1"/>
    <col min="4" max="4" width="6.73046875" customWidth="1"/>
  </cols>
  <sheetData>
    <row r="1" spans="1:9" x14ac:dyDescent="0.4">
      <c r="A1" s="54" t="s">
        <v>4</v>
      </c>
      <c r="B1" s="54" t="s">
        <v>16</v>
      </c>
      <c r="C1" s="54" t="s">
        <v>14</v>
      </c>
      <c r="D1" s="54" t="s">
        <v>196</v>
      </c>
      <c r="E1" s="53" t="s">
        <v>100</v>
      </c>
      <c r="F1" s="53"/>
      <c r="G1" s="53"/>
      <c r="H1" s="53"/>
      <c r="I1" s="53"/>
    </row>
    <row r="2" spans="1:9" x14ac:dyDescent="0.4">
      <c r="A2" s="55"/>
      <c r="B2" s="55"/>
      <c r="C2" s="55"/>
      <c r="D2" s="55"/>
      <c r="E2" s="40"/>
      <c r="F2" s="40"/>
      <c r="G2" s="40"/>
      <c r="H2" s="40"/>
      <c r="I2" s="36"/>
    </row>
    <row r="3" spans="1:9" x14ac:dyDescent="0.4">
      <c r="A3" s="37"/>
      <c r="B3" s="37"/>
      <c r="C3" s="37"/>
      <c r="D3" s="37"/>
      <c r="E3" s="37"/>
      <c r="F3" s="37"/>
      <c r="G3" s="37"/>
      <c r="H3" s="37"/>
      <c r="I3" s="38"/>
    </row>
    <row r="4" spans="1:9" x14ac:dyDescent="0.4">
      <c r="A4" s="35"/>
      <c r="B4" s="6"/>
      <c r="C4" s="6"/>
      <c r="D4" s="6"/>
      <c r="E4" s="6"/>
      <c r="F4" s="6"/>
      <c r="G4" s="6"/>
      <c r="H4" s="6"/>
      <c r="I4" s="6"/>
    </row>
    <row r="5" spans="1:9" x14ac:dyDescent="0.4">
      <c r="A5" s="35"/>
      <c r="B5" s="6"/>
      <c r="C5" s="6"/>
      <c r="D5" s="6"/>
      <c r="E5" s="6"/>
      <c r="F5" s="6"/>
      <c r="G5" s="6"/>
      <c r="H5" s="6"/>
      <c r="I5" s="6"/>
    </row>
    <row r="6" spans="1:9" x14ac:dyDescent="0.4">
      <c r="A6" s="35"/>
      <c r="B6" s="6"/>
      <c r="C6" s="6"/>
      <c r="D6" s="6"/>
      <c r="E6" s="6"/>
      <c r="F6" s="6"/>
      <c r="G6" s="6"/>
      <c r="H6" s="6"/>
      <c r="I6" s="6"/>
    </row>
    <row r="7" spans="1:9" x14ac:dyDescent="0.4">
      <c r="A7" s="35"/>
      <c r="B7" s="6"/>
      <c r="C7" s="6"/>
      <c r="D7" s="6"/>
      <c r="E7" s="6"/>
      <c r="F7" s="6"/>
      <c r="G7" s="6"/>
      <c r="H7" s="6"/>
      <c r="I7" s="6"/>
    </row>
    <row r="8" spans="1:9" x14ac:dyDescent="0.4">
      <c r="A8" s="35"/>
      <c r="B8" s="6"/>
      <c r="C8" s="6"/>
      <c r="D8" s="6"/>
      <c r="E8" s="6"/>
      <c r="F8" s="6"/>
      <c r="G8" s="6"/>
      <c r="H8" s="6"/>
      <c r="I8" s="6"/>
    </row>
    <row r="9" spans="1:9" x14ac:dyDescent="0.4">
      <c r="A9" s="35"/>
      <c r="B9" s="6"/>
      <c r="C9" s="6"/>
      <c r="D9" s="6"/>
      <c r="E9" s="6"/>
      <c r="F9" s="6"/>
      <c r="G9" s="6"/>
      <c r="H9" s="6"/>
      <c r="I9" s="6"/>
    </row>
    <row r="10" spans="1:9" x14ac:dyDescent="0.4">
      <c r="A10" s="35"/>
      <c r="B10" s="6"/>
      <c r="C10" s="6"/>
      <c r="D10" s="6"/>
      <c r="E10" s="6"/>
      <c r="F10" s="6"/>
      <c r="G10" s="6"/>
      <c r="H10" s="6"/>
      <c r="I10" s="6"/>
    </row>
    <row r="11" spans="1:9" x14ac:dyDescent="0.4">
      <c r="A11" s="35"/>
      <c r="B11" s="6"/>
      <c r="C11" s="6"/>
      <c r="D11" s="6"/>
      <c r="E11" s="6"/>
      <c r="F11" s="6"/>
      <c r="G11" s="6"/>
      <c r="H11" s="6"/>
      <c r="I11" s="6"/>
    </row>
    <row r="12" spans="1:9" x14ac:dyDescent="0.4">
      <c r="A12" s="35"/>
      <c r="B12" s="6"/>
      <c r="C12" s="6"/>
      <c r="D12" s="6"/>
      <c r="E12" s="6"/>
      <c r="F12" s="6"/>
      <c r="G12" s="6"/>
      <c r="H12" s="6"/>
      <c r="I12" s="6"/>
    </row>
    <row r="13" spans="1:9" x14ac:dyDescent="0.4">
      <c r="A13" s="35"/>
      <c r="B13" s="6"/>
      <c r="C13" s="6"/>
      <c r="D13" s="6"/>
      <c r="E13" s="6"/>
      <c r="F13" s="6"/>
      <c r="G13" s="6"/>
      <c r="H13" s="6"/>
      <c r="I13" s="6"/>
    </row>
    <row r="14" spans="1:9" x14ac:dyDescent="0.4">
      <c r="A14" s="35"/>
      <c r="B14" s="6"/>
      <c r="C14" s="6"/>
      <c r="D14" s="6"/>
      <c r="E14" s="6"/>
      <c r="F14" s="6"/>
      <c r="G14" s="6"/>
      <c r="H14" s="6"/>
      <c r="I14" s="6"/>
    </row>
    <row r="15" spans="1:9" x14ac:dyDescent="0.4">
      <c r="A15" s="35"/>
      <c r="B15" s="6"/>
      <c r="C15" s="6"/>
      <c r="D15" s="6"/>
      <c r="E15" s="6"/>
      <c r="F15" s="6"/>
      <c r="G15" s="6"/>
      <c r="H15" s="6"/>
      <c r="I15" s="6"/>
    </row>
    <row r="16" spans="1:9" x14ac:dyDescent="0.4">
      <c r="A16" s="35"/>
      <c r="B16" s="6"/>
      <c r="C16" s="6"/>
      <c r="D16" s="6"/>
      <c r="E16" s="6"/>
      <c r="F16" s="6"/>
      <c r="G16" s="6"/>
      <c r="H16" s="6"/>
      <c r="I16" s="6"/>
    </row>
    <row r="17" spans="1:9" x14ac:dyDescent="0.4">
      <c r="A17" s="35"/>
      <c r="B17" s="6"/>
      <c r="C17" s="6"/>
      <c r="D17" s="6"/>
      <c r="E17" s="6"/>
      <c r="F17" s="6"/>
      <c r="G17" s="6"/>
      <c r="H17" s="6"/>
      <c r="I17" s="6"/>
    </row>
    <row r="18" spans="1:9" x14ac:dyDescent="0.4">
      <c r="A18" s="35"/>
      <c r="B18" s="6"/>
      <c r="C18" s="6"/>
      <c r="D18" s="6"/>
      <c r="E18" s="6"/>
      <c r="F18" s="6"/>
      <c r="G18" s="6"/>
      <c r="H18" s="6"/>
      <c r="I18" s="6"/>
    </row>
    <row r="19" spans="1:9" x14ac:dyDescent="0.4">
      <c r="A19" s="35"/>
      <c r="B19" s="6"/>
      <c r="C19" s="6"/>
      <c r="D19" s="6"/>
      <c r="E19" s="6"/>
      <c r="F19" s="6"/>
      <c r="G19" s="6"/>
      <c r="H19" s="6"/>
      <c r="I19" s="6"/>
    </row>
    <row r="20" spans="1:9" x14ac:dyDescent="0.4">
      <c r="A20" s="35"/>
      <c r="B20" s="6"/>
      <c r="C20" s="6"/>
      <c r="D20" s="6"/>
      <c r="E20" s="6"/>
      <c r="F20" s="6"/>
      <c r="G20" s="6"/>
      <c r="H20" s="6"/>
      <c r="I20" s="6"/>
    </row>
    <row r="21" spans="1:9" x14ac:dyDescent="0.4">
      <c r="A21" s="35"/>
      <c r="B21" s="6"/>
      <c r="C21" s="6"/>
      <c r="D21" s="6"/>
      <c r="E21" s="6"/>
      <c r="F21" s="6"/>
      <c r="G21" s="6"/>
      <c r="H21" s="6"/>
      <c r="I21" s="6"/>
    </row>
    <row r="22" spans="1:9" x14ac:dyDescent="0.4">
      <c r="A22" s="35"/>
      <c r="B22" s="6"/>
      <c r="C22" s="6"/>
      <c r="D22" s="6"/>
      <c r="E22" s="6"/>
      <c r="F22" s="6"/>
      <c r="G22" s="6"/>
      <c r="H22" s="6"/>
      <c r="I22" s="6"/>
    </row>
    <row r="23" spans="1:9" x14ac:dyDescent="0.4">
      <c r="A23" s="35"/>
      <c r="B23" s="6"/>
      <c r="C23" s="6"/>
      <c r="D23" s="6"/>
      <c r="E23" s="6"/>
      <c r="F23" s="6"/>
      <c r="G23" s="6"/>
      <c r="H23" s="6"/>
      <c r="I23" s="6"/>
    </row>
    <row r="24" spans="1:9" x14ac:dyDescent="0.4">
      <c r="A24" s="35"/>
      <c r="B24" s="6"/>
      <c r="C24" s="6"/>
      <c r="D24" s="6"/>
      <c r="E24" s="6"/>
      <c r="F24" s="6"/>
      <c r="G24" s="6"/>
      <c r="H24" s="6"/>
      <c r="I24" s="6"/>
    </row>
    <row r="25" spans="1:9" x14ac:dyDescent="0.4">
      <c r="A25" s="35"/>
      <c r="B25" s="6"/>
      <c r="C25" s="6"/>
      <c r="D25" s="6"/>
      <c r="E25" s="6"/>
      <c r="F25" s="6"/>
      <c r="G25" s="6"/>
      <c r="H25" s="6"/>
      <c r="I25" s="6"/>
    </row>
    <row r="26" spans="1:9" x14ac:dyDescent="0.4">
      <c r="A26" s="35"/>
      <c r="B26" s="6"/>
      <c r="C26" s="6"/>
      <c r="D26" s="6"/>
      <c r="E26" s="6"/>
      <c r="F26" s="6"/>
      <c r="G26" s="6"/>
      <c r="H26" s="6"/>
      <c r="I26" s="6"/>
    </row>
    <row r="27" spans="1:9" x14ac:dyDescent="0.4">
      <c r="A27" s="35"/>
      <c r="B27" s="6"/>
      <c r="C27" s="6"/>
      <c r="D27" s="6"/>
      <c r="E27" s="6"/>
      <c r="F27" s="6"/>
      <c r="G27" s="6"/>
      <c r="H27" s="6"/>
      <c r="I27" s="6"/>
    </row>
    <row r="28" spans="1:9" x14ac:dyDescent="0.4">
      <c r="A28" s="35"/>
      <c r="B28" s="6"/>
      <c r="C28" s="6"/>
      <c r="D28" s="6"/>
      <c r="E28" s="6"/>
      <c r="F28" s="6"/>
      <c r="G28" s="6"/>
      <c r="H28" s="6"/>
      <c r="I28" s="6"/>
    </row>
    <row r="29" spans="1:9" x14ac:dyDescent="0.4">
      <c r="A29" s="35"/>
      <c r="B29" s="6"/>
      <c r="C29" s="6"/>
      <c r="D29" s="6"/>
      <c r="E29" s="6"/>
      <c r="F29" s="6"/>
      <c r="G29" s="6"/>
      <c r="H29" s="6"/>
      <c r="I29" s="6"/>
    </row>
    <row r="30" spans="1:9" x14ac:dyDescent="0.4">
      <c r="A30" s="35"/>
      <c r="B30" s="6"/>
      <c r="C30" s="6"/>
      <c r="D30" s="6"/>
      <c r="E30" s="6"/>
      <c r="F30" s="6"/>
      <c r="G30" s="6"/>
      <c r="H30" s="6"/>
      <c r="I30" s="6"/>
    </row>
    <row r="31" spans="1:9" x14ac:dyDescent="0.4">
      <c r="A31" s="35"/>
      <c r="B31" s="6"/>
      <c r="C31" s="6"/>
      <c r="D31" s="6"/>
      <c r="E31" s="6"/>
      <c r="F31" s="6"/>
      <c r="G31" s="6"/>
      <c r="H31" s="6"/>
      <c r="I31" s="6"/>
    </row>
    <row r="32" spans="1:9" x14ac:dyDescent="0.4">
      <c r="A32" s="35"/>
      <c r="B32" s="6"/>
      <c r="C32" s="6"/>
      <c r="D32" s="6"/>
      <c r="E32" s="6"/>
      <c r="F32" s="6"/>
      <c r="G32" s="6"/>
      <c r="H32" s="6"/>
      <c r="I32" s="6"/>
    </row>
    <row r="33" spans="1:9" x14ac:dyDescent="0.4">
      <c r="A33" s="35"/>
      <c r="B33" s="6"/>
      <c r="C33" s="6"/>
      <c r="D33" s="6"/>
      <c r="E33" s="6"/>
      <c r="F33" s="6"/>
      <c r="G33" s="6"/>
      <c r="H33" s="6"/>
      <c r="I33" s="6"/>
    </row>
    <row r="34" spans="1:9" x14ac:dyDescent="0.4">
      <c r="A34" s="35"/>
      <c r="B34" s="6"/>
      <c r="C34" s="6"/>
      <c r="D34" s="6"/>
      <c r="E34" s="6"/>
      <c r="F34" s="6"/>
      <c r="G34" s="6"/>
      <c r="H34" s="6"/>
      <c r="I34" s="6"/>
    </row>
    <row r="35" spans="1:9" x14ac:dyDescent="0.4">
      <c r="A35" s="35"/>
      <c r="B35" s="6"/>
      <c r="C35" s="6"/>
      <c r="D35" s="6"/>
      <c r="E35" s="6"/>
      <c r="F35" s="6"/>
      <c r="G35" s="6"/>
      <c r="H35" s="6"/>
      <c r="I35" s="6"/>
    </row>
    <row r="36" spans="1:9" x14ac:dyDescent="0.4">
      <c r="A36" s="35"/>
      <c r="B36" s="6"/>
      <c r="C36" s="6"/>
      <c r="D36" s="6"/>
      <c r="E36" s="6"/>
      <c r="F36" s="6"/>
      <c r="G36" s="6"/>
      <c r="H36" s="6"/>
      <c r="I36" s="6"/>
    </row>
    <row r="37" spans="1:9" x14ac:dyDescent="0.4">
      <c r="A37" s="35"/>
      <c r="B37" s="6"/>
      <c r="C37" s="6"/>
      <c r="D37" s="6"/>
      <c r="E37" s="6"/>
      <c r="F37" s="6"/>
      <c r="G37" s="6"/>
      <c r="H37" s="6"/>
      <c r="I37" s="6"/>
    </row>
    <row r="38" spans="1:9" x14ac:dyDescent="0.4">
      <c r="A38" s="5"/>
      <c r="B38" s="5"/>
      <c r="C38" s="5"/>
      <c r="D38" s="5"/>
      <c r="E38" s="5">
        <f>SUMPRODUCT($B$4:$B$37,E4:E37)</f>
        <v>0</v>
      </c>
      <c r="F38" s="5">
        <f>SUMPRODUCT($B$4:$B$37,F4:F37)</f>
        <v>0</v>
      </c>
      <c r="G38" s="5">
        <f>SUMPRODUCT($B$4:$B$37,G4:G37)</f>
        <v>0</v>
      </c>
      <c r="H38" s="5">
        <f>SUMPRODUCT($B$4:$B$37,H4:H37)</f>
        <v>0</v>
      </c>
      <c r="I38" s="5">
        <f>SUMPRODUCT($B$4:$B$37,I4:I37)</f>
        <v>0</v>
      </c>
    </row>
  </sheetData>
  <mergeCells count="5">
    <mergeCell ref="A1:A2"/>
    <mergeCell ref="B1:B2"/>
    <mergeCell ref="C1:C2"/>
    <mergeCell ref="E1:I1"/>
    <mergeCell ref="D1:D2"/>
  </mergeCells>
  <phoneticPr fontId="1" type="noConversion"/>
  <conditionalFormatting sqref="A4 A37 A35">
    <cfRule type="expression" dxfId="31" priority="33">
      <formula>_xlfn.ISFORMULA(A4)</formula>
    </cfRule>
  </conditionalFormatting>
  <conditionalFormatting sqref="A36">
    <cfRule type="expression" dxfId="30" priority="31">
      <formula>_xlfn.ISFORMULA(A36)</formula>
    </cfRule>
  </conditionalFormatting>
  <conditionalFormatting sqref="A34">
    <cfRule type="expression" dxfId="29" priority="29">
      <formula>_xlfn.ISFORMULA(A34)</formula>
    </cfRule>
  </conditionalFormatting>
  <conditionalFormatting sqref="A33">
    <cfRule type="expression" dxfId="28" priority="30">
      <formula>_xlfn.ISFORMULA(A33)</formula>
    </cfRule>
  </conditionalFormatting>
  <conditionalFormatting sqref="A30">
    <cfRule type="expression" dxfId="27" priority="25">
      <formula>_xlfn.ISFORMULA(A30)</formula>
    </cfRule>
  </conditionalFormatting>
  <conditionalFormatting sqref="A31">
    <cfRule type="expression" dxfId="26" priority="28">
      <formula>_xlfn.ISFORMULA(A31)</formula>
    </cfRule>
  </conditionalFormatting>
  <conditionalFormatting sqref="A32">
    <cfRule type="expression" dxfId="25" priority="27">
      <formula>_xlfn.ISFORMULA(A32)</formula>
    </cfRule>
  </conditionalFormatting>
  <conditionalFormatting sqref="A22">
    <cfRule type="expression" dxfId="24" priority="17">
      <formula>_xlfn.ISFORMULA(A22)</formula>
    </cfRule>
  </conditionalFormatting>
  <conditionalFormatting sqref="A29">
    <cfRule type="expression" dxfId="23" priority="26">
      <formula>_xlfn.ISFORMULA(A29)</formula>
    </cfRule>
  </conditionalFormatting>
  <conditionalFormatting sqref="A27">
    <cfRule type="expression" dxfId="22" priority="24">
      <formula>_xlfn.ISFORMULA(A27)</formula>
    </cfRule>
  </conditionalFormatting>
  <conditionalFormatting sqref="A28">
    <cfRule type="expression" dxfId="21" priority="23">
      <formula>_xlfn.ISFORMULA(A28)</formula>
    </cfRule>
  </conditionalFormatting>
  <conditionalFormatting sqref="A26">
    <cfRule type="expression" dxfId="20" priority="21">
      <formula>_xlfn.ISFORMULA(A26)</formula>
    </cfRule>
  </conditionalFormatting>
  <conditionalFormatting sqref="A25">
    <cfRule type="expression" dxfId="19" priority="22">
      <formula>_xlfn.ISFORMULA(A25)</formula>
    </cfRule>
  </conditionalFormatting>
  <conditionalFormatting sqref="A23">
    <cfRule type="expression" dxfId="18" priority="20">
      <formula>_xlfn.ISFORMULA(A23)</formula>
    </cfRule>
  </conditionalFormatting>
  <conditionalFormatting sqref="A24">
    <cfRule type="expression" dxfId="17" priority="19">
      <formula>_xlfn.ISFORMULA(A24)</formula>
    </cfRule>
  </conditionalFormatting>
  <conditionalFormatting sqref="A21">
    <cfRule type="expression" dxfId="16" priority="18">
      <formula>_xlfn.ISFORMULA(A21)</formula>
    </cfRule>
  </conditionalFormatting>
  <conditionalFormatting sqref="A19">
    <cfRule type="expression" dxfId="15" priority="16">
      <formula>_xlfn.ISFORMULA(A19)</formula>
    </cfRule>
  </conditionalFormatting>
  <conditionalFormatting sqref="A20">
    <cfRule type="expression" dxfId="14" priority="15">
      <formula>_xlfn.ISFORMULA(A20)</formula>
    </cfRule>
  </conditionalFormatting>
  <conditionalFormatting sqref="A18">
    <cfRule type="expression" dxfId="13" priority="13">
      <formula>_xlfn.ISFORMULA(A18)</formula>
    </cfRule>
  </conditionalFormatting>
  <conditionalFormatting sqref="A17">
    <cfRule type="expression" dxfId="12" priority="14">
      <formula>_xlfn.ISFORMULA(A17)</formula>
    </cfRule>
  </conditionalFormatting>
  <conditionalFormatting sqref="A14">
    <cfRule type="expression" dxfId="11" priority="9">
      <formula>_xlfn.ISFORMULA(A14)</formula>
    </cfRule>
  </conditionalFormatting>
  <conditionalFormatting sqref="A15">
    <cfRule type="expression" dxfId="10" priority="12">
      <formula>_xlfn.ISFORMULA(A15)</formula>
    </cfRule>
  </conditionalFormatting>
  <conditionalFormatting sqref="A16">
    <cfRule type="expression" dxfId="9" priority="11">
      <formula>_xlfn.ISFORMULA(A16)</formula>
    </cfRule>
  </conditionalFormatting>
  <conditionalFormatting sqref="A6">
    <cfRule type="expression" dxfId="8" priority="1">
      <formula>_xlfn.ISFORMULA(A6)</formula>
    </cfRule>
  </conditionalFormatting>
  <conditionalFormatting sqref="A13">
    <cfRule type="expression" dxfId="7" priority="10">
      <formula>_xlfn.ISFORMULA(A13)</formula>
    </cfRule>
  </conditionalFormatting>
  <conditionalFormatting sqref="A11">
    <cfRule type="expression" dxfId="6" priority="8">
      <formula>_xlfn.ISFORMULA(A11)</formula>
    </cfRule>
  </conditionalFormatting>
  <conditionalFormatting sqref="A12">
    <cfRule type="expression" dxfId="5" priority="7">
      <formula>_xlfn.ISFORMULA(A12)</formula>
    </cfRule>
  </conditionalFormatting>
  <conditionalFormatting sqref="A10">
    <cfRule type="expression" dxfId="4" priority="5">
      <formula>_xlfn.ISFORMULA(A10)</formula>
    </cfRule>
  </conditionalFormatting>
  <conditionalFormatting sqref="A9">
    <cfRule type="expression" dxfId="3" priority="6">
      <formula>_xlfn.ISFORMULA(A9)</formula>
    </cfRule>
  </conditionalFormatting>
  <conditionalFormatting sqref="A7">
    <cfRule type="expression" dxfId="2" priority="4">
      <formula>_xlfn.ISFORMULA(A7)</formula>
    </cfRule>
  </conditionalFormatting>
  <conditionalFormatting sqref="A8">
    <cfRule type="expression" dxfId="1" priority="3">
      <formula>_xlfn.ISFORMULA(A8)</formula>
    </cfRule>
  </conditionalFormatting>
  <conditionalFormatting sqref="A5">
    <cfRule type="expression" dxfId="0" priority="2">
      <formula>_xlfn.ISFORMULA(A5)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2365-5C6E-45DA-A23B-2C9114D7E4A5}">
  <sheetPr codeName="Sheet5"/>
  <dimension ref="A2:J36"/>
  <sheetViews>
    <sheetView workbookViewId="0">
      <selection activeCell="G5" sqref="G5"/>
    </sheetView>
  </sheetViews>
  <sheetFormatPr defaultRowHeight="13.9" x14ac:dyDescent="0.4"/>
  <cols>
    <col min="2" max="2" width="8.6640625" customWidth="1"/>
    <col min="3" max="3" width="13.796875" customWidth="1"/>
    <col min="4" max="4" width="5.6640625" bestFit="1" customWidth="1"/>
    <col min="5" max="6" width="9.796875" bestFit="1" customWidth="1"/>
  </cols>
  <sheetData>
    <row r="2" spans="1:7" x14ac:dyDescent="0.4">
      <c r="A2" s="1" t="s">
        <v>61</v>
      </c>
      <c r="B2" s="1" t="s">
        <v>62</v>
      </c>
      <c r="C2" s="1" t="s">
        <v>60</v>
      </c>
      <c r="D2" s="1" t="s">
        <v>73</v>
      </c>
      <c r="E2" s="1" t="s">
        <v>59</v>
      </c>
      <c r="F2" s="1" t="s">
        <v>71</v>
      </c>
      <c r="G2" s="1" t="s">
        <v>72</v>
      </c>
    </row>
    <row r="3" spans="1:7" x14ac:dyDescent="0.4">
      <c r="A3" s="13">
        <v>0</v>
      </c>
      <c r="B3" s="14"/>
      <c r="C3" s="14" t="s">
        <v>63</v>
      </c>
      <c r="D3" s="14">
        <v>3</v>
      </c>
      <c r="E3" s="14">
        <v>4</v>
      </c>
      <c r="F3" s="15">
        <f>IF(D3&lt;&gt;"",CEILING(LOG(SUMIFS(E3:E25,B3:B25,A3)+1,2),1),"")</f>
        <v>3</v>
      </c>
      <c r="G3" s="15"/>
    </row>
    <row r="4" spans="1:7" x14ac:dyDescent="0.4">
      <c r="A4" s="13">
        <v>1</v>
      </c>
      <c r="B4" s="14"/>
      <c r="C4" s="14"/>
      <c r="D4" s="14"/>
      <c r="E4" s="14"/>
      <c r="F4" s="15" t="str">
        <f>IF(D4&lt;&gt;"",CEILING(LOG(SUMIFS(E4:E26,B4:B26,A4)+1,2),1),"")</f>
        <v/>
      </c>
      <c r="G4" s="15"/>
    </row>
    <row r="5" spans="1:7" x14ac:dyDescent="0.4">
      <c r="A5" s="13">
        <v>2</v>
      </c>
      <c r="B5" s="14"/>
      <c r="C5" s="14"/>
      <c r="D5" s="14"/>
      <c r="E5" s="14"/>
      <c r="F5" s="15" t="str">
        <f>IF(D5&lt;&gt;"",CEILING(LOG(SUMIFS(E5:E27,B5:B27,A5)+1,2),1),"")</f>
        <v/>
      </c>
      <c r="G5" s="15"/>
    </row>
    <row r="6" spans="1:7" x14ac:dyDescent="0.4">
      <c r="A6" s="13">
        <v>3</v>
      </c>
      <c r="B6" s="14">
        <v>0</v>
      </c>
      <c r="C6" s="14" t="s">
        <v>64</v>
      </c>
      <c r="D6" s="14"/>
      <c r="E6" s="14">
        <v>1</v>
      </c>
      <c r="F6" s="15" t="str">
        <f>IF(D6&lt;&gt;"",CEILING(LOG(SUMIFS(E6:E28,B6:B28,A6)+1,2),1),"")</f>
        <v/>
      </c>
      <c r="G6" s="15"/>
    </row>
    <row r="7" spans="1:7" x14ac:dyDescent="0.4">
      <c r="A7" s="13">
        <v>4</v>
      </c>
      <c r="B7" s="14">
        <v>3</v>
      </c>
      <c r="C7" s="14" t="s">
        <v>68</v>
      </c>
      <c r="D7" s="14">
        <v>4</v>
      </c>
      <c r="E7" s="14">
        <v>1</v>
      </c>
      <c r="F7" s="15">
        <f>IF(D7&lt;&gt;"",CEILING(LOG(SUMIFS(E7:E29,B7:B29,A7)+1,2),1),"")</f>
        <v>1</v>
      </c>
      <c r="G7" s="15"/>
    </row>
    <row r="8" spans="1:7" x14ac:dyDescent="0.4">
      <c r="A8" s="13">
        <v>5</v>
      </c>
      <c r="B8" s="14">
        <v>4</v>
      </c>
      <c r="C8" s="14" t="s">
        <v>75</v>
      </c>
      <c r="D8" s="14">
        <v>5</v>
      </c>
      <c r="E8" s="14">
        <v>1</v>
      </c>
      <c r="F8" s="15"/>
      <c r="G8" s="15"/>
    </row>
    <row r="9" spans="1:7" x14ac:dyDescent="0.4">
      <c r="A9" s="13">
        <v>6</v>
      </c>
      <c r="B9" s="14">
        <v>3</v>
      </c>
      <c r="C9" s="14" t="s">
        <v>69</v>
      </c>
      <c r="D9" s="14">
        <v>4</v>
      </c>
      <c r="E9" s="14">
        <v>4</v>
      </c>
      <c r="F9" s="15">
        <f t="shared" ref="F9:F25" si="0">IF(D9&lt;&gt;"",CEILING(LOG(SUMIFS(E9:E30,B9:B30,A9)+1,2),1),"")</f>
        <v>0</v>
      </c>
      <c r="G9" s="15"/>
    </row>
    <row r="10" spans="1:7" x14ac:dyDescent="0.4">
      <c r="A10" s="13">
        <v>7</v>
      </c>
      <c r="B10" s="14">
        <v>5</v>
      </c>
      <c r="C10" s="14" t="s">
        <v>70</v>
      </c>
      <c r="D10" s="14">
        <v>5</v>
      </c>
      <c r="E10" s="14">
        <f>4096-1</f>
        <v>4095</v>
      </c>
      <c r="F10" s="15">
        <f t="shared" si="0"/>
        <v>0</v>
      </c>
      <c r="G10" s="15"/>
    </row>
    <row r="11" spans="1:7" x14ac:dyDescent="0.4">
      <c r="A11" s="13">
        <v>8</v>
      </c>
      <c r="B11" s="14"/>
      <c r="C11" s="14"/>
      <c r="D11" s="14"/>
      <c r="E11" s="14"/>
      <c r="F11" s="15" t="str">
        <f t="shared" si="0"/>
        <v/>
      </c>
      <c r="G11" s="15"/>
    </row>
    <row r="12" spans="1:7" x14ac:dyDescent="0.4">
      <c r="A12" s="13">
        <v>9</v>
      </c>
      <c r="B12" s="14">
        <v>0</v>
      </c>
      <c r="C12" s="14" t="s">
        <v>65</v>
      </c>
      <c r="D12" s="14"/>
      <c r="E12" s="14">
        <v>1</v>
      </c>
      <c r="F12" s="15" t="str">
        <f t="shared" si="0"/>
        <v/>
      </c>
      <c r="G12" s="15"/>
    </row>
    <row r="13" spans="1:7" x14ac:dyDescent="0.4">
      <c r="A13" s="13">
        <v>10</v>
      </c>
      <c r="B13" s="14">
        <v>9</v>
      </c>
      <c r="C13" s="14" t="s">
        <v>76</v>
      </c>
      <c r="D13" s="14">
        <v>4</v>
      </c>
      <c r="E13" s="14">
        <v>1</v>
      </c>
      <c r="F13" s="15">
        <f t="shared" si="0"/>
        <v>1</v>
      </c>
      <c r="G13" s="15"/>
    </row>
    <row r="14" spans="1:7" x14ac:dyDescent="0.4">
      <c r="A14" s="13">
        <v>11</v>
      </c>
      <c r="B14" s="14">
        <v>10</v>
      </c>
      <c r="C14" s="14" t="s">
        <v>77</v>
      </c>
      <c r="D14" s="14">
        <v>5</v>
      </c>
      <c r="E14" s="14">
        <v>1</v>
      </c>
      <c r="F14" s="15">
        <f t="shared" si="0"/>
        <v>0</v>
      </c>
      <c r="G14" s="15"/>
    </row>
    <row r="15" spans="1:7" x14ac:dyDescent="0.4">
      <c r="A15" s="13">
        <v>12</v>
      </c>
      <c r="B15" s="14">
        <v>9</v>
      </c>
      <c r="C15" s="14" t="s">
        <v>78</v>
      </c>
      <c r="D15" s="14">
        <v>4</v>
      </c>
      <c r="E15" s="14">
        <v>4</v>
      </c>
      <c r="F15" s="15">
        <f t="shared" si="0"/>
        <v>12</v>
      </c>
      <c r="G15" s="15"/>
    </row>
    <row r="16" spans="1:7" x14ac:dyDescent="0.4">
      <c r="A16" s="13">
        <v>13</v>
      </c>
      <c r="B16" s="14">
        <v>12</v>
      </c>
      <c r="C16" s="14" t="s">
        <v>79</v>
      </c>
      <c r="D16" s="14">
        <v>5</v>
      </c>
      <c r="E16" s="14">
        <v>4095</v>
      </c>
      <c r="F16" s="15">
        <f t="shared" si="0"/>
        <v>0</v>
      </c>
      <c r="G16" s="15"/>
    </row>
    <row r="17" spans="1:10" x14ac:dyDescent="0.4">
      <c r="A17" s="13">
        <v>14</v>
      </c>
      <c r="B17" s="14"/>
      <c r="C17" s="14"/>
      <c r="D17" s="14"/>
      <c r="E17" s="14"/>
      <c r="F17" s="15" t="str">
        <f t="shared" si="0"/>
        <v/>
      </c>
      <c r="G17" s="15"/>
    </row>
    <row r="18" spans="1:10" x14ac:dyDescent="0.4">
      <c r="A18" s="13">
        <v>15</v>
      </c>
      <c r="B18" s="14">
        <v>0</v>
      </c>
      <c r="C18" s="14" t="s">
        <v>66</v>
      </c>
      <c r="D18" s="14"/>
      <c r="E18" s="14">
        <v>1</v>
      </c>
      <c r="F18" s="15" t="str">
        <f t="shared" si="0"/>
        <v/>
      </c>
      <c r="G18" s="15"/>
    </row>
    <row r="19" spans="1:10" x14ac:dyDescent="0.4">
      <c r="A19" s="13">
        <v>16</v>
      </c>
      <c r="B19" s="14">
        <v>15</v>
      </c>
      <c r="C19" s="14" t="s">
        <v>80</v>
      </c>
      <c r="D19" s="14">
        <v>4</v>
      </c>
      <c r="E19" s="14">
        <v>1</v>
      </c>
      <c r="F19" s="15">
        <f t="shared" si="0"/>
        <v>1</v>
      </c>
      <c r="G19" s="15"/>
    </row>
    <row r="20" spans="1:10" x14ac:dyDescent="0.4">
      <c r="A20" s="13">
        <v>17</v>
      </c>
      <c r="B20" s="14">
        <v>16</v>
      </c>
      <c r="C20" s="14" t="s">
        <v>81</v>
      </c>
      <c r="D20" s="14">
        <v>5</v>
      </c>
      <c r="E20" s="14">
        <v>1</v>
      </c>
      <c r="F20" s="15">
        <f t="shared" si="0"/>
        <v>0</v>
      </c>
      <c r="G20" s="15"/>
    </row>
    <row r="21" spans="1:10" x14ac:dyDescent="0.4">
      <c r="A21" s="13">
        <v>18</v>
      </c>
      <c r="B21" s="14">
        <v>15</v>
      </c>
      <c r="C21" s="14" t="s">
        <v>78</v>
      </c>
      <c r="D21" s="14">
        <v>4</v>
      </c>
      <c r="E21" s="14">
        <v>4</v>
      </c>
      <c r="F21" s="15">
        <f t="shared" si="0"/>
        <v>12</v>
      </c>
      <c r="G21" s="15"/>
    </row>
    <row r="22" spans="1:10" x14ac:dyDescent="0.4">
      <c r="A22" s="13">
        <v>19</v>
      </c>
      <c r="B22" s="14">
        <v>18</v>
      </c>
      <c r="C22" s="14" t="s">
        <v>82</v>
      </c>
      <c r="D22" s="14">
        <v>5</v>
      </c>
      <c r="E22" s="14">
        <v>4095</v>
      </c>
      <c r="F22" s="15">
        <f t="shared" si="0"/>
        <v>0</v>
      </c>
      <c r="G22" s="15"/>
    </row>
    <row r="23" spans="1:10" x14ac:dyDescent="0.4">
      <c r="A23" s="13">
        <v>20</v>
      </c>
      <c r="B23" s="14"/>
      <c r="C23" s="14"/>
      <c r="D23" s="14"/>
      <c r="E23" s="14"/>
      <c r="F23" s="15" t="str">
        <f t="shared" si="0"/>
        <v/>
      </c>
      <c r="G23" s="15"/>
    </row>
    <row r="24" spans="1:10" x14ac:dyDescent="0.4">
      <c r="A24" s="13">
        <v>21</v>
      </c>
      <c r="B24" s="14">
        <v>0</v>
      </c>
      <c r="C24" s="14" t="s">
        <v>67</v>
      </c>
      <c r="D24" s="14"/>
      <c r="E24" s="14">
        <v>1</v>
      </c>
      <c r="F24" s="15" t="str">
        <f t="shared" si="0"/>
        <v/>
      </c>
      <c r="G24" s="15"/>
    </row>
    <row r="25" spans="1:10" x14ac:dyDescent="0.4">
      <c r="A25" s="13">
        <v>22</v>
      </c>
      <c r="B25" s="14"/>
      <c r="C25" s="14"/>
      <c r="D25" s="14"/>
      <c r="E25" s="14"/>
      <c r="F25" s="15" t="str">
        <f t="shared" si="0"/>
        <v/>
      </c>
      <c r="G25" s="15"/>
    </row>
    <row r="29" spans="1:10" x14ac:dyDescent="0.4">
      <c r="I29" s="1" t="s">
        <v>74</v>
      </c>
      <c r="J29" s="1" t="s">
        <v>72</v>
      </c>
    </row>
    <row r="30" spans="1:10" x14ac:dyDescent="0.4">
      <c r="I30" s="13">
        <v>0</v>
      </c>
      <c r="J30" s="15"/>
    </row>
    <row r="31" spans="1:10" x14ac:dyDescent="0.4">
      <c r="I31" s="13">
        <v>1</v>
      </c>
      <c r="J31" s="15">
        <f t="shared" ref="J31:J36" si="1">CEILING(LOG(SUMIFS(CPY_NUM_RNG,STAGE_RNG,I31)+1,2),1)</f>
        <v>0</v>
      </c>
    </row>
    <row r="32" spans="1:10" x14ac:dyDescent="0.4">
      <c r="I32" s="13">
        <v>2</v>
      </c>
      <c r="J32" s="15">
        <f t="shared" si="1"/>
        <v>0</v>
      </c>
    </row>
    <row r="33" spans="9:10" x14ac:dyDescent="0.4">
      <c r="I33" s="13">
        <v>3</v>
      </c>
      <c r="J33" s="15">
        <f t="shared" si="1"/>
        <v>3</v>
      </c>
    </row>
    <row r="34" spans="9:10" x14ac:dyDescent="0.4">
      <c r="I34" s="13">
        <v>4</v>
      </c>
      <c r="J34" s="15">
        <f t="shared" si="1"/>
        <v>4</v>
      </c>
    </row>
    <row r="35" spans="9:10" x14ac:dyDescent="0.4">
      <c r="I35" s="13">
        <v>5</v>
      </c>
      <c r="J35" s="15">
        <f t="shared" si="1"/>
        <v>14</v>
      </c>
    </row>
    <row r="36" spans="9:10" x14ac:dyDescent="0.4">
      <c r="I36" s="13">
        <v>6</v>
      </c>
      <c r="J36" s="15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26F-5DAB-4806-BAE0-9FD77C116118}">
  <sheetPr codeName="Sheet6">
    <tabColor theme="1" tint="4.9989318521683403E-2"/>
  </sheetPr>
  <dimension ref="A1:E9"/>
  <sheetViews>
    <sheetView workbookViewId="0">
      <selection activeCell="E12" sqref="E12"/>
    </sheetView>
  </sheetViews>
  <sheetFormatPr defaultRowHeight="13.9" x14ac:dyDescent="0.4"/>
  <cols>
    <col min="1" max="1" width="21.59765625" customWidth="1"/>
    <col min="2" max="2" width="10.796875" customWidth="1"/>
    <col min="3" max="3" width="45.59765625" customWidth="1"/>
    <col min="4" max="4" width="19.73046875" customWidth="1"/>
    <col min="5" max="5" width="32.06640625" customWidth="1"/>
  </cols>
  <sheetData>
    <row r="1" spans="1:5" x14ac:dyDescent="0.4">
      <c r="A1" s="1" t="s">
        <v>61</v>
      </c>
      <c r="B1" s="1" t="s">
        <v>85</v>
      </c>
      <c r="C1" s="1" t="s">
        <v>14</v>
      </c>
      <c r="D1" s="1" t="s">
        <v>83</v>
      </c>
      <c r="E1" s="1"/>
    </row>
    <row r="2" spans="1:5" x14ac:dyDescent="0.4">
      <c r="A2" s="13" t="s">
        <v>84</v>
      </c>
      <c r="B2" s="16" t="s">
        <v>86</v>
      </c>
      <c r="C2" s="16"/>
      <c r="D2" s="17" t="s">
        <v>96</v>
      </c>
      <c r="E2" s="14"/>
    </row>
    <row r="3" spans="1:5" x14ac:dyDescent="0.4">
      <c r="A3" s="13" t="s">
        <v>87</v>
      </c>
      <c r="B3" s="16" t="s">
        <v>86</v>
      </c>
      <c r="C3" s="16"/>
      <c r="D3" s="17" t="s">
        <v>97</v>
      </c>
      <c r="E3" s="14"/>
    </row>
    <row r="4" spans="1:5" x14ac:dyDescent="0.4">
      <c r="A4" s="13" t="s">
        <v>88</v>
      </c>
      <c r="B4" s="16"/>
      <c r="C4" s="16"/>
      <c r="D4" s="14" t="s">
        <v>89</v>
      </c>
      <c r="E4" s="14"/>
    </row>
    <row r="5" spans="1:5" x14ac:dyDescent="0.4">
      <c r="A5" s="13" t="s">
        <v>90</v>
      </c>
      <c r="B5" s="16" t="s">
        <v>91</v>
      </c>
      <c r="C5" s="16"/>
      <c r="D5" s="17" t="s">
        <v>92</v>
      </c>
      <c r="E5" s="14"/>
    </row>
    <row r="6" spans="1:5" x14ac:dyDescent="0.4">
      <c r="A6" s="13" t="s">
        <v>95</v>
      </c>
      <c r="B6" s="16" t="s">
        <v>91</v>
      </c>
      <c r="C6" s="16"/>
      <c r="D6" s="14">
        <v>180</v>
      </c>
      <c r="E6" s="14"/>
    </row>
    <row r="7" spans="1:5" x14ac:dyDescent="0.4">
      <c r="A7" s="13" t="s">
        <v>93</v>
      </c>
      <c r="B7" s="16" t="s">
        <v>94</v>
      </c>
      <c r="C7" s="16"/>
      <c r="D7" s="14">
        <v>1800</v>
      </c>
      <c r="E7" s="14"/>
    </row>
    <row r="8" spans="1:5" x14ac:dyDescent="0.4">
      <c r="A8" s="13" t="s">
        <v>116</v>
      </c>
      <c r="B8" s="16" t="s">
        <v>117</v>
      </c>
      <c r="C8" s="16"/>
      <c r="D8" s="14">
        <v>2.5099999999999998</v>
      </c>
      <c r="E8" s="14"/>
    </row>
    <row r="9" spans="1:5" x14ac:dyDescent="0.4">
      <c r="A9" s="13" t="s">
        <v>133</v>
      </c>
      <c r="B9" s="16"/>
      <c r="C9" s="16"/>
      <c r="D9" s="31" t="s">
        <v>134</v>
      </c>
      <c r="E9" s="14"/>
    </row>
  </sheetData>
  <phoneticPr fontId="1" type="noConversion"/>
  <hyperlinks>
    <hyperlink ref="D5" r:id="rId1" xr:uid="{17404DD0-02F5-473E-BF6A-0D63CF6EBF0A}"/>
    <hyperlink ref="D2" r:id="rId2" xr:uid="{4AB1ED48-FB86-4371-8F16-9133C31EFBF0}"/>
    <hyperlink ref="D3" r:id="rId3" xr:uid="{384D9679-B5B8-4912-A29B-08FECB7AA84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315F-5832-45CA-83C1-4CED6D114B90}">
  <sheetPr codeName="Sheet9">
    <tabColor rgb="FF7030A0"/>
  </sheetPr>
  <dimension ref="A2:J6"/>
  <sheetViews>
    <sheetView workbookViewId="0">
      <selection activeCell="H20" sqref="H20"/>
    </sheetView>
  </sheetViews>
  <sheetFormatPr defaultRowHeight="13.9" x14ac:dyDescent="0.4"/>
  <sheetData>
    <row r="2" spans="1:10" ht="38.25" customHeight="1" x14ac:dyDescent="0.4">
      <c r="A2" s="68" t="s">
        <v>135</v>
      </c>
      <c r="B2" s="68"/>
      <c r="C2" s="68"/>
      <c r="D2" s="68" t="s">
        <v>136</v>
      </c>
      <c r="E2" s="68"/>
      <c r="F2" s="68"/>
      <c r="G2" s="68" t="s">
        <v>35</v>
      </c>
      <c r="H2" s="68"/>
      <c r="I2" s="68"/>
    </row>
    <row r="3" spans="1:10" ht="25.5" x14ac:dyDescent="0.4">
      <c r="A3" s="30" t="s">
        <v>137</v>
      </c>
      <c r="B3" s="32" t="s">
        <v>138</v>
      </c>
      <c r="C3" s="32"/>
      <c r="D3" s="32" t="s">
        <v>139</v>
      </c>
      <c r="E3" s="32" t="s">
        <v>140</v>
      </c>
      <c r="F3" s="32"/>
      <c r="G3" s="32"/>
      <c r="H3" s="32"/>
      <c r="I3" s="32"/>
      <c r="J3" s="30" t="s">
        <v>141</v>
      </c>
    </row>
    <row r="4" spans="1:10" x14ac:dyDescent="0.4">
      <c r="A4" s="21"/>
      <c r="B4" s="21"/>
      <c r="C4" s="21"/>
      <c r="D4" s="21"/>
      <c r="E4" s="21"/>
      <c r="F4" s="21"/>
      <c r="G4" s="21"/>
      <c r="H4" s="21"/>
      <c r="I4" s="21"/>
      <c r="J4" s="21"/>
    </row>
    <row r="5" spans="1:10" x14ac:dyDescent="0.4">
      <c r="A5" s="21"/>
      <c r="B5" s="21"/>
      <c r="C5" s="21"/>
      <c r="D5" s="21"/>
      <c r="E5" s="21"/>
      <c r="F5" s="21"/>
      <c r="G5" s="21"/>
      <c r="H5" s="21"/>
      <c r="I5" s="21"/>
      <c r="J5" s="21"/>
    </row>
    <row r="6" spans="1:10" x14ac:dyDescent="0.4">
      <c r="A6" s="2">
        <v>64</v>
      </c>
      <c r="B6" s="2">
        <v>64</v>
      </c>
      <c r="C6" s="2">
        <v>64</v>
      </c>
      <c r="D6" s="2">
        <v>64</v>
      </c>
      <c r="E6" s="2">
        <v>64</v>
      </c>
      <c r="F6" s="2">
        <v>64</v>
      </c>
      <c r="G6" s="2">
        <v>64</v>
      </c>
      <c r="H6" s="2"/>
      <c r="I6" s="2">
        <v>64</v>
      </c>
      <c r="J6" s="28">
        <f>A6*(D6+E6)+B6</f>
        <v>8256</v>
      </c>
    </row>
  </sheetData>
  <mergeCells count="3">
    <mergeCell ref="A2:C2"/>
    <mergeCell ref="D2:F2"/>
    <mergeCell ref="G2:I2"/>
  </mergeCells>
  <phoneticPr fontId="1" type="noConversion"/>
  <dataValidations count="1">
    <dataValidation type="textLength" operator="lessThan" allowBlank="1" showInputMessage="1" showErrorMessage="1" sqref="A4:J5" xr:uid="{A0C8EE48-3A27-4E5C-9ACE-9F5EF37CC56A}">
      <formula1>32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699A-D11B-4720-A293-883745E933CF}">
  <sheetPr codeName="Sheet7">
    <tabColor rgb="FF00B050"/>
  </sheetPr>
  <dimension ref="A5:V50"/>
  <sheetViews>
    <sheetView topLeftCell="A30" workbookViewId="0">
      <selection activeCell="E61" sqref="E61"/>
    </sheetView>
  </sheetViews>
  <sheetFormatPr defaultRowHeight="13.9" x14ac:dyDescent="0.4"/>
  <cols>
    <col min="1" max="1" width="5.73046875" customWidth="1"/>
    <col min="2" max="2" width="37" customWidth="1"/>
    <col min="3" max="3" width="26.6640625" customWidth="1"/>
    <col min="5" max="5" width="36" customWidth="1"/>
    <col min="6" max="6" width="9.46484375" customWidth="1"/>
    <col min="7" max="7" width="14.86328125" customWidth="1"/>
    <col min="8" max="8" width="12" bestFit="1" customWidth="1"/>
    <col min="9" max="9" width="14.796875" customWidth="1"/>
    <col min="10" max="10" width="7.33203125" bestFit="1" customWidth="1"/>
    <col min="11" max="11" width="16.265625" customWidth="1"/>
    <col min="17" max="17" width="2.1328125" customWidth="1"/>
    <col min="18" max="18" width="2.06640625" bestFit="1" customWidth="1"/>
    <col min="19" max="19" width="2.265625" customWidth="1"/>
    <col min="20" max="20" width="1.6640625" customWidth="1"/>
    <col min="21" max="21" width="1.73046875" customWidth="1"/>
    <col min="22" max="22" width="2" customWidth="1"/>
  </cols>
  <sheetData>
    <row r="5" spans="1:22" x14ac:dyDescent="0.4">
      <c r="A5" s="53" t="s">
        <v>113</v>
      </c>
      <c r="B5" s="53" t="s">
        <v>99</v>
      </c>
      <c r="C5" s="53" t="s">
        <v>100</v>
      </c>
      <c r="D5" s="68" t="s">
        <v>103</v>
      </c>
      <c r="E5" s="56" t="s">
        <v>104</v>
      </c>
      <c r="F5" s="58"/>
      <c r="G5" s="56" t="s">
        <v>105</v>
      </c>
      <c r="H5" s="58"/>
      <c r="I5" s="56" t="s">
        <v>106</v>
      </c>
      <c r="J5" s="58"/>
      <c r="K5" s="56" t="s">
        <v>107</v>
      </c>
      <c r="L5" s="58"/>
      <c r="M5" s="56" t="s">
        <v>108</v>
      </c>
      <c r="N5" s="58"/>
      <c r="O5" s="56" t="s">
        <v>109</v>
      </c>
      <c r="P5" s="58"/>
      <c r="Q5" s="72" t="s">
        <v>110</v>
      </c>
      <c r="R5" s="73"/>
      <c r="S5" s="73"/>
      <c r="T5" s="73"/>
      <c r="U5" s="73"/>
      <c r="V5" s="74"/>
    </row>
    <row r="6" spans="1:22" ht="25.5" x14ac:dyDescent="0.4">
      <c r="A6" s="53"/>
      <c r="B6" s="53"/>
      <c r="C6" s="53"/>
      <c r="D6" s="68"/>
      <c r="E6" s="1" t="s">
        <v>4</v>
      </c>
      <c r="F6" s="18" t="s">
        <v>103</v>
      </c>
      <c r="G6" s="1" t="s">
        <v>4</v>
      </c>
      <c r="H6" s="18" t="s">
        <v>103</v>
      </c>
      <c r="I6" s="1" t="s">
        <v>4</v>
      </c>
      <c r="J6" s="18" t="s">
        <v>103</v>
      </c>
      <c r="K6" s="1" t="s">
        <v>4</v>
      </c>
      <c r="L6" s="18" t="s">
        <v>103</v>
      </c>
      <c r="M6" s="1" t="s">
        <v>4</v>
      </c>
      <c r="N6" s="18" t="s">
        <v>103</v>
      </c>
      <c r="O6" s="1" t="s">
        <v>4</v>
      </c>
      <c r="P6" s="18" t="s">
        <v>103</v>
      </c>
      <c r="Q6" s="59"/>
      <c r="R6" s="60"/>
      <c r="S6" s="60"/>
      <c r="T6" s="60"/>
      <c r="U6" s="60"/>
      <c r="V6" s="61"/>
    </row>
    <row r="7" spans="1:22" x14ac:dyDescent="0.4">
      <c r="A7" s="2">
        <v>1</v>
      </c>
      <c r="B7" s="2" t="s">
        <v>191</v>
      </c>
      <c r="C7" s="19" t="s">
        <v>187</v>
      </c>
      <c r="D7" s="15">
        <f t="shared" ref="D7:D8" ca="1" si="0">OFFSET(D7,,MATCH(C7,E7:O7,0)+1)</f>
        <v>1</v>
      </c>
      <c r="E7" s="21" t="s">
        <v>190</v>
      </c>
      <c r="F7" s="20">
        <v>1</v>
      </c>
      <c r="G7" s="21"/>
      <c r="H7" s="20"/>
      <c r="I7" s="21"/>
      <c r="J7" s="20"/>
      <c r="K7" s="21"/>
      <c r="L7" s="20"/>
      <c r="M7" s="21"/>
      <c r="N7" s="20"/>
      <c r="O7" s="21"/>
      <c r="P7" s="20"/>
      <c r="Q7" s="22" t="str">
        <f t="shared" ref="Q7:Q8" si="1">IF(E7="","",E7)</f>
        <v>Typic</v>
      </c>
      <c r="R7" s="22" t="str">
        <f t="shared" ref="R7:R8" si="2">IF(G7="","",G7)</f>
        <v/>
      </c>
      <c r="S7" s="22" t="str">
        <f t="shared" ref="S7:S8" si="3">IF(I7="","",I7)</f>
        <v/>
      </c>
      <c r="T7" s="22" t="str">
        <f t="shared" ref="T7:T8" si="4">IF(K7="","",K7)</f>
        <v/>
      </c>
      <c r="U7" s="22" t="str">
        <f t="shared" ref="U7:U8" si="5">IF(M7="","",M7)</f>
        <v/>
      </c>
      <c r="V7" s="22" t="str">
        <f t="shared" ref="V7:V8" si="6">IF(O7="","",O7)</f>
        <v/>
      </c>
    </row>
    <row r="8" spans="1:22" x14ac:dyDescent="0.4">
      <c r="A8" s="2">
        <v>2</v>
      </c>
      <c r="B8" s="2" t="s">
        <v>192</v>
      </c>
      <c r="C8" s="19" t="s">
        <v>187</v>
      </c>
      <c r="D8" s="15">
        <f t="shared" ca="1" si="0"/>
        <v>1</v>
      </c>
      <c r="E8" s="21" t="s">
        <v>190</v>
      </c>
      <c r="F8" s="20">
        <v>1</v>
      </c>
      <c r="G8" s="21"/>
      <c r="H8" s="20"/>
      <c r="I8" s="21"/>
      <c r="J8" s="20"/>
      <c r="K8" s="21"/>
      <c r="L8" s="20"/>
      <c r="M8" s="21"/>
      <c r="N8" s="20"/>
      <c r="O8" s="21"/>
      <c r="P8" s="20"/>
      <c r="Q8" s="22" t="str">
        <f t="shared" si="1"/>
        <v>Typic</v>
      </c>
      <c r="R8" s="22" t="str">
        <f t="shared" si="2"/>
        <v/>
      </c>
      <c r="S8" s="22" t="str">
        <f t="shared" si="3"/>
        <v/>
      </c>
      <c r="T8" s="22" t="str">
        <f t="shared" si="4"/>
        <v/>
      </c>
      <c r="U8" s="22" t="str">
        <f t="shared" si="5"/>
        <v/>
      </c>
      <c r="V8" s="22" t="str">
        <f t="shared" si="6"/>
        <v/>
      </c>
    </row>
    <row r="9" spans="1:22" x14ac:dyDescent="0.4">
      <c r="A9" s="2">
        <v>3</v>
      </c>
      <c r="B9" s="2" t="s">
        <v>182</v>
      </c>
      <c r="C9" s="19" t="s">
        <v>183</v>
      </c>
      <c r="D9" s="15">
        <f ca="1">OFFSET(D9,,MATCH(C9,E9:O9,0)+1)</f>
        <v>1</v>
      </c>
      <c r="E9" s="21" t="s">
        <v>184</v>
      </c>
      <c r="F9" s="20">
        <v>1</v>
      </c>
      <c r="G9" s="21" t="s">
        <v>185</v>
      </c>
      <c r="H9" s="20">
        <v>6</v>
      </c>
      <c r="I9" s="21"/>
      <c r="J9" s="20"/>
      <c r="K9" s="21"/>
      <c r="L9" s="20"/>
      <c r="M9" s="21"/>
      <c r="N9" s="20"/>
      <c r="O9" s="21"/>
      <c r="P9" s="20"/>
      <c r="Q9" s="22" t="str">
        <f t="shared" ref="Q9:Q17" si="7">IF(E9="","",E9)</f>
        <v>Min</v>
      </c>
      <c r="R9" s="22" t="str">
        <f t="shared" ref="R9:R17" si="8">IF(G9="","",G9)</f>
        <v>Max</v>
      </c>
      <c r="S9" s="22" t="str">
        <f t="shared" ref="S9:S17" si="9">IF(I9="","",I9)</f>
        <v/>
      </c>
      <c r="T9" s="22" t="str">
        <f t="shared" ref="T9:T17" si="10">IF(K9="","",K9)</f>
        <v/>
      </c>
      <c r="U9" s="22" t="str">
        <f t="shared" ref="U9:U17" si="11">IF(M9="","",M9)</f>
        <v/>
      </c>
      <c r="V9" s="22" t="str">
        <f t="shared" ref="V9:V17" si="12">IF(O9="","",O9)</f>
        <v/>
      </c>
    </row>
    <row r="10" spans="1:22" x14ac:dyDescent="0.4">
      <c r="A10" s="2">
        <v>4</v>
      </c>
      <c r="B10" s="2" t="s">
        <v>186</v>
      </c>
      <c r="C10" s="19" t="s">
        <v>183</v>
      </c>
      <c r="D10" s="15">
        <f t="shared" ref="D10:D17" ca="1" si="13">OFFSET(D10,,MATCH(C10,E10:O10,0)+1)</f>
        <v>1</v>
      </c>
      <c r="E10" s="21" t="s">
        <v>184</v>
      </c>
      <c r="F10" s="20">
        <v>1</v>
      </c>
      <c r="G10" s="21" t="s">
        <v>185</v>
      </c>
      <c r="H10" s="20">
        <v>17</v>
      </c>
      <c r="I10" s="21"/>
      <c r="J10" s="20"/>
      <c r="K10" s="21"/>
      <c r="L10" s="20"/>
      <c r="M10" s="21"/>
      <c r="N10" s="20"/>
      <c r="O10" s="21"/>
      <c r="P10" s="20"/>
      <c r="Q10" s="22" t="str">
        <f t="shared" si="7"/>
        <v>Min</v>
      </c>
      <c r="R10" s="22" t="str">
        <f t="shared" si="8"/>
        <v>Max</v>
      </c>
      <c r="S10" s="22" t="str">
        <f t="shared" si="9"/>
        <v/>
      </c>
      <c r="T10" s="22" t="str">
        <f t="shared" si="10"/>
        <v/>
      </c>
      <c r="U10" s="22" t="str">
        <f t="shared" si="11"/>
        <v/>
      </c>
      <c r="V10" s="22" t="str">
        <f t="shared" si="12"/>
        <v/>
      </c>
    </row>
    <row r="11" spans="1:22" x14ac:dyDescent="0.4">
      <c r="A11" s="2">
        <v>5</v>
      </c>
      <c r="B11" s="2" t="s">
        <v>189</v>
      </c>
      <c r="C11" s="19" t="s">
        <v>187</v>
      </c>
      <c r="D11" s="15">
        <f t="shared" ca="1" si="13"/>
        <v>1</v>
      </c>
      <c r="E11" s="21" t="s">
        <v>190</v>
      </c>
      <c r="F11" s="20">
        <v>1</v>
      </c>
      <c r="G11" s="21"/>
      <c r="H11" s="20"/>
      <c r="I11" s="21"/>
      <c r="J11" s="20"/>
      <c r="K11" s="21"/>
      <c r="L11" s="20"/>
      <c r="M11" s="21"/>
      <c r="N11" s="20"/>
      <c r="O11" s="21"/>
      <c r="P11" s="20"/>
      <c r="Q11" s="22" t="str">
        <f t="shared" si="7"/>
        <v>Typic</v>
      </c>
      <c r="R11" s="22" t="str">
        <f t="shared" si="8"/>
        <v/>
      </c>
      <c r="S11" s="22" t="str">
        <f t="shared" si="9"/>
        <v/>
      </c>
      <c r="T11" s="22" t="str">
        <f t="shared" si="10"/>
        <v/>
      </c>
      <c r="U11" s="22" t="str">
        <f t="shared" si="11"/>
        <v/>
      </c>
      <c r="V11" s="22" t="str">
        <f t="shared" si="12"/>
        <v/>
      </c>
    </row>
    <row r="12" spans="1:22" x14ac:dyDescent="0.4">
      <c r="A12" s="2">
        <v>6</v>
      </c>
      <c r="B12" s="2" t="s">
        <v>193</v>
      </c>
      <c r="C12" s="19" t="s">
        <v>187</v>
      </c>
      <c r="D12" s="15">
        <f t="shared" ca="1" si="13"/>
        <v>1</v>
      </c>
      <c r="E12" s="21" t="s">
        <v>190</v>
      </c>
      <c r="F12" s="20">
        <v>1</v>
      </c>
      <c r="G12" s="21"/>
      <c r="H12" s="20"/>
      <c r="I12" s="21"/>
      <c r="J12" s="20"/>
      <c r="K12" s="21"/>
      <c r="L12" s="20"/>
      <c r="M12" s="21"/>
      <c r="N12" s="20"/>
      <c r="O12" s="21"/>
      <c r="P12" s="20"/>
      <c r="Q12" s="22" t="str">
        <f t="shared" si="7"/>
        <v>Typic</v>
      </c>
      <c r="R12" s="22" t="str">
        <f t="shared" si="8"/>
        <v/>
      </c>
      <c r="S12" s="22" t="str">
        <f t="shared" si="9"/>
        <v/>
      </c>
      <c r="T12" s="22" t="str">
        <f t="shared" si="10"/>
        <v/>
      </c>
      <c r="U12" s="22" t="str">
        <f t="shared" si="11"/>
        <v/>
      </c>
      <c r="V12" s="22" t="str">
        <f t="shared" si="12"/>
        <v/>
      </c>
    </row>
    <row r="13" spans="1:22" x14ac:dyDescent="0.4">
      <c r="A13" s="2"/>
      <c r="B13" s="2"/>
      <c r="C13" s="19" t="s">
        <v>102</v>
      </c>
      <c r="D13" s="15" t="e">
        <f t="shared" ca="1" si="13"/>
        <v>#N/A</v>
      </c>
      <c r="E13" s="21"/>
      <c r="F13" s="20"/>
      <c r="G13" s="21"/>
      <c r="H13" s="20"/>
      <c r="I13" s="21"/>
      <c r="J13" s="20"/>
      <c r="K13" s="21"/>
      <c r="L13" s="20"/>
      <c r="M13" s="21"/>
      <c r="N13" s="20"/>
      <c r="O13" s="21"/>
      <c r="P13" s="20"/>
      <c r="Q13" s="22" t="str">
        <f t="shared" si="7"/>
        <v/>
      </c>
      <c r="R13" s="22" t="str">
        <f t="shared" si="8"/>
        <v/>
      </c>
      <c r="S13" s="22" t="str">
        <f t="shared" si="9"/>
        <v/>
      </c>
      <c r="T13" s="22" t="str">
        <f t="shared" si="10"/>
        <v/>
      </c>
      <c r="U13" s="22" t="str">
        <f t="shared" si="11"/>
        <v/>
      </c>
      <c r="V13" s="22" t="str">
        <f t="shared" si="12"/>
        <v/>
      </c>
    </row>
    <row r="14" spans="1:22" x14ac:dyDescent="0.4">
      <c r="A14" s="2">
        <v>7</v>
      </c>
      <c r="B14" s="2" t="s">
        <v>195</v>
      </c>
      <c r="C14" s="19" t="s">
        <v>187</v>
      </c>
      <c r="D14" s="15">
        <f t="shared" ref="D14" ca="1" si="14">OFFSET(D14,,MATCH(C14,E14:O14,0)+1)</f>
        <v>5</v>
      </c>
      <c r="E14" s="21" t="s">
        <v>188</v>
      </c>
      <c r="F14" s="20">
        <f>CEILING(3.25/0.7,1)</f>
        <v>5</v>
      </c>
      <c r="G14" s="21" t="s">
        <v>185</v>
      </c>
      <c r="H14" s="20">
        <v>17</v>
      </c>
      <c r="I14" s="21"/>
      <c r="J14" s="20"/>
      <c r="K14" s="21"/>
      <c r="L14" s="20"/>
      <c r="M14" s="21"/>
      <c r="N14" s="20"/>
      <c r="O14" s="21"/>
      <c r="P14" s="20"/>
      <c r="Q14" s="22" t="str">
        <f t="shared" ref="Q14" si="15">IF(E14="","",E14)</f>
        <v>Typic</v>
      </c>
      <c r="R14" s="22" t="str">
        <f t="shared" ref="R14" si="16">IF(G14="","",G14)</f>
        <v>Max</v>
      </c>
      <c r="S14" s="22" t="str">
        <f t="shared" ref="S14" si="17">IF(I14="","",I14)</f>
        <v/>
      </c>
      <c r="T14" s="22" t="str">
        <f t="shared" ref="T14" si="18">IF(K14="","",K14)</f>
        <v/>
      </c>
      <c r="U14" s="22" t="str">
        <f t="shared" ref="U14" si="19">IF(M14="","",M14)</f>
        <v/>
      </c>
      <c r="V14" s="22" t="str">
        <f t="shared" ref="V14" si="20">IF(O14="","",O14)</f>
        <v/>
      </c>
    </row>
    <row r="15" spans="1:22" x14ac:dyDescent="0.4">
      <c r="A15" s="2"/>
      <c r="B15" s="2"/>
      <c r="C15" s="19" t="s">
        <v>187</v>
      </c>
      <c r="D15" s="15">
        <f t="shared" ref="D15" ca="1" si="21">OFFSET(D15,,MATCH(C15,E15:O15,0)+1)</f>
        <v>5</v>
      </c>
      <c r="E15" s="21" t="s">
        <v>188</v>
      </c>
      <c r="F15" s="20">
        <f>CEILING(3.25/0.7,1)</f>
        <v>5</v>
      </c>
      <c r="G15" s="21" t="s">
        <v>185</v>
      </c>
      <c r="H15" s="20">
        <v>17</v>
      </c>
      <c r="I15" s="21"/>
      <c r="J15" s="20"/>
      <c r="K15" s="21"/>
      <c r="L15" s="20"/>
      <c r="M15" s="21"/>
      <c r="N15" s="20"/>
      <c r="O15" s="21"/>
      <c r="P15" s="20"/>
      <c r="Q15" s="22" t="str">
        <f t="shared" ref="Q15" si="22">IF(E15="","",E15)</f>
        <v>Typic</v>
      </c>
      <c r="R15" s="22" t="str">
        <f t="shared" ref="R15" si="23">IF(G15="","",G15)</f>
        <v>Max</v>
      </c>
      <c r="S15" s="22" t="str">
        <f t="shared" ref="S15" si="24">IF(I15="","",I15)</f>
        <v/>
      </c>
      <c r="T15" s="22" t="str">
        <f t="shared" ref="T15" si="25">IF(K15="","",K15)</f>
        <v/>
      </c>
      <c r="U15" s="22" t="str">
        <f t="shared" ref="U15" si="26">IF(M15="","",M15)</f>
        <v/>
      </c>
      <c r="V15" s="22" t="str">
        <f t="shared" ref="V15" si="27">IF(O15="","",O15)</f>
        <v/>
      </c>
    </row>
    <row r="16" spans="1:22" x14ac:dyDescent="0.4">
      <c r="A16" s="2">
        <v>8</v>
      </c>
      <c r="B16" s="2" t="s">
        <v>195</v>
      </c>
      <c r="C16" s="19" t="s">
        <v>187</v>
      </c>
      <c r="D16" s="15">
        <f t="shared" ref="D16" ca="1" si="28">OFFSET(D16,,MATCH(C16,E16:O16,0)+1)</f>
        <v>5</v>
      </c>
      <c r="E16" s="21" t="s">
        <v>188</v>
      </c>
      <c r="F16" s="20">
        <f>CEILING(3.25/0.7,1)</f>
        <v>5</v>
      </c>
      <c r="G16" s="21" t="s">
        <v>185</v>
      </c>
      <c r="H16" s="20">
        <v>17</v>
      </c>
      <c r="I16" s="21"/>
      <c r="J16" s="20"/>
      <c r="K16" s="21"/>
      <c r="L16" s="20"/>
      <c r="M16" s="21"/>
      <c r="N16" s="20"/>
      <c r="O16" s="21"/>
      <c r="P16" s="20"/>
      <c r="Q16" s="22" t="str">
        <f t="shared" ref="Q16" si="29">IF(E16="","",E16)</f>
        <v>Typic</v>
      </c>
      <c r="R16" s="22" t="str">
        <f t="shared" ref="R16" si="30">IF(G16="","",G16)</f>
        <v>Max</v>
      </c>
      <c r="S16" s="22" t="str">
        <f t="shared" ref="S16" si="31">IF(I16="","",I16)</f>
        <v/>
      </c>
      <c r="T16" s="22" t="str">
        <f t="shared" ref="T16" si="32">IF(K16="","",K16)</f>
        <v/>
      </c>
      <c r="U16" s="22" t="str">
        <f t="shared" ref="U16" si="33">IF(M16="","",M16)</f>
        <v/>
      </c>
      <c r="V16" s="22" t="str">
        <f t="shared" ref="V16" si="34">IF(O16="","",O16)</f>
        <v/>
      </c>
    </row>
    <row r="17" spans="1:22" x14ac:dyDescent="0.4">
      <c r="A17" s="2"/>
      <c r="B17" s="2"/>
      <c r="C17" s="19" t="s">
        <v>102</v>
      </c>
      <c r="D17" s="15" t="e">
        <f t="shared" ca="1" si="13"/>
        <v>#N/A</v>
      </c>
      <c r="E17" s="21"/>
      <c r="F17" s="20"/>
      <c r="G17" s="21"/>
      <c r="H17" s="20"/>
      <c r="I17" s="21"/>
      <c r="J17" s="20"/>
      <c r="K17" s="21"/>
      <c r="L17" s="20"/>
      <c r="M17" s="21"/>
      <c r="N17" s="20"/>
      <c r="O17" s="21"/>
      <c r="P17" s="20"/>
      <c r="Q17" s="22" t="str">
        <f t="shared" si="7"/>
        <v/>
      </c>
      <c r="R17" s="22" t="str">
        <f t="shared" si="8"/>
        <v/>
      </c>
      <c r="S17" s="22" t="str">
        <f t="shared" si="9"/>
        <v/>
      </c>
      <c r="T17" s="22" t="str">
        <f t="shared" si="10"/>
        <v/>
      </c>
      <c r="U17" s="22" t="str">
        <f t="shared" si="11"/>
        <v/>
      </c>
      <c r="V17" s="22" t="str">
        <f t="shared" si="12"/>
        <v/>
      </c>
    </row>
    <row r="18" spans="1:22" x14ac:dyDescent="0.4">
      <c r="A18" s="75" t="s">
        <v>114</v>
      </c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7"/>
    </row>
    <row r="22" spans="1:22" x14ac:dyDescent="0.4">
      <c r="A22" s="53" t="s">
        <v>98</v>
      </c>
      <c r="B22" s="68" t="s">
        <v>111</v>
      </c>
      <c r="C22" s="68" t="s">
        <v>112</v>
      </c>
      <c r="D22" s="68" t="s">
        <v>101</v>
      </c>
      <c r="E22" s="69" t="s">
        <v>99</v>
      </c>
      <c r="F22" s="70"/>
      <c r="G22" s="71"/>
    </row>
    <row r="23" spans="1:22" x14ac:dyDescent="0.4">
      <c r="A23" s="53"/>
      <c r="B23" s="68"/>
      <c r="C23" s="68"/>
      <c r="D23" s="68"/>
      <c r="E23" s="18" t="s">
        <v>4</v>
      </c>
      <c r="F23" s="18" t="s">
        <v>113</v>
      </c>
      <c r="G23" s="18" t="s">
        <v>101</v>
      </c>
    </row>
    <row r="24" spans="1:22" x14ac:dyDescent="0.4">
      <c r="A24" s="2"/>
      <c r="B24" s="2"/>
      <c r="C24" s="15">
        <f t="array" aca="1" ref="C24" ca="1">MAX(OFFSET(INDIRECT("R[1]C[1]",),,,MATCH(TRUE,ISBLANK(OFFSET(INDIRECT("R[1]C[2]",),,,1000)),0)))</f>
        <v>6</v>
      </c>
      <c r="D24" s="23"/>
      <c r="E24" s="23"/>
      <c r="F24" s="23"/>
      <c r="G24" s="23"/>
    </row>
    <row r="25" spans="1:22" x14ac:dyDescent="0.4">
      <c r="A25" s="23"/>
      <c r="B25" s="23"/>
      <c r="C25" s="2" t="s">
        <v>194</v>
      </c>
      <c r="D25" s="15">
        <f t="array" aca="1" ref="D25" ca="1">SUM(OFFSET(INDIRECT("R[1]C[3]",),,,MATCH(TRUE,ISBLANK(OFFSET(INDIRECT("R[1]C[3]",),,,1000)),0)))</f>
        <v>6</v>
      </c>
      <c r="E25" s="18" t="s">
        <v>115</v>
      </c>
      <c r="F25" s="15">
        <f ca="1">C24-D25</f>
        <v>0</v>
      </c>
      <c r="G25" s="23"/>
    </row>
    <row r="26" spans="1:22" x14ac:dyDescent="0.4">
      <c r="A26" s="23"/>
      <c r="B26" s="23"/>
      <c r="C26" s="23"/>
      <c r="D26" s="23"/>
      <c r="E26" s="15" t="str">
        <f t="shared" ref="E26:E31" ca="1" si="35">IF(F26="","",OFFSET($A$6,MATCH(F26,$A$7:$A$18,0),1))</f>
        <v>Partition Input FF</v>
      </c>
      <c r="F26" s="2">
        <v>1</v>
      </c>
      <c r="G26" s="15">
        <f t="shared" ref="G26:G31" ca="1" si="36">IF(F26="","",OFFSET($A$6,MATCH(F26,$A$7:$A$18,0),3))</f>
        <v>1</v>
      </c>
    </row>
    <row r="27" spans="1:22" x14ac:dyDescent="0.4">
      <c r="A27" s="23"/>
      <c r="B27" s="23"/>
      <c r="C27" s="23"/>
      <c r="D27" s="23"/>
      <c r="E27" s="15" t="str">
        <f t="shared" ca="1" si="35"/>
        <v>CTQ Request</v>
      </c>
      <c r="F27" s="2">
        <v>5</v>
      </c>
      <c r="G27" s="15">
        <f t="shared" ca="1" si="36"/>
        <v>1</v>
      </c>
    </row>
    <row r="28" spans="1:22" x14ac:dyDescent="0.4">
      <c r="A28" s="23"/>
      <c r="B28" s="23"/>
      <c r="C28" s="23"/>
      <c r="D28" s="23"/>
      <c r="E28" s="15" t="str">
        <f t="shared" ca="1" si="35"/>
        <v>CTA</v>
      </c>
      <c r="F28" s="2">
        <v>4</v>
      </c>
      <c r="G28" s="15">
        <f t="shared" ca="1" si="36"/>
        <v>1</v>
      </c>
    </row>
    <row r="29" spans="1:22" x14ac:dyDescent="0.4">
      <c r="A29" s="23"/>
      <c r="B29" s="23"/>
      <c r="C29" s="23"/>
      <c r="D29" s="23"/>
      <c r="E29" s="15" t="str">
        <f t="shared" ca="1" si="35"/>
        <v>CTQ Dequeue</v>
      </c>
      <c r="F29" s="2">
        <v>6</v>
      </c>
      <c r="G29" s="15">
        <f t="shared" ca="1" si="36"/>
        <v>1</v>
      </c>
    </row>
    <row r="30" spans="1:22" x14ac:dyDescent="0.4">
      <c r="A30" s="23"/>
      <c r="B30" s="23"/>
      <c r="C30" s="23"/>
      <c r="D30" s="23"/>
      <c r="E30" s="15" t="str">
        <f t="shared" ca="1" si="35"/>
        <v>CT Fly Through</v>
      </c>
      <c r="F30" s="2">
        <v>3</v>
      </c>
      <c r="G30" s="15">
        <f t="shared" ca="1" si="36"/>
        <v>1</v>
      </c>
      <c r="K30" s="51"/>
    </row>
    <row r="31" spans="1:22" x14ac:dyDescent="0.4">
      <c r="A31" s="23"/>
      <c r="B31" s="23"/>
      <c r="C31" s="23"/>
      <c r="D31" s="23"/>
      <c r="E31" s="15" t="str">
        <f t="shared" ca="1" si="35"/>
        <v>Partition Output FF</v>
      </c>
      <c r="F31" s="2">
        <v>2</v>
      </c>
      <c r="G31" s="15">
        <f t="shared" ca="1" si="36"/>
        <v>1</v>
      </c>
    </row>
    <row r="32" spans="1:22" x14ac:dyDescent="0.4">
      <c r="A32" s="23"/>
      <c r="B32" s="23"/>
      <c r="C32" s="2"/>
      <c r="D32" s="15">
        <f t="array" aca="1" ref="D32" ca="1">SUM(OFFSET(INDIRECT("R[1]C[3]",),,,MATCH(TRUE,ISBLANK(OFFSET(INDIRECT("R[1]C[3]",),,,1000)),0)))</f>
        <v>3</v>
      </c>
      <c r="E32" s="18" t="s">
        <v>115</v>
      </c>
      <c r="F32" s="15">
        <f ca="1">C24-D32</f>
        <v>3</v>
      </c>
      <c r="G32" s="23"/>
    </row>
    <row r="33" spans="1:7" x14ac:dyDescent="0.4">
      <c r="A33" s="23"/>
      <c r="B33" s="23"/>
      <c r="C33" s="23"/>
      <c r="D33" s="23"/>
      <c r="E33" s="15" t="str">
        <f ca="1">IF(F33="","",OFFSET($A$6,MATCH(F33,$A$7:$A$18,0),1))</f>
        <v>Partition Input FF</v>
      </c>
      <c r="F33" s="2">
        <v>1</v>
      </c>
      <c r="G33" s="15">
        <f ca="1">IF(F33="","",OFFSET($A$6,MATCH(F33,$A$7:$A$18,0),3))</f>
        <v>1</v>
      </c>
    </row>
    <row r="34" spans="1:7" x14ac:dyDescent="0.4">
      <c r="A34" s="23"/>
      <c r="B34" s="23"/>
      <c r="C34" s="23"/>
      <c r="D34" s="23"/>
      <c r="E34" s="15" t="str">
        <f ca="1">IF(F34="","",OFFSET($A$6,MATCH(F34,$A$7:$A$18,0),1))</f>
        <v>Partition Input FF</v>
      </c>
      <c r="F34" s="2">
        <v>1</v>
      </c>
      <c r="G34" s="15">
        <f ca="1">IF(F34="","",OFFSET($A$6,MATCH(F34,$A$7:$A$18,0),3))</f>
        <v>1</v>
      </c>
    </row>
    <row r="35" spans="1:7" x14ac:dyDescent="0.4">
      <c r="A35" s="23"/>
      <c r="B35" s="23"/>
      <c r="C35" s="23"/>
      <c r="D35" s="23"/>
      <c r="E35" s="15" t="str">
        <f ca="1">IF(F35="","",OFFSET($A$6,MATCH(F35,$A$7:$A$18,0),1))</f>
        <v>Partition Input FF</v>
      </c>
      <c r="F35" s="2">
        <v>1</v>
      </c>
      <c r="G35" s="15">
        <f ca="1">IF(F35="","",OFFSET($A$6,MATCH(F35,$A$7:$A$18,0),3))</f>
        <v>1</v>
      </c>
    </row>
    <row r="36" spans="1:7" x14ac:dyDescent="0.4">
      <c r="A36" s="25" t="s">
        <v>114</v>
      </c>
      <c r="B36" s="26"/>
      <c r="C36" s="15">
        <f ca="1">SUM(OFFSET(C22,,,(ROW(END_TREE)-ROW(START_TREE))))</f>
        <v>6</v>
      </c>
      <c r="D36" s="26"/>
      <c r="E36" s="26"/>
      <c r="F36" s="26"/>
      <c r="G36" s="27"/>
    </row>
    <row r="40" spans="1:7" x14ac:dyDescent="0.4">
      <c r="A40" s="53" t="s">
        <v>113</v>
      </c>
      <c r="B40" s="69" t="s">
        <v>111</v>
      </c>
      <c r="C40" s="70"/>
      <c r="D40" s="71"/>
      <c r="E40" s="48" t="s">
        <v>101</v>
      </c>
      <c r="F40" s="49"/>
      <c r="G40" s="50"/>
    </row>
    <row r="41" spans="1:7" x14ac:dyDescent="0.4">
      <c r="A41" s="53"/>
      <c r="B41" s="47" t="s">
        <v>202</v>
      </c>
      <c r="C41" s="47" t="s">
        <v>203</v>
      </c>
      <c r="D41" s="47" t="s">
        <v>204</v>
      </c>
      <c r="E41" s="45" t="s">
        <v>4</v>
      </c>
      <c r="F41" s="45" t="s">
        <v>113</v>
      </c>
      <c r="G41" s="45" t="s">
        <v>101</v>
      </c>
    </row>
    <row r="42" spans="1:7" x14ac:dyDescent="0.4">
      <c r="A42" s="19"/>
      <c r="B42" s="19"/>
      <c r="C42" s="19"/>
      <c r="D42" s="19"/>
      <c r="E42" s="19">
        <v>33</v>
      </c>
      <c r="F42" s="19" t="s">
        <v>206</v>
      </c>
      <c r="G42" s="15">
        <f t="array" aca="1" ref="G42" ca="1">IF(F42="SUM",SUM(OFFSET(INDIRECT("R[0]C[0]",),1,0,MATCH(TRUE,_xlfn.ISFORMULA(OFFSET(INDIRECT("R[0]C[0]",),1,0,1000,1)),0)-1,1)),VLOOKUP(E42,OFFSET(INDIRECT("R[0]C[0]",),1,-2,MATCH(TRUE,_xlfn.ISFORMULA(OFFSET(INDIRECT("R[0]C[0]",),1,0,1000,1)),0)-1,3),3))</f>
        <v>1</v>
      </c>
    </row>
    <row r="43" spans="1:7" x14ac:dyDescent="0.4">
      <c r="A43" s="23"/>
      <c r="B43" s="2">
        <v>11</v>
      </c>
      <c r="C43" s="2">
        <v>11</v>
      </c>
      <c r="D43" s="15">
        <v>11</v>
      </c>
      <c r="E43" s="15">
        <v>11</v>
      </c>
      <c r="F43" s="2"/>
      <c r="G43" s="15">
        <v>1</v>
      </c>
    </row>
    <row r="44" spans="1:7" x14ac:dyDescent="0.4">
      <c r="A44" s="23"/>
      <c r="B44" s="2">
        <v>11</v>
      </c>
      <c r="C44" s="2">
        <v>11</v>
      </c>
      <c r="D44" s="15">
        <v>11</v>
      </c>
      <c r="E44" s="15">
        <v>22</v>
      </c>
      <c r="F44" s="2"/>
      <c r="G44" s="15">
        <v>1</v>
      </c>
    </row>
    <row r="45" spans="1:7" x14ac:dyDescent="0.4">
      <c r="A45" s="23"/>
      <c r="B45" s="2">
        <v>11</v>
      </c>
      <c r="C45" s="2">
        <v>11</v>
      </c>
      <c r="D45" s="15">
        <v>11</v>
      </c>
      <c r="E45" s="15">
        <v>33</v>
      </c>
      <c r="F45" s="2"/>
      <c r="G45" s="15">
        <v>1</v>
      </c>
    </row>
    <row r="46" spans="1:7" x14ac:dyDescent="0.4">
      <c r="A46" s="2"/>
      <c r="B46" s="2"/>
      <c r="C46" s="2"/>
      <c r="D46" s="2"/>
      <c r="E46" s="19">
        <v>33</v>
      </c>
      <c r="F46" s="19" t="s">
        <v>205</v>
      </c>
      <c r="G46" s="15">
        <f t="array" aca="1" ref="G46" ca="1">IF(F46="SUM",SUM(OFFSET(INDIRECT("R[0]C[0]",),1,0,MATCH(TRUE,_xlfn.ISFORMULA(OFFSET(INDIRECT("R[0]C[0]",),1,0,1000,1)),0)-1,1)),VLOOKUP(E46,OFFSET(INDIRECT("R[0]C[0]",),1,-2,MATCH(TRUE,_xlfn.ISFORMULA(OFFSET(INDIRECT("R[0]C[0]",),1,0,1000,1)),0)-1,3),3))</f>
        <v>7</v>
      </c>
    </row>
    <row r="47" spans="1:7" x14ac:dyDescent="0.4">
      <c r="A47" s="23"/>
      <c r="B47" s="23"/>
      <c r="C47" s="23"/>
      <c r="D47" s="23"/>
      <c r="E47" s="2"/>
      <c r="F47" s="2"/>
      <c r="G47" s="2">
        <v>2</v>
      </c>
    </row>
    <row r="48" spans="1:7" x14ac:dyDescent="0.4">
      <c r="A48" s="23"/>
      <c r="B48" s="23"/>
      <c r="C48" s="23"/>
      <c r="D48" s="23"/>
      <c r="E48" s="2"/>
      <c r="F48" s="2"/>
      <c r="G48" s="2">
        <v>2</v>
      </c>
    </row>
    <row r="49" spans="1:7" x14ac:dyDescent="0.4">
      <c r="A49" s="23"/>
      <c r="B49" s="23"/>
      <c r="C49" s="23"/>
      <c r="D49" s="23"/>
      <c r="E49" s="2"/>
      <c r="F49" s="2"/>
      <c r="G49" s="2">
        <v>3</v>
      </c>
    </row>
    <row r="50" spans="1:7" x14ac:dyDescent="0.4">
      <c r="A50" s="25" t="s">
        <v>114</v>
      </c>
      <c r="B50" s="26"/>
      <c r="C50" s="26"/>
      <c r="D50" s="26"/>
      <c r="E50" s="26"/>
      <c r="F50" s="26"/>
      <c r="G50" s="52">
        <f>1+2</f>
        <v>3</v>
      </c>
    </row>
  </sheetData>
  <mergeCells count="19">
    <mergeCell ref="C22:C23"/>
    <mergeCell ref="B22:B23"/>
    <mergeCell ref="A22:A23"/>
    <mergeCell ref="A40:A41"/>
    <mergeCell ref="B40:D40"/>
    <mergeCell ref="Q5:V6"/>
    <mergeCell ref="A5:A6"/>
    <mergeCell ref="I5:J5"/>
    <mergeCell ref="K5:L5"/>
    <mergeCell ref="M5:N5"/>
    <mergeCell ref="O5:P5"/>
    <mergeCell ref="E5:F5"/>
    <mergeCell ref="B5:B6"/>
    <mergeCell ref="C5:C6"/>
    <mergeCell ref="D5:D6"/>
    <mergeCell ref="G5:H5"/>
    <mergeCell ref="A18:V18"/>
    <mergeCell ref="E22:G22"/>
    <mergeCell ref="D22:D23"/>
  </mergeCells>
  <phoneticPr fontId="1" type="noConversion"/>
  <dataValidations count="8">
    <dataValidation type="textLength" showInputMessage="1" showErrorMessage="1" sqref="F24:G35 A24:C35 D24:E24 C36 D33:E35 D26:E31 A7:B17 G42:G46 K30 E47:G49 E43:F45 A42:D49" xr:uid="{B44F5B48-FF57-40D9-800C-8697E5288A93}">
      <formula1>0</formula1>
      <formula2>64</formula2>
    </dataValidation>
    <dataValidation showInputMessage="1" showErrorMessage="1" sqref="D25 D32" xr:uid="{5EFD16F8-FF26-432E-90FA-14F38CB79A6C}"/>
    <dataValidation type="textLength" showInputMessage="1" showErrorMessage="1" sqref="N7:N17 L7:L17 J7:J17 H7:H17 F7:F17 P7:P17" xr:uid="{8F4548E7-580D-48B2-9012-B27730A6D3C3}">
      <formula1>0</formula1>
      <formula2>32</formula2>
    </dataValidation>
    <dataValidation type="textLength" operator="lessThan" allowBlank="1" showInputMessage="1" showErrorMessage="1" sqref="M7:M17 K7:K17 I7:I17 G7:G17 E7:E17 O7:O17" xr:uid="{31814F57-1A36-4DF1-9B01-5347ED0E845E}">
      <formula1>32</formula1>
    </dataValidation>
    <dataValidation type="custom" allowBlank="1" showInputMessage="1" showErrorMessage="1" sqref="Q7:V17 A50:G50" xr:uid="{ECB10D6A-6DC5-4F02-A8E1-BE5164CF8B27}">
      <formula1>" "</formula1>
    </dataValidation>
    <dataValidation type="list" allowBlank="1" showInputMessage="1" showErrorMessage="1" sqref="C7:C17" xr:uid="{19567AF1-D3FF-4308-92B5-1A9ABD20ACD0}">
      <formula1>OFFSET(Q7,,,,6-COUNTIFS(Q7:V7,""))</formula1>
    </dataValidation>
    <dataValidation type="list" allowBlank="1" showInputMessage="1" showErrorMessage="1" sqref="E42 E46" xr:uid="{7A70F83B-BB34-4F4E-B86E-68EB98164BE0}">
      <formula1>OFFSET(INDIRECT("R[0]C[0]",),1,0,MATCH(TRUE,_xlfn.ISFORMULA(OFFSET(INDIRECT("R[0]C[0]",),1,2,1000,1)),0)-1,1)</formula1>
    </dataValidation>
    <dataValidation type="list" showInputMessage="1" showErrorMessage="1" sqref="F42 F46" xr:uid="{8B03EA7B-C2CB-4BC7-9F41-93CA5206A6F5}">
      <formula1>"SUM,SELECT"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A556E-409C-4F7E-B340-8C16EBD9B3B2}">
  <sheetPr codeName="Sheet8">
    <tabColor rgb="FFFF0000"/>
  </sheetPr>
  <dimension ref="A2:H1547"/>
  <sheetViews>
    <sheetView tabSelected="1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J4" sqref="J4"/>
    </sheetView>
  </sheetViews>
  <sheetFormatPr defaultRowHeight="13.9" x14ac:dyDescent="0.4"/>
  <cols>
    <col min="1" max="1" width="9.1328125" customWidth="1"/>
    <col min="7" max="7" width="13.796875" bestFit="1" customWidth="1"/>
    <col min="12" max="12" width="13.796875" bestFit="1" customWidth="1"/>
  </cols>
  <sheetData>
    <row r="2" spans="1:8" x14ac:dyDescent="0.4">
      <c r="A2" s="29" t="s">
        <v>119</v>
      </c>
      <c r="B2" s="2">
        <v>20</v>
      </c>
      <c r="D2" s="19" t="s">
        <v>124</v>
      </c>
      <c r="E2" s="2">
        <v>-4</v>
      </c>
      <c r="G2" s="29" t="s">
        <v>127</v>
      </c>
      <c r="H2" s="2">
        <v>256</v>
      </c>
    </row>
    <row r="3" spans="1:8" x14ac:dyDescent="0.4">
      <c r="A3" s="29" t="s">
        <v>122</v>
      </c>
      <c r="B3" s="2">
        <v>1</v>
      </c>
      <c r="D3" s="19" t="s">
        <v>125</v>
      </c>
      <c r="E3" s="2">
        <v>26</v>
      </c>
      <c r="G3" s="29" t="s">
        <v>207</v>
      </c>
      <c r="H3" s="2">
        <v>256</v>
      </c>
    </row>
    <row r="4" spans="1:8" x14ac:dyDescent="0.4">
      <c r="A4" s="29" t="s">
        <v>120</v>
      </c>
      <c r="B4" s="2">
        <v>1600</v>
      </c>
      <c r="D4" s="19"/>
      <c r="E4" s="2"/>
    </row>
    <row r="5" spans="1:8" x14ac:dyDescent="0.4">
      <c r="A5" s="29" t="s">
        <v>128</v>
      </c>
      <c r="B5" s="2">
        <v>1.35</v>
      </c>
      <c r="D5" s="19"/>
      <c r="E5" s="2"/>
    </row>
    <row r="6" spans="1:8" x14ac:dyDescent="0.4">
      <c r="D6" s="29" t="s">
        <v>123</v>
      </c>
      <c r="E6" s="28">
        <f>SUM(E2:E5)</f>
        <v>22</v>
      </c>
    </row>
    <row r="8" spans="1:8" ht="51" x14ac:dyDescent="0.4">
      <c r="A8" s="24" t="s">
        <v>118</v>
      </c>
      <c r="B8" s="24" t="s">
        <v>121</v>
      </c>
      <c r="C8" s="24" t="s">
        <v>126</v>
      </c>
      <c r="D8" s="46" t="s">
        <v>208</v>
      </c>
      <c r="E8" s="46" t="s">
        <v>209</v>
      </c>
      <c r="F8" s="24" t="s">
        <v>129</v>
      </c>
    </row>
    <row r="9" spans="1:8" x14ac:dyDescent="0.4">
      <c r="A9" s="21"/>
      <c r="B9" s="21"/>
      <c r="C9" s="21"/>
      <c r="D9" s="21"/>
      <c r="E9" s="21"/>
      <c r="F9" s="21">
        <f>MIN(F11:F1547)</f>
        <v>1.0631250000000001</v>
      </c>
    </row>
    <row r="10" spans="1:8" x14ac:dyDescent="0.4">
      <c r="A10" s="21"/>
      <c r="B10" s="21"/>
      <c r="C10" s="21"/>
      <c r="D10" s="21"/>
      <c r="E10" s="21"/>
      <c r="F10" s="21">
        <f ca="1">OFFSET($A$10,MATCH(F9,F11:F1547,0),)</f>
        <v>295</v>
      </c>
    </row>
    <row r="11" spans="1:8" x14ac:dyDescent="0.4">
      <c r="A11" s="2">
        <v>295</v>
      </c>
      <c r="B11" s="28">
        <f t="shared" ref="B11:B74" si="0">$B$4/8/(A11+$B$2)</f>
        <v>0.63492063492063489</v>
      </c>
      <c r="C11" s="28">
        <f>A11+$E$6</f>
        <v>317</v>
      </c>
      <c r="D11" s="28">
        <f>CEILING(C11/$H$3,1)*CEILING($H$2/$H$3,1)/CEILING($H$2/$H$3,1)</f>
        <v>2</v>
      </c>
      <c r="E11" s="28">
        <f>CEILING(C11/$H$3,1)*CEILING($H$2/$H$3,1)/CEILING(C11/$H$3,1)</f>
        <v>1</v>
      </c>
      <c r="F11" s="28">
        <f>$B$5/D11/B11*E11</f>
        <v>1.0631250000000001</v>
      </c>
    </row>
    <row r="12" spans="1:8" x14ac:dyDescent="0.4">
      <c r="A12" s="28">
        <f>A11+$B$3</f>
        <v>296</v>
      </c>
      <c r="B12" s="28">
        <f t="shared" si="0"/>
        <v>0.63291139240506333</v>
      </c>
      <c r="C12" s="28">
        <f>A12+$E$6</f>
        <v>318</v>
      </c>
      <c r="D12" s="28">
        <f>CEILING(C12/$H$3,1)*CEILING($H$2/$H$3,1)/CEILING($H$2/$H$3,1)</f>
        <v>2</v>
      </c>
      <c r="E12" s="28">
        <f>CEILING(C12/$H$3,1)*CEILING($H$2/$H$3,1)/CEILING(C12/$H$3,1)</f>
        <v>1</v>
      </c>
      <c r="F12" s="28">
        <f>$B$5/D12/B12*E12</f>
        <v>1.0665</v>
      </c>
    </row>
    <row r="13" spans="1:8" x14ac:dyDescent="0.4">
      <c r="A13" s="28">
        <f t="shared" ref="A13:A76" si="1">A12+$B$3</f>
        <v>297</v>
      </c>
      <c r="B13" s="28">
        <f t="shared" si="0"/>
        <v>0.63091482649842268</v>
      </c>
      <c r="C13" s="28">
        <f>A13+$E$6</f>
        <v>319</v>
      </c>
      <c r="D13" s="28">
        <f>CEILING(C13/$H$3,1)*CEILING($H$2/$H$3,1)/CEILING($H$2/$H$3,1)</f>
        <v>2</v>
      </c>
      <c r="E13" s="28">
        <f>CEILING(C13/$H$3,1)*CEILING($H$2/$H$3,1)/CEILING(C13/$H$3,1)</f>
        <v>1</v>
      </c>
      <c r="F13" s="28">
        <f>$B$5/D13/B13*E13</f>
        <v>1.0698750000000001</v>
      </c>
    </row>
    <row r="14" spans="1:8" x14ac:dyDescent="0.4">
      <c r="A14" s="28">
        <f t="shared" si="1"/>
        <v>298</v>
      </c>
      <c r="B14" s="28">
        <f t="shared" si="0"/>
        <v>0.62893081761006286</v>
      </c>
      <c r="C14" s="28">
        <f>A14+$E$6</f>
        <v>320</v>
      </c>
      <c r="D14" s="28">
        <f>CEILING(C14/$H$3,1)*CEILING($H$2/$H$3,1)/CEILING($H$2/$H$3,1)</f>
        <v>2</v>
      </c>
      <c r="E14" s="28">
        <f>CEILING(C14/$H$3,1)*CEILING($H$2/$H$3,1)/CEILING(C14/$H$3,1)</f>
        <v>1</v>
      </c>
      <c r="F14" s="28">
        <f>$B$5/D14/B14*E14</f>
        <v>1.07325</v>
      </c>
    </row>
    <row r="15" spans="1:8" x14ac:dyDescent="0.4">
      <c r="A15" s="28">
        <f t="shared" si="1"/>
        <v>299</v>
      </c>
      <c r="B15" s="28">
        <f t="shared" si="0"/>
        <v>0.62695924764890287</v>
      </c>
      <c r="C15" s="28">
        <f>A15+$E$6</f>
        <v>321</v>
      </c>
      <c r="D15" s="28">
        <f>CEILING(C15/$H$3,1)*CEILING($H$2/$H$3,1)/CEILING($H$2/$H$3,1)</f>
        <v>2</v>
      </c>
      <c r="E15" s="28">
        <f>CEILING(C15/$H$3,1)*CEILING($H$2/$H$3,1)/CEILING(C15/$H$3,1)</f>
        <v>1</v>
      </c>
      <c r="F15" s="28">
        <f>$B$5/D15/B15*E15</f>
        <v>1.0766249999999999</v>
      </c>
    </row>
    <row r="16" spans="1:8" x14ac:dyDescent="0.4">
      <c r="A16" s="28">
        <f t="shared" si="1"/>
        <v>300</v>
      </c>
      <c r="B16" s="28">
        <f t="shared" si="0"/>
        <v>0.625</v>
      </c>
      <c r="C16" s="28">
        <f>A16+$E$6</f>
        <v>322</v>
      </c>
      <c r="D16" s="28">
        <f>CEILING(C16/$H$3,1)*CEILING($H$2/$H$3,1)/CEILING($H$2/$H$3,1)</f>
        <v>2</v>
      </c>
      <c r="E16" s="28">
        <f>CEILING(C16/$H$3,1)*CEILING($H$2/$H$3,1)/CEILING(C16/$H$3,1)</f>
        <v>1</v>
      </c>
      <c r="F16" s="28">
        <f>$B$5/D16/B16*E16</f>
        <v>1.08</v>
      </c>
    </row>
    <row r="17" spans="1:6" x14ac:dyDescent="0.4">
      <c r="A17" s="28">
        <f t="shared" si="1"/>
        <v>301</v>
      </c>
      <c r="B17" s="28">
        <f t="shared" si="0"/>
        <v>0.62305295950155759</v>
      </c>
      <c r="C17" s="28">
        <f>A17+$E$6</f>
        <v>323</v>
      </c>
      <c r="D17" s="28">
        <f>CEILING(C17/$H$3,1)*CEILING($H$2/$H$3,1)/CEILING($H$2/$H$3,1)</f>
        <v>2</v>
      </c>
      <c r="E17" s="28">
        <f>CEILING(C17/$H$3,1)*CEILING($H$2/$H$3,1)/CEILING(C17/$H$3,1)</f>
        <v>1</v>
      </c>
      <c r="F17" s="28">
        <f>$B$5/D17/B17*E17</f>
        <v>1.0833750000000002</v>
      </c>
    </row>
    <row r="18" spans="1:6" x14ac:dyDescent="0.4">
      <c r="A18" s="28">
        <f t="shared" si="1"/>
        <v>302</v>
      </c>
      <c r="B18" s="28">
        <f t="shared" si="0"/>
        <v>0.6211180124223602</v>
      </c>
      <c r="C18" s="28">
        <f>A18+$E$6</f>
        <v>324</v>
      </c>
      <c r="D18" s="28">
        <f>CEILING(C18/$H$3,1)*CEILING($H$2/$H$3,1)/CEILING($H$2/$H$3,1)</f>
        <v>2</v>
      </c>
      <c r="E18" s="28">
        <f>CEILING(C18/$H$3,1)*CEILING($H$2/$H$3,1)/CEILING(C18/$H$3,1)</f>
        <v>1</v>
      </c>
      <c r="F18" s="28">
        <f>$B$5/D18/B18*E18</f>
        <v>1.0867500000000001</v>
      </c>
    </row>
    <row r="19" spans="1:6" x14ac:dyDescent="0.4">
      <c r="A19" s="28">
        <f t="shared" si="1"/>
        <v>303</v>
      </c>
      <c r="B19" s="28">
        <f t="shared" si="0"/>
        <v>0.61919504643962853</v>
      </c>
      <c r="C19" s="28">
        <f>A19+$E$6</f>
        <v>325</v>
      </c>
      <c r="D19" s="28">
        <f>CEILING(C19/$H$3,1)*CEILING($H$2/$H$3,1)/CEILING($H$2/$H$3,1)</f>
        <v>2</v>
      </c>
      <c r="E19" s="28">
        <f>CEILING(C19/$H$3,1)*CEILING($H$2/$H$3,1)/CEILING(C19/$H$3,1)</f>
        <v>1</v>
      </c>
      <c r="F19" s="28">
        <f>$B$5/D19/B19*E19</f>
        <v>1.090125</v>
      </c>
    </row>
    <row r="20" spans="1:6" x14ac:dyDescent="0.4">
      <c r="A20" s="28">
        <f t="shared" si="1"/>
        <v>304</v>
      </c>
      <c r="B20" s="28">
        <f t="shared" si="0"/>
        <v>0.61728395061728392</v>
      </c>
      <c r="C20" s="28">
        <f>A20+$E$6</f>
        <v>326</v>
      </c>
      <c r="D20" s="28">
        <f>CEILING(C20/$H$3,1)*CEILING($H$2/$H$3,1)/CEILING($H$2/$H$3,1)</f>
        <v>2</v>
      </c>
      <c r="E20" s="28">
        <f>CEILING(C20/$H$3,1)*CEILING($H$2/$H$3,1)/CEILING(C20/$H$3,1)</f>
        <v>1</v>
      </c>
      <c r="F20" s="28">
        <f>$B$5/D20/B20*E20</f>
        <v>1.0935000000000001</v>
      </c>
    </row>
    <row r="21" spans="1:6" x14ac:dyDescent="0.4">
      <c r="A21" s="28">
        <f t="shared" si="1"/>
        <v>305</v>
      </c>
      <c r="B21" s="28">
        <f t="shared" si="0"/>
        <v>0.61538461538461542</v>
      </c>
      <c r="C21" s="28">
        <f>A21+$E$6</f>
        <v>327</v>
      </c>
      <c r="D21" s="28">
        <f>CEILING(C21/$H$3,1)*CEILING($H$2/$H$3,1)/CEILING($H$2/$H$3,1)</f>
        <v>2</v>
      </c>
      <c r="E21" s="28">
        <f>CEILING(C21/$H$3,1)*CEILING($H$2/$H$3,1)/CEILING(C21/$H$3,1)</f>
        <v>1</v>
      </c>
      <c r="F21" s="28">
        <f>$B$5/D21/B21*E21</f>
        <v>1.096875</v>
      </c>
    </row>
    <row r="22" spans="1:6" x14ac:dyDescent="0.4">
      <c r="A22" s="28">
        <f t="shared" si="1"/>
        <v>306</v>
      </c>
      <c r="B22" s="28">
        <f t="shared" si="0"/>
        <v>0.61349693251533743</v>
      </c>
      <c r="C22" s="28">
        <f>A22+$E$6</f>
        <v>328</v>
      </c>
      <c r="D22" s="28">
        <f>CEILING(C22/$H$3,1)*CEILING($H$2/$H$3,1)/CEILING($H$2/$H$3,1)</f>
        <v>2</v>
      </c>
      <c r="E22" s="28">
        <f>CEILING(C22/$H$3,1)*CEILING($H$2/$H$3,1)/CEILING(C22/$H$3,1)</f>
        <v>1</v>
      </c>
      <c r="F22" s="28">
        <f>$B$5/D22/B22*E22</f>
        <v>1.10025</v>
      </c>
    </row>
    <row r="23" spans="1:6" x14ac:dyDescent="0.4">
      <c r="A23" s="28">
        <f t="shared" si="1"/>
        <v>307</v>
      </c>
      <c r="B23" s="28">
        <f t="shared" si="0"/>
        <v>0.6116207951070336</v>
      </c>
      <c r="C23" s="28">
        <f>A23+$E$6</f>
        <v>329</v>
      </c>
      <c r="D23" s="28">
        <f>CEILING(C23/$H$3,1)*CEILING($H$2/$H$3,1)/CEILING($H$2/$H$3,1)</f>
        <v>2</v>
      </c>
      <c r="E23" s="28">
        <f>CEILING(C23/$H$3,1)*CEILING($H$2/$H$3,1)/CEILING(C23/$H$3,1)</f>
        <v>1</v>
      </c>
      <c r="F23" s="28">
        <f>$B$5/D23/B23*E23</f>
        <v>1.1036250000000001</v>
      </c>
    </row>
    <row r="24" spans="1:6" x14ac:dyDescent="0.4">
      <c r="A24" s="28">
        <f t="shared" si="1"/>
        <v>308</v>
      </c>
      <c r="B24" s="28">
        <f t="shared" si="0"/>
        <v>0.6097560975609756</v>
      </c>
      <c r="C24" s="28">
        <f>A24+$E$6</f>
        <v>330</v>
      </c>
      <c r="D24" s="28">
        <f>CEILING(C24/$H$3,1)*CEILING($H$2/$H$3,1)/CEILING($H$2/$H$3,1)</f>
        <v>2</v>
      </c>
      <c r="E24" s="28">
        <f>CEILING(C24/$H$3,1)*CEILING($H$2/$H$3,1)/CEILING(C24/$H$3,1)</f>
        <v>1</v>
      </c>
      <c r="F24" s="28">
        <f>$B$5/D24/B24*E24</f>
        <v>1.1070000000000002</v>
      </c>
    </row>
    <row r="25" spans="1:6" x14ac:dyDescent="0.4">
      <c r="A25" s="28">
        <f t="shared" si="1"/>
        <v>309</v>
      </c>
      <c r="B25" s="28">
        <f t="shared" si="0"/>
        <v>0.60790273556231</v>
      </c>
      <c r="C25" s="28">
        <f>A25+$E$6</f>
        <v>331</v>
      </c>
      <c r="D25" s="28">
        <f>CEILING(C25/$H$3,1)*CEILING($H$2/$H$3,1)/CEILING($H$2/$H$3,1)</f>
        <v>2</v>
      </c>
      <c r="E25" s="28">
        <f>CEILING(C25/$H$3,1)*CEILING($H$2/$H$3,1)/CEILING(C25/$H$3,1)</f>
        <v>1</v>
      </c>
      <c r="F25" s="28">
        <f>$B$5/D25/B25*E25</f>
        <v>1.1103750000000001</v>
      </c>
    </row>
    <row r="26" spans="1:6" x14ac:dyDescent="0.4">
      <c r="A26" s="28">
        <f t="shared" si="1"/>
        <v>310</v>
      </c>
      <c r="B26" s="28">
        <f t="shared" si="0"/>
        <v>0.60606060606060608</v>
      </c>
      <c r="C26" s="28">
        <f>A26+$E$6</f>
        <v>332</v>
      </c>
      <c r="D26" s="28">
        <f>CEILING(C26/$H$3,1)*CEILING($H$2/$H$3,1)/CEILING($H$2/$H$3,1)</f>
        <v>2</v>
      </c>
      <c r="E26" s="28">
        <f>CEILING(C26/$H$3,1)*CEILING($H$2/$H$3,1)/CEILING(C26/$H$3,1)</f>
        <v>1</v>
      </c>
      <c r="F26" s="28">
        <f>$B$5/D26/B26*E26</f>
        <v>1.11375</v>
      </c>
    </row>
    <row r="27" spans="1:6" x14ac:dyDescent="0.4">
      <c r="A27" s="28">
        <f t="shared" si="1"/>
        <v>311</v>
      </c>
      <c r="B27" s="28">
        <f t="shared" si="0"/>
        <v>0.60422960725075525</v>
      </c>
      <c r="C27" s="28">
        <f>A27+$E$6</f>
        <v>333</v>
      </c>
      <c r="D27" s="28">
        <f>CEILING(C27/$H$3,1)*CEILING($H$2/$H$3,1)/CEILING($H$2/$H$3,1)</f>
        <v>2</v>
      </c>
      <c r="E27" s="28">
        <f>CEILING(C27/$H$3,1)*CEILING($H$2/$H$3,1)/CEILING(C27/$H$3,1)</f>
        <v>1</v>
      </c>
      <c r="F27" s="28">
        <f>$B$5/D27/B27*E27</f>
        <v>1.1171250000000001</v>
      </c>
    </row>
    <row r="28" spans="1:6" x14ac:dyDescent="0.4">
      <c r="A28" s="28">
        <f t="shared" si="1"/>
        <v>312</v>
      </c>
      <c r="B28" s="28">
        <f t="shared" si="0"/>
        <v>0.60240963855421692</v>
      </c>
      <c r="C28" s="28">
        <f>A28+$E$6</f>
        <v>334</v>
      </c>
      <c r="D28" s="28">
        <f>CEILING(C28/$H$3,1)*CEILING($H$2/$H$3,1)/CEILING($H$2/$H$3,1)</f>
        <v>2</v>
      </c>
      <c r="E28" s="28">
        <f>CEILING(C28/$H$3,1)*CEILING($H$2/$H$3,1)/CEILING(C28/$H$3,1)</f>
        <v>1</v>
      </c>
      <c r="F28" s="28">
        <f>$B$5/D28/B28*E28</f>
        <v>1.1205000000000001</v>
      </c>
    </row>
    <row r="29" spans="1:6" x14ac:dyDescent="0.4">
      <c r="A29" s="28">
        <f t="shared" si="1"/>
        <v>313</v>
      </c>
      <c r="B29" s="28">
        <f t="shared" si="0"/>
        <v>0.60060060060060061</v>
      </c>
      <c r="C29" s="28">
        <f>A29+$E$6</f>
        <v>335</v>
      </c>
      <c r="D29" s="28">
        <f>CEILING(C29/$H$3,1)*CEILING($H$2/$H$3,1)/CEILING($H$2/$H$3,1)</f>
        <v>2</v>
      </c>
      <c r="E29" s="28">
        <f>CEILING(C29/$H$3,1)*CEILING($H$2/$H$3,1)/CEILING(C29/$H$3,1)</f>
        <v>1</v>
      </c>
      <c r="F29" s="28">
        <f>$B$5/D29/B29*E29</f>
        <v>1.123875</v>
      </c>
    </row>
    <row r="30" spans="1:6" x14ac:dyDescent="0.4">
      <c r="A30" s="28">
        <f t="shared" si="1"/>
        <v>314</v>
      </c>
      <c r="B30" s="28">
        <f t="shared" si="0"/>
        <v>0.59880239520958078</v>
      </c>
      <c r="C30" s="28">
        <f>A30+$E$6</f>
        <v>336</v>
      </c>
      <c r="D30" s="28">
        <f>CEILING(C30/$H$3,1)*CEILING($H$2/$H$3,1)/CEILING($H$2/$H$3,1)</f>
        <v>2</v>
      </c>
      <c r="E30" s="28">
        <f>CEILING(C30/$H$3,1)*CEILING($H$2/$H$3,1)/CEILING(C30/$H$3,1)</f>
        <v>1</v>
      </c>
      <c r="F30" s="28">
        <f>$B$5/D30/B30*E30</f>
        <v>1.1272500000000001</v>
      </c>
    </row>
    <row r="31" spans="1:6" x14ac:dyDescent="0.4">
      <c r="A31" s="28">
        <f t="shared" si="1"/>
        <v>315</v>
      </c>
      <c r="B31" s="28">
        <f t="shared" si="0"/>
        <v>0.59701492537313428</v>
      </c>
      <c r="C31" s="28">
        <f>A31+$E$6</f>
        <v>337</v>
      </c>
      <c r="D31" s="28">
        <f>CEILING(C31/$H$3,1)*CEILING($H$2/$H$3,1)/CEILING($H$2/$H$3,1)</f>
        <v>2</v>
      </c>
      <c r="E31" s="28">
        <f>CEILING(C31/$H$3,1)*CEILING($H$2/$H$3,1)/CEILING(C31/$H$3,1)</f>
        <v>1</v>
      </c>
      <c r="F31" s="28">
        <f>$B$5/D31/B31*E31</f>
        <v>1.1306250000000002</v>
      </c>
    </row>
    <row r="32" spans="1:6" x14ac:dyDescent="0.4">
      <c r="A32" s="28">
        <f t="shared" si="1"/>
        <v>316</v>
      </c>
      <c r="B32" s="28">
        <f t="shared" si="0"/>
        <v>0.59523809523809523</v>
      </c>
      <c r="C32" s="28">
        <f>A32+$E$6</f>
        <v>338</v>
      </c>
      <c r="D32" s="28">
        <f>CEILING(C32/$H$3,1)*CEILING($H$2/$H$3,1)/CEILING($H$2/$H$3,1)</f>
        <v>2</v>
      </c>
      <c r="E32" s="28">
        <f>CEILING(C32/$H$3,1)*CEILING($H$2/$H$3,1)/CEILING(C32/$H$3,1)</f>
        <v>1</v>
      </c>
      <c r="F32" s="28">
        <f>$B$5/D32/B32*E32</f>
        <v>1.1340000000000001</v>
      </c>
    </row>
    <row r="33" spans="1:6" x14ac:dyDescent="0.4">
      <c r="A33" s="28">
        <f t="shared" si="1"/>
        <v>317</v>
      </c>
      <c r="B33" s="28">
        <f t="shared" si="0"/>
        <v>0.59347181008902072</v>
      </c>
      <c r="C33" s="28">
        <f>A33+$E$6</f>
        <v>339</v>
      </c>
      <c r="D33" s="28">
        <f>CEILING(C33/$H$3,1)*CEILING($H$2/$H$3,1)/CEILING($H$2/$H$3,1)</f>
        <v>2</v>
      </c>
      <c r="E33" s="28">
        <f>CEILING(C33/$H$3,1)*CEILING($H$2/$H$3,1)/CEILING(C33/$H$3,1)</f>
        <v>1</v>
      </c>
      <c r="F33" s="28">
        <f>$B$5/D33/B33*E33</f>
        <v>1.1373750000000002</v>
      </c>
    </row>
    <row r="34" spans="1:6" x14ac:dyDescent="0.4">
      <c r="A34" s="28">
        <f t="shared" si="1"/>
        <v>318</v>
      </c>
      <c r="B34" s="28">
        <f t="shared" si="0"/>
        <v>0.59171597633136097</v>
      </c>
      <c r="C34" s="28">
        <f>A34+$E$6</f>
        <v>340</v>
      </c>
      <c r="D34" s="28">
        <f>CEILING(C34/$H$3,1)*CEILING($H$2/$H$3,1)/CEILING($H$2/$H$3,1)</f>
        <v>2</v>
      </c>
      <c r="E34" s="28">
        <f>CEILING(C34/$H$3,1)*CEILING($H$2/$H$3,1)/CEILING(C34/$H$3,1)</f>
        <v>1</v>
      </c>
      <c r="F34" s="28">
        <f>$B$5/D34/B34*E34</f>
        <v>1.1407499999999999</v>
      </c>
    </row>
    <row r="35" spans="1:6" x14ac:dyDescent="0.4">
      <c r="A35" s="28">
        <f t="shared" si="1"/>
        <v>319</v>
      </c>
      <c r="B35" s="28">
        <f t="shared" si="0"/>
        <v>0.58997050147492625</v>
      </c>
      <c r="C35" s="28">
        <f>A35+$E$6</f>
        <v>341</v>
      </c>
      <c r="D35" s="28">
        <f>CEILING(C35/$H$3,1)*CEILING($H$2/$H$3,1)/CEILING($H$2/$H$3,1)</f>
        <v>2</v>
      </c>
      <c r="E35" s="28">
        <f>CEILING(C35/$H$3,1)*CEILING($H$2/$H$3,1)/CEILING(C35/$H$3,1)</f>
        <v>1</v>
      </c>
      <c r="F35" s="28">
        <f>$B$5/D35/B35*E35</f>
        <v>1.1441250000000001</v>
      </c>
    </row>
    <row r="36" spans="1:6" x14ac:dyDescent="0.4">
      <c r="A36" s="28">
        <f t="shared" si="1"/>
        <v>320</v>
      </c>
      <c r="B36" s="28">
        <f t="shared" si="0"/>
        <v>0.58823529411764708</v>
      </c>
      <c r="C36" s="28">
        <f>A36+$E$6</f>
        <v>342</v>
      </c>
      <c r="D36" s="28">
        <f>CEILING(C36/$H$3,1)*CEILING($H$2/$H$3,1)/CEILING($H$2/$H$3,1)</f>
        <v>2</v>
      </c>
      <c r="E36" s="28">
        <f>CEILING(C36/$H$3,1)*CEILING($H$2/$H$3,1)/CEILING(C36/$H$3,1)</f>
        <v>1</v>
      </c>
      <c r="F36" s="28">
        <f>$B$5/D36/B36*E36</f>
        <v>1.1475</v>
      </c>
    </row>
    <row r="37" spans="1:6" x14ac:dyDescent="0.4">
      <c r="A37" s="28">
        <f t="shared" si="1"/>
        <v>321</v>
      </c>
      <c r="B37" s="28">
        <f t="shared" si="0"/>
        <v>0.5865102639296188</v>
      </c>
      <c r="C37" s="28">
        <f>A37+$E$6</f>
        <v>343</v>
      </c>
      <c r="D37" s="28">
        <f>CEILING(C37/$H$3,1)*CEILING($H$2/$H$3,1)/CEILING($H$2/$H$3,1)</f>
        <v>2</v>
      </c>
      <c r="E37" s="28">
        <f>CEILING(C37/$H$3,1)*CEILING($H$2/$H$3,1)/CEILING(C37/$H$3,1)</f>
        <v>1</v>
      </c>
      <c r="F37" s="28">
        <f>$B$5/D37/B37*E37</f>
        <v>1.1508750000000001</v>
      </c>
    </row>
    <row r="38" spans="1:6" x14ac:dyDescent="0.4">
      <c r="A38" s="28">
        <f t="shared" si="1"/>
        <v>322</v>
      </c>
      <c r="B38" s="28">
        <f t="shared" si="0"/>
        <v>0.58479532163742687</v>
      </c>
      <c r="C38" s="28">
        <f>A38+$E$6</f>
        <v>344</v>
      </c>
      <c r="D38" s="28">
        <f>CEILING(C38/$H$3,1)*CEILING($H$2/$H$3,1)/CEILING($H$2/$H$3,1)</f>
        <v>2</v>
      </c>
      <c r="E38" s="28">
        <f>CEILING(C38/$H$3,1)*CEILING($H$2/$H$3,1)/CEILING(C38/$H$3,1)</f>
        <v>1</v>
      </c>
      <c r="F38" s="28">
        <f>$B$5/D38/B38*E38</f>
        <v>1.1542500000000002</v>
      </c>
    </row>
    <row r="39" spans="1:6" x14ac:dyDescent="0.4">
      <c r="A39" s="28">
        <f t="shared" si="1"/>
        <v>323</v>
      </c>
      <c r="B39" s="28">
        <f t="shared" si="0"/>
        <v>0.58309037900874638</v>
      </c>
      <c r="C39" s="28">
        <f>A39+$E$6</f>
        <v>345</v>
      </c>
      <c r="D39" s="28">
        <f>CEILING(C39/$H$3,1)*CEILING($H$2/$H$3,1)/CEILING($H$2/$H$3,1)</f>
        <v>2</v>
      </c>
      <c r="E39" s="28">
        <f>CEILING(C39/$H$3,1)*CEILING($H$2/$H$3,1)/CEILING(C39/$H$3,1)</f>
        <v>1</v>
      </c>
      <c r="F39" s="28">
        <f>$B$5/D39/B39*E39</f>
        <v>1.1576250000000001</v>
      </c>
    </row>
    <row r="40" spans="1:6" x14ac:dyDescent="0.4">
      <c r="A40" s="28">
        <f t="shared" si="1"/>
        <v>324</v>
      </c>
      <c r="B40" s="28">
        <f t="shared" si="0"/>
        <v>0.58139534883720934</v>
      </c>
      <c r="C40" s="28">
        <f>A40+$E$6</f>
        <v>346</v>
      </c>
      <c r="D40" s="28">
        <f>CEILING(C40/$H$3,1)*CEILING($H$2/$H$3,1)/CEILING($H$2/$H$3,1)</f>
        <v>2</v>
      </c>
      <c r="E40" s="28">
        <f>CEILING(C40/$H$3,1)*CEILING($H$2/$H$3,1)/CEILING(C40/$H$3,1)</f>
        <v>1</v>
      </c>
      <c r="F40" s="28">
        <f>$B$5/D40/B40*E40</f>
        <v>1.161</v>
      </c>
    </row>
    <row r="41" spans="1:6" x14ac:dyDescent="0.4">
      <c r="A41" s="28">
        <f t="shared" si="1"/>
        <v>325</v>
      </c>
      <c r="B41" s="28">
        <f t="shared" si="0"/>
        <v>0.57971014492753625</v>
      </c>
      <c r="C41" s="28">
        <f>A41+$E$6</f>
        <v>347</v>
      </c>
      <c r="D41" s="28">
        <f>CEILING(C41/$H$3,1)*CEILING($H$2/$H$3,1)/CEILING($H$2/$H$3,1)</f>
        <v>2</v>
      </c>
      <c r="E41" s="28">
        <f>CEILING(C41/$H$3,1)*CEILING($H$2/$H$3,1)/CEILING(C41/$H$3,1)</f>
        <v>1</v>
      </c>
      <c r="F41" s="28">
        <f>$B$5/D41/B41*E41</f>
        <v>1.1643749999999999</v>
      </c>
    </row>
    <row r="42" spans="1:6" x14ac:dyDescent="0.4">
      <c r="A42" s="28">
        <f t="shared" si="1"/>
        <v>326</v>
      </c>
      <c r="B42" s="28">
        <f t="shared" si="0"/>
        <v>0.5780346820809249</v>
      </c>
      <c r="C42" s="28">
        <f>A42+$E$6</f>
        <v>348</v>
      </c>
      <c r="D42" s="28">
        <f>CEILING(C42/$H$3,1)*CEILING($H$2/$H$3,1)/CEILING($H$2/$H$3,1)</f>
        <v>2</v>
      </c>
      <c r="E42" s="28">
        <f>CEILING(C42/$H$3,1)*CEILING($H$2/$H$3,1)/CEILING(C42/$H$3,1)</f>
        <v>1</v>
      </c>
      <c r="F42" s="28">
        <f>$B$5/D42/B42*E42</f>
        <v>1.1677500000000001</v>
      </c>
    </row>
    <row r="43" spans="1:6" x14ac:dyDescent="0.4">
      <c r="A43" s="28">
        <f t="shared" si="1"/>
        <v>327</v>
      </c>
      <c r="B43" s="28">
        <f t="shared" si="0"/>
        <v>0.57636887608069165</v>
      </c>
      <c r="C43" s="28">
        <f>A43+$E$6</f>
        <v>349</v>
      </c>
      <c r="D43" s="28">
        <f>CEILING(C43/$H$3,1)*CEILING($H$2/$H$3,1)/CEILING($H$2/$H$3,1)</f>
        <v>2</v>
      </c>
      <c r="E43" s="28">
        <f>CEILING(C43/$H$3,1)*CEILING($H$2/$H$3,1)/CEILING(C43/$H$3,1)</f>
        <v>1</v>
      </c>
      <c r="F43" s="28">
        <f>$B$5/D43/B43*E43</f>
        <v>1.171125</v>
      </c>
    </row>
    <row r="44" spans="1:6" x14ac:dyDescent="0.4">
      <c r="A44" s="28">
        <f t="shared" si="1"/>
        <v>328</v>
      </c>
      <c r="B44" s="28">
        <f t="shared" si="0"/>
        <v>0.57471264367816088</v>
      </c>
      <c r="C44" s="28">
        <f>A44+$E$6</f>
        <v>350</v>
      </c>
      <c r="D44" s="28">
        <f>CEILING(C44/$H$3,1)*CEILING($H$2/$H$3,1)/CEILING($H$2/$H$3,1)</f>
        <v>2</v>
      </c>
      <c r="E44" s="28">
        <f>CEILING(C44/$H$3,1)*CEILING($H$2/$H$3,1)/CEILING(C44/$H$3,1)</f>
        <v>1</v>
      </c>
      <c r="F44" s="28">
        <f>$B$5/D44/B44*E44</f>
        <v>1.1745000000000001</v>
      </c>
    </row>
    <row r="45" spans="1:6" x14ac:dyDescent="0.4">
      <c r="A45" s="28">
        <f t="shared" si="1"/>
        <v>329</v>
      </c>
      <c r="B45" s="28">
        <f t="shared" si="0"/>
        <v>0.57306590257879653</v>
      </c>
      <c r="C45" s="28">
        <f>A45+$E$6</f>
        <v>351</v>
      </c>
      <c r="D45" s="28">
        <f>CEILING(C45/$H$3,1)*CEILING($H$2/$H$3,1)/CEILING($H$2/$H$3,1)</f>
        <v>2</v>
      </c>
      <c r="E45" s="28">
        <f>CEILING(C45/$H$3,1)*CEILING($H$2/$H$3,1)/CEILING(C45/$H$3,1)</f>
        <v>1</v>
      </c>
      <c r="F45" s="28">
        <f>$B$5/D45/B45*E45</f>
        <v>1.1778750000000002</v>
      </c>
    </row>
    <row r="46" spans="1:6" x14ac:dyDescent="0.4">
      <c r="A46" s="28">
        <f t="shared" si="1"/>
        <v>330</v>
      </c>
      <c r="B46" s="28">
        <f t="shared" si="0"/>
        <v>0.5714285714285714</v>
      </c>
      <c r="C46" s="28">
        <f>A46+$E$6</f>
        <v>352</v>
      </c>
      <c r="D46" s="28">
        <f>CEILING(C46/$H$3,1)*CEILING($H$2/$H$3,1)/CEILING($H$2/$H$3,1)</f>
        <v>2</v>
      </c>
      <c r="E46" s="28">
        <f>CEILING(C46/$H$3,1)*CEILING($H$2/$H$3,1)/CEILING(C46/$H$3,1)</f>
        <v>1</v>
      </c>
      <c r="F46" s="28">
        <f>$B$5/D46/B46*E46</f>
        <v>1.1812500000000001</v>
      </c>
    </row>
    <row r="47" spans="1:6" x14ac:dyDescent="0.4">
      <c r="A47" s="28">
        <f t="shared" si="1"/>
        <v>331</v>
      </c>
      <c r="B47" s="28">
        <f t="shared" si="0"/>
        <v>0.56980056980056981</v>
      </c>
      <c r="C47" s="28">
        <f>A47+$E$6</f>
        <v>353</v>
      </c>
      <c r="D47" s="28">
        <f>CEILING(C47/$H$3,1)*CEILING($H$2/$H$3,1)/CEILING($H$2/$H$3,1)</f>
        <v>2</v>
      </c>
      <c r="E47" s="28">
        <f>CEILING(C47/$H$3,1)*CEILING($H$2/$H$3,1)/CEILING(C47/$H$3,1)</f>
        <v>1</v>
      </c>
      <c r="F47" s="28">
        <f>$B$5/D47/B47*E47</f>
        <v>1.184625</v>
      </c>
    </row>
    <row r="48" spans="1:6" x14ac:dyDescent="0.4">
      <c r="A48" s="28">
        <f t="shared" si="1"/>
        <v>332</v>
      </c>
      <c r="B48" s="28">
        <f t="shared" si="0"/>
        <v>0.56818181818181823</v>
      </c>
      <c r="C48" s="28">
        <f>A48+$E$6</f>
        <v>354</v>
      </c>
      <c r="D48" s="28">
        <f>CEILING(C48/$H$3,1)*CEILING($H$2/$H$3,1)/CEILING($H$2/$H$3,1)</f>
        <v>2</v>
      </c>
      <c r="E48" s="28">
        <f>CEILING(C48/$H$3,1)*CEILING($H$2/$H$3,1)/CEILING(C48/$H$3,1)</f>
        <v>1</v>
      </c>
      <c r="F48" s="28">
        <f>$B$5/D48/B48*E48</f>
        <v>1.1879999999999999</v>
      </c>
    </row>
    <row r="49" spans="1:6" x14ac:dyDescent="0.4">
      <c r="A49" s="28">
        <f t="shared" si="1"/>
        <v>333</v>
      </c>
      <c r="B49" s="28">
        <f t="shared" si="0"/>
        <v>0.56657223796033995</v>
      </c>
      <c r="C49" s="28">
        <f>A49+$E$6</f>
        <v>355</v>
      </c>
      <c r="D49" s="28">
        <f>CEILING(C49/$H$3,1)*CEILING($H$2/$H$3,1)/CEILING($H$2/$H$3,1)</f>
        <v>2</v>
      </c>
      <c r="E49" s="28">
        <f>CEILING(C49/$H$3,1)*CEILING($H$2/$H$3,1)/CEILING(C49/$H$3,1)</f>
        <v>1</v>
      </c>
      <c r="F49" s="28">
        <f>$B$5/D49/B49*E49</f>
        <v>1.1913750000000001</v>
      </c>
    </row>
    <row r="50" spans="1:6" x14ac:dyDescent="0.4">
      <c r="A50" s="28">
        <f t="shared" si="1"/>
        <v>334</v>
      </c>
      <c r="B50" s="28">
        <f t="shared" si="0"/>
        <v>0.56497175141242939</v>
      </c>
      <c r="C50" s="28">
        <f>A50+$E$6</f>
        <v>356</v>
      </c>
      <c r="D50" s="28">
        <f>CEILING(C50/$H$3,1)*CEILING($H$2/$H$3,1)/CEILING($H$2/$H$3,1)</f>
        <v>2</v>
      </c>
      <c r="E50" s="28">
        <f>CEILING(C50/$H$3,1)*CEILING($H$2/$H$3,1)/CEILING(C50/$H$3,1)</f>
        <v>1</v>
      </c>
      <c r="F50" s="28">
        <f>$B$5/D50/B50*E50</f>
        <v>1.19475</v>
      </c>
    </row>
    <row r="51" spans="1:6" x14ac:dyDescent="0.4">
      <c r="A51" s="28">
        <f t="shared" si="1"/>
        <v>335</v>
      </c>
      <c r="B51" s="28">
        <f t="shared" si="0"/>
        <v>0.56338028169014087</v>
      </c>
      <c r="C51" s="28">
        <f>A51+$E$6</f>
        <v>357</v>
      </c>
      <c r="D51" s="28">
        <f>CEILING(C51/$H$3,1)*CEILING($H$2/$H$3,1)/CEILING($H$2/$H$3,1)</f>
        <v>2</v>
      </c>
      <c r="E51" s="28">
        <f>CEILING(C51/$H$3,1)*CEILING($H$2/$H$3,1)/CEILING(C51/$H$3,1)</f>
        <v>1</v>
      </c>
      <c r="F51" s="28">
        <f>$B$5/D51/B51*E51</f>
        <v>1.1981250000000001</v>
      </c>
    </row>
    <row r="52" spans="1:6" x14ac:dyDescent="0.4">
      <c r="A52" s="28">
        <f t="shared" si="1"/>
        <v>336</v>
      </c>
      <c r="B52" s="28">
        <f t="shared" si="0"/>
        <v>0.5617977528089888</v>
      </c>
      <c r="C52" s="28">
        <f>A52+$E$6</f>
        <v>358</v>
      </c>
      <c r="D52" s="28">
        <f>CEILING(C52/$H$3,1)*CEILING($H$2/$H$3,1)/CEILING($H$2/$H$3,1)</f>
        <v>2</v>
      </c>
      <c r="E52" s="28">
        <f>CEILING(C52/$H$3,1)*CEILING($H$2/$H$3,1)/CEILING(C52/$H$3,1)</f>
        <v>1</v>
      </c>
      <c r="F52" s="28">
        <f>$B$5/D52/B52*E52</f>
        <v>1.2015</v>
      </c>
    </row>
    <row r="53" spans="1:6" x14ac:dyDescent="0.4">
      <c r="A53" s="28">
        <f t="shared" si="1"/>
        <v>337</v>
      </c>
      <c r="B53" s="28">
        <f t="shared" si="0"/>
        <v>0.56022408963585435</v>
      </c>
      <c r="C53" s="28">
        <f>A53+$E$6</f>
        <v>359</v>
      </c>
      <c r="D53" s="28">
        <f>CEILING(C53/$H$3,1)*CEILING($H$2/$H$3,1)/CEILING($H$2/$H$3,1)</f>
        <v>2</v>
      </c>
      <c r="E53" s="28">
        <f>CEILING(C53/$H$3,1)*CEILING($H$2/$H$3,1)/CEILING(C53/$H$3,1)</f>
        <v>1</v>
      </c>
      <c r="F53" s="28">
        <f>$B$5/D53/B53*E53</f>
        <v>1.2048750000000001</v>
      </c>
    </row>
    <row r="54" spans="1:6" x14ac:dyDescent="0.4">
      <c r="A54" s="28">
        <f t="shared" si="1"/>
        <v>338</v>
      </c>
      <c r="B54" s="28">
        <f t="shared" si="0"/>
        <v>0.55865921787709494</v>
      </c>
      <c r="C54" s="28">
        <f>A54+$E$6</f>
        <v>360</v>
      </c>
      <c r="D54" s="28">
        <f>CEILING(C54/$H$3,1)*CEILING($H$2/$H$3,1)/CEILING($H$2/$H$3,1)</f>
        <v>2</v>
      </c>
      <c r="E54" s="28">
        <f>CEILING(C54/$H$3,1)*CEILING($H$2/$H$3,1)/CEILING(C54/$H$3,1)</f>
        <v>1</v>
      </c>
      <c r="F54" s="28">
        <f>$B$5/D54/B54*E54</f>
        <v>1.20825</v>
      </c>
    </row>
    <row r="55" spans="1:6" x14ac:dyDescent="0.4">
      <c r="A55" s="28">
        <f t="shared" si="1"/>
        <v>339</v>
      </c>
      <c r="B55" s="28">
        <f t="shared" si="0"/>
        <v>0.55710306406685239</v>
      </c>
      <c r="C55" s="28">
        <f>A55+$E$6</f>
        <v>361</v>
      </c>
      <c r="D55" s="28">
        <f>CEILING(C55/$H$3,1)*CEILING($H$2/$H$3,1)/CEILING($H$2/$H$3,1)</f>
        <v>2</v>
      </c>
      <c r="E55" s="28">
        <f>CEILING(C55/$H$3,1)*CEILING($H$2/$H$3,1)/CEILING(C55/$H$3,1)</f>
        <v>1</v>
      </c>
      <c r="F55" s="28">
        <f>$B$5/D55/B55*E55</f>
        <v>1.211625</v>
      </c>
    </row>
    <row r="56" spans="1:6" x14ac:dyDescent="0.4">
      <c r="A56" s="28">
        <f t="shared" si="1"/>
        <v>340</v>
      </c>
      <c r="B56" s="28">
        <f t="shared" si="0"/>
        <v>0.55555555555555558</v>
      </c>
      <c r="C56" s="28">
        <f>A56+$E$6</f>
        <v>362</v>
      </c>
      <c r="D56" s="28">
        <f>CEILING(C56/$H$3,1)*CEILING($H$2/$H$3,1)/CEILING($H$2/$H$3,1)</f>
        <v>2</v>
      </c>
      <c r="E56" s="28">
        <f>CEILING(C56/$H$3,1)*CEILING($H$2/$H$3,1)/CEILING(C56/$H$3,1)</f>
        <v>1</v>
      </c>
      <c r="F56" s="28">
        <f>$B$5/D56/B56*E56</f>
        <v>1.2150000000000001</v>
      </c>
    </row>
    <row r="57" spans="1:6" x14ac:dyDescent="0.4">
      <c r="A57" s="28">
        <f t="shared" si="1"/>
        <v>341</v>
      </c>
      <c r="B57" s="28">
        <f t="shared" si="0"/>
        <v>0.554016620498615</v>
      </c>
      <c r="C57" s="28">
        <f>A57+$E$6</f>
        <v>363</v>
      </c>
      <c r="D57" s="28">
        <f>CEILING(C57/$H$3,1)*CEILING($H$2/$H$3,1)/CEILING($H$2/$H$3,1)</f>
        <v>2</v>
      </c>
      <c r="E57" s="28">
        <f>CEILING(C57/$H$3,1)*CEILING($H$2/$H$3,1)/CEILING(C57/$H$3,1)</f>
        <v>1</v>
      </c>
      <c r="F57" s="28">
        <f>$B$5/D57/B57*E57</f>
        <v>1.218375</v>
      </c>
    </row>
    <row r="58" spans="1:6" x14ac:dyDescent="0.4">
      <c r="A58" s="28">
        <f t="shared" si="1"/>
        <v>342</v>
      </c>
      <c r="B58" s="28">
        <f t="shared" si="0"/>
        <v>0.5524861878453039</v>
      </c>
      <c r="C58" s="28">
        <f>A58+$E$6</f>
        <v>364</v>
      </c>
      <c r="D58" s="28">
        <f>CEILING(C58/$H$3,1)*CEILING($H$2/$H$3,1)/CEILING($H$2/$H$3,1)</f>
        <v>2</v>
      </c>
      <c r="E58" s="28">
        <f>CEILING(C58/$H$3,1)*CEILING($H$2/$H$3,1)/CEILING(C58/$H$3,1)</f>
        <v>1</v>
      </c>
      <c r="F58" s="28">
        <f>$B$5/D58/B58*E58</f>
        <v>1.2217500000000001</v>
      </c>
    </row>
    <row r="59" spans="1:6" x14ac:dyDescent="0.4">
      <c r="A59" s="28">
        <f t="shared" si="1"/>
        <v>343</v>
      </c>
      <c r="B59" s="28">
        <f t="shared" si="0"/>
        <v>0.55096418732782371</v>
      </c>
      <c r="C59" s="28">
        <f>A59+$E$6</f>
        <v>365</v>
      </c>
      <c r="D59" s="28">
        <f>CEILING(C59/$H$3,1)*CEILING($H$2/$H$3,1)/CEILING($H$2/$H$3,1)</f>
        <v>2</v>
      </c>
      <c r="E59" s="28">
        <f>CEILING(C59/$H$3,1)*CEILING($H$2/$H$3,1)/CEILING(C59/$H$3,1)</f>
        <v>1</v>
      </c>
      <c r="F59" s="28">
        <f>$B$5/D59/B59*E59</f>
        <v>1.225125</v>
      </c>
    </row>
    <row r="60" spans="1:6" x14ac:dyDescent="0.4">
      <c r="A60" s="28">
        <f t="shared" si="1"/>
        <v>344</v>
      </c>
      <c r="B60" s="28">
        <f t="shared" si="0"/>
        <v>0.5494505494505495</v>
      </c>
      <c r="C60" s="28">
        <f>A60+$E$6</f>
        <v>366</v>
      </c>
      <c r="D60" s="28">
        <f>CEILING(C60/$H$3,1)*CEILING($H$2/$H$3,1)/CEILING($H$2/$H$3,1)</f>
        <v>2</v>
      </c>
      <c r="E60" s="28">
        <f>CEILING(C60/$H$3,1)*CEILING($H$2/$H$3,1)/CEILING(C60/$H$3,1)</f>
        <v>1</v>
      </c>
      <c r="F60" s="28">
        <f>$B$5/D60/B60*E60</f>
        <v>1.2284999999999999</v>
      </c>
    </row>
    <row r="61" spans="1:6" x14ac:dyDescent="0.4">
      <c r="A61" s="28">
        <f t="shared" si="1"/>
        <v>345</v>
      </c>
      <c r="B61" s="28">
        <f t="shared" si="0"/>
        <v>0.54794520547945202</v>
      </c>
      <c r="C61" s="28">
        <f>A61+$E$6</f>
        <v>367</v>
      </c>
      <c r="D61" s="28">
        <f>CEILING(C61/$H$3,1)*CEILING($H$2/$H$3,1)/CEILING($H$2/$H$3,1)</f>
        <v>2</v>
      </c>
      <c r="E61" s="28">
        <f>CEILING(C61/$H$3,1)*CEILING($H$2/$H$3,1)/CEILING(C61/$H$3,1)</f>
        <v>1</v>
      </c>
      <c r="F61" s="28">
        <f>$B$5/D61/B61*E61</f>
        <v>1.2318750000000001</v>
      </c>
    </row>
    <row r="62" spans="1:6" x14ac:dyDescent="0.4">
      <c r="A62" s="28">
        <f t="shared" si="1"/>
        <v>346</v>
      </c>
      <c r="B62" s="28">
        <f t="shared" si="0"/>
        <v>0.54644808743169404</v>
      </c>
      <c r="C62" s="28">
        <f>A62+$E$6</f>
        <v>368</v>
      </c>
      <c r="D62" s="28">
        <f>CEILING(C62/$H$3,1)*CEILING($H$2/$H$3,1)/CEILING($H$2/$H$3,1)</f>
        <v>2</v>
      </c>
      <c r="E62" s="28">
        <f>CEILING(C62/$H$3,1)*CEILING($H$2/$H$3,1)/CEILING(C62/$H$3,1)</f>
        <v>1</v>
      </c>
      <c r="F62" s="28">
        <f>$B$5/D62/B62*E62</f>
        <v>1.23525</v>
      </c>
    </row>
    <row r="63" spans="1:6" x14ac:dyDescent="0.4">
      <c r="A63" s="28">
        <f t="shared" si="1"/>
        <v>347</v>
      </c>
      <c r="B63" s="28">
        <f t="shared" si="0"/>
        <v>0.54495912806539515</v>
      </c>
      <c r="C63" s="28">
        <f>A63+$E$6</f>
        <v>369</v>
      </c>
      <c r="D63" s="28">
        <f>CEILING(C63/$H$3,1)*CEILING($H$2/$H$3,1)/CEILING($H$2/$H$3,1)</f>
        <v>2</v>
      </c>
      <c r="E63" s="28">
        <f>CEILING(C63/$H$3,1)*CEILING($H$2/$H$3,1)/CEILING(C63/$H$3,1)</f>
        <v>1</v>
      </c>
      <c r="F63" s="28">
        <f>$B$5/D63/B63*E63</f>
        <v>1.2386249999999999</v>
      </c>
    </row>
    <row r="64" spans="1:6" x14ac:dyDescent="0.4">
      <c r="A64" s="28">
        <f t="shared" si="1"/>
        <v>348</v>
      </c>
      <c r="B64" s="28">
        <f t="shared" si="0"/>
        <v>0.54347826086956519</v>
      </c>
      <c r="C64" s="28">
        <f>A64+$E$6</f>
        <v>370</v>
      </c>
      <c r="D64" s="28">
        <f>CEILING(C64/$H$3,1)*CEILING($H$2/$H$3,1)/CEILING($H$2/$H$3,1)</f>
        <v>2</v>
      </c>
      <c r="E64" s="28">
        <f>CEILING(C64/$H$3,1)*CEILING($H$2/$H$3,1)/CEILING(C64/$H$3,1)</f>
        <v>1</v>
      </c>
      <c r="F64" s="28">
        <f>$B$5/D64/B64*E64</f>
        <v>1.2420000000000002</v>
      </c>
    </row>
    <row r="65" spans="1:6" x14ac:dyDescent="0.4">
      <c r="A65" s="28">
        <f t="shared" si="1"/>
        <v>349</v>
      </c>
      <c r="B65" s="28">
        <f t="shared" si="0"/>
        <v>0.54200542005420049</v>
      </c>
      <c r="C65" s="28">
        <f>A65+$E$6</f>
        <v>371</v>
      </c>
      <c r="D65" s="28">
        <f>CEILING(C65/$H$3,1)*CEILING($H$2/$H$3,1)/CEILING($H$2/$H$3,1)</f>
        <v>2</v>
      </c>
      <c r="E65" s="28">
        <f>CEILING(C65/$H$3,1)*CEILING($H$2/$H$3,1)/CEILING(C65/$H$3,1)</f>
        <v>1</v>
      </c>
      <c r="F65" s="28">
        <f>$B$5/D65/B65*E65</f>
        <v>1.2453750000000001</v>
      </c>
    </row>
    <row r="66" spans="1:6" x14ac:dyDescent="0.4">
      <c r="A66" s="28">
        <f t="shared" si="1"/>
        <v>350</v>
      </c>
      <c r="B66" s="28">
        <f t="shared" si="0"/>
        <v>0.54054054054054057</v>
      </c>
      <c r="C66" s="28">
        <f>A66+$E$6</f>
        <v>372</v>
      </c>
      <c r="D66" s="28">
        <f>CEILING(C66/$H$3,1)*CEILING($H$2/$H$3,1)/CEILING($H$2/$H$3,1)</f>
        <v>2</v>
      </c>
      <c r="E66" s="28">
        <f>CEILING(C66/$H$3,1)*CEILING($H$2/$H$3,1)/CEILING(C66/$H$3,1)</f>
        <v>1</v>
      </c>
      <c r="F66" s="28">
        <f>$B$5/D66/B66*E66</f>
        <v>1.24875</v>
      </c>
    </row>
    <row r="67" spans="1:6" x14ac:dyDescent="0.4">
      <c r="A67" s="28">
        <f t="shared" si="1"/>
        <v>351</v>
      </c>
      <c r="B67" s="28">
        <f t="shared" si="0"/>
        <v>0.53908355795148244</v>
      </c>
      <c r="C67" s="28">
        <f>A67+$E$6</f>
        <v>373</v>
      </c>
      <c r="D67" s="28">
        <f>CEILING(C67/$H$3,1)*CEILING($H$2/$H$3,1)/CEILING($H$2/$H$3,1)</f>
        <v>2</v>
      </c>
      <c r="E67" s="28">
        <f>CEILING(C67/$H$3,1)*CEILING($H$2/$H$3,1)/CEILING(C67/$H$3,1)</f>
        <v>1</v>
      </c>
      <c r="F67" s="28">
        <f>$B$5/D67/B67*E67</f>
        <v>1.2521250000000002</v>
      </c>
    </row>
    <row r="68" spans="1:6" x14ac:dyDescent="0.4">
      <c r="A68" s="28">
        <f t="shared" si="1"/>
        <v>352</v>
      </c>
      <c r="B68" s="28">
        <f t="shared" si="0"/>
        <v>0.5376344086021505</v>
      </c>
      <c r="C68" s="28">
        <f>A68+$E$6</f>
        <v>374</v>
      </c>
      <c r="D68" s="28">
        <f>CEILING(C68/$H$3,1)*CEILING($H$2/$H$3,1)/CEILING($H$2/$H$3,1)</f>
        <v>2</v>
      </c>
      <c r="E68" s="28">
        <f>CEILING(C68/$H$3,1)*CEILING($H$2/$H$3,1)/CEILING(C68/$H$3,1)</f>
        <v>1</v>
      </c>
      <c r="F68" s="28">
        <f>$B$5/D68/B68*E68</f>
        <v>1.2555000000000001</v>
      </c>
    </row>
    <row r="69" spans="1:6" x14ac:dyDescent="0.4">
      <c r="A69" s="28">
        <f t="shared" si="1"/>
        <v>353</v>
      </c>
      <c r="B69" s="28">
        <f t="shared" si="0"/>
        <v>0.53619302949061665</v>
      </c>
      <c r="C69" s="28">
        <f>A69+$E$6</f>
        <v>375</v>
      </c>
      <c r="D69" s="28">
        <f>CEILING(C69/$H$3,1)*CEILING($H$2/$H$3,1)/CEILING($H$2/$H$3,1)</f>
        <v>2</v>
      </c>
      <c r="E69" s="28">
        <f>CEILING(C69/$H$3,1)*CEILING($H$2/$H$3,1)/CEILING(C69/$H$3,1)</f>
        <v>1</v>
      </c>
      <c r="F69" s="28">
        <f>$B$5/D69/B69*E69</f>
        <v>1.258875</v>
      </c>
    </row>
    <row r="70" spans="1:6" x14ac:dyDescent="0.4">
      <c r="A70" s="28">
        <f t="shared" si="1"/>
        <v>354</v>
      </c>
      <c r="B70" s="28">
        <f t="shared" si="0"/>
        <v>0.53475935828877008</v>
      </c>
      <c r="C70" s="28">
        <f>A70+$E$6</f>
        <v>376</v>
      </c>
      <c r="D70" s="28">
        <f>CEILING(C70/$H$3,1)*CEILING($H$2/$H$3,1)/CEILING($H$2/$H$3,1)</f>
        <v>2</v>
      </c>
      <c r="E70" s="28">
        <f>CEILING(C70/$H$3,1)*CEILING($H$2/$H$3,1)/CEILING(C70/$H$3,1)</f>
        <v>1</v>
      </c>
      <c r="F70" s="28">
        <f>$B$5/D70/B70*E70</f>
        <v>1.2622500000000001</v>
      </c>
    </row>
    <row r="71" spans="1:6" x14ac:dyDescent="0.4">
      <c r="A71" s="28">
        <f t="shared" si="1"/>
        <v>355</v>
      </c>
      <c r="B71" s="28">
        <f t="shared" si="0"/>
        <v>0.53333333333333333</v>
      </c>
      <c r="C71" s="28">
        <f>A71+$E$6</f>
        <v>377</v>
      </c>
      <c r="D71" s="28">
        <f>CEILING(C71/$H$3,1)*CEILING($H$2/$H$3,1)/CEILING($H$2/$H$3,1)</f>
        <v>2</v>
      </c>
      <c r="E71" s="28">
        <f>CEILING(C71/$H$3,1)*CEILING($H$2/$H$3,1)/CEILING(C71/$H$3,1)</f>
        <v>1</v>
      </c>
      <c r="F71" s="28">
        <f>$B$5/D71/B71*E71</f>
        <v>1.265625</v>
      </c>
    </row>
    <row r="72" spans="1:6" x14ac:dyDescent="0.4">
      <c r="A72" s="28">
        <f t="shared" si="1"/>
        <v>356</v>
      </c>
      <c r="B72" s="28">
        <f t="shared" si="0"/>
        <v>0.53191489361702127</v>
      </c>
      <c r="C72" s="28">
        <f>A72+$E$6</f>
        <v>378</v>
      </c>
      <c r="D72" s="28">
        <f>CEILING(C72/$H$3,1)*CEILING($H$2/$H$3,1)/CEILING($H$2/$H$3,1)</f>
        <v>2</v>
      </c>
      <c r="E72" s="28">
        <f>CEILING(C72/$H$3,1)*CEILING($H$2/$H$3,1)/CEILING(C72/$H$3,1)</f>
        <v>1</v>
      </c>
      <c r="F72" s="28">
        <f>$B$5/D72/B72*E72</f>
        <v>1.2690000000000001</v>
      </c>
    </row>
    <row r="73" spans="1:6" x14ac:dyDescent="0.4">
      <c r="A73" s="28">
        <f t="shared" si="1"/>
        <v>357</v>
      </c>
      <c r="B73" s="28">
        <f t="shared" si="0"/>
        <v>0.5305039787798409</v>
      </c>
      <c r="C73" s="28">
        <f>A73+$E$6</f>
        <v>379</v>
      </c>
      <c r="D73" s="28">
        <f>CEILING(C73/$H$3,1)*CEILING($H$2/$H$3,1)/CEILING($H$2/$H$3,1)</f>
        <v>2</v>
      </c>
      <c r="E73" s="28">
        <f>CEILING(C73/$H$3,1)*CEILING($H$2/$H$3,1)/CEILING(C73/$H$3,1)</f>
        <v>1</v>
      </c>
      <c r="F73" s="28">
        <f>$B$5/D73/B73*E73</f>
        <v>1.272375</v>
      </c>
    </row>
    <row r="74" spans="1:6" x14ac:dyDescent="0.4">
      <c r="A74" s="28">
        <f t="shared" si="1"/>
        <v>358</v>
      </c>
      <c r="B74" s="28">
        <f t="shared" si="0"/>
        <v>0.52910052910052907</v>
      </c>
      <c r="C74" s="28">
        <f>A74+$E$6</f>
        <v>380</v>
      </c>
      <c r="D74" s="28">
        <f>CEILING(C74/$H$3,1)*CEILING($H$2/$H$3,1)/CEILING($H$2/$H$3,1)</f>
        <v>2</v>
      </c>
      <c r="E74" s="28">
        <f>CEILING(C74/$H$3,1)*CEILING($H$2/$H$3,1)/CEILING(C74/$H$3,1)</f>
        <v>1</v>
      </c>
      <c r="F74" s="28">
        <f>$B$5/D74/B74*E74</f>
        <v>1.2757500000000002</v>
      </c>
    </row>
    <row r="75" spans="1:6" x14ac:dyDescent="0.4">
      <c r="A75" s="28">
        <f t="shared" si="1"/>
        <v>359</v>
      </c>
      <c r="B75" s="28">
        <f t="shared" ref="B75:B138" si="2">$B$4/8/(A75+$B$2)</f>
        <v>0.52770448548812665</v>
      </c>
      <c r="C75" s="28">
        <f>A75+$E$6</f>
        <v>381</v>
      </c>
      <c r="D75" s="28">
        <f>CEILING(C75/$H$3,1)*CEILING($H$2/$H$3,1)/CEILING($H$2/$H$3,1)</f>
        <v>2</v>
      </c>
      <c r="E75" s="28">
        <f>CEILING(C75/$H$3,1)*CEILING($H$2/$H$3,1)/CEILING(C75/$H$3,1)</f>
        <v>1</v>
      </c>
      <c r="F75" s="28">
        <f>$B$5/D75/B75*E75</f>
        <v>1.2791250000000001</v>
      </c>
    </row>
    <row r="76" spans="1:6" x14ac:dyDescent="0.4">
      <c r="A76" s="28">
        <f t="shared" si="1"/>
        <v>360</v>
      </c>
      <c r="B76" s="28">
        <f t="shared" si="2"/>
        <v>0.52631578947368418</v>
      </c>
      <c r="C76" s="28">
        <f>A76+$E$6</f>
        <v>382</v>
      </c>
      <c r="D76" s="28">
        <f>CEILING(C76/$H$3,1)*CEILING($H$2/$H$3,1)/CEILING($H$2/$H$3,1)</f>
        <v>2</v>
      </c>
      <c r="E76" s="28">
        <f>CEILING(C76/$H$3,1)*CEILING($H$2/$H$3,1)/CEILING(C76/$H$3,1)</f>
        <v>1</v>
      </c>
      <c r="F76" s="28">
        <f>$B$5/D76/B76*E76</f>
        <v>1.2825000000000002</v>
      </c>
    </row>
    <row r="77" spans="1:6" x14ac:dyDescent="0.4">
      <c r="A77" s="28">
        <f t="shared" ref="A77:A140" si="3">A76+$B$3</f>
        <v>361</v>
      </c>
      <c r="B77" s="28">
        <f t="shared" si="2"/>
        <v>0.52493438320209973</v>
      </c>
      <c r="C77" s="28">
        <f>A77+$E$6</f>
        <v>383</v>
      </c>
      <c r="D77" s="28">
        <f>CEILING(C77/$H$3,1)*CEILING($H$2/$H$3,1)/CEILING($H$2/$H$3,1)</f>
        <v>2</v>
      </c>
      <c r="E77" s="28">
        <f>CEILING(C77/$H$3,1)*CEILING($H$2/$H$3,1)/CEILING(C77/$H$3,1)</f>
        <v>1</v>
      </c>
      <c r="F77" s="28">
        <f>$B$5/D77/B77*E77</f>
        <v>1.2858750000000001</v>
      </c>
    </row>
    <row r="78" spans="1:6" x14ac:dyDescent="0.4">
      <c r="A78" s="28">
        <f t="shared" si="3"/>
        <v>362</v>
      </c>
      <c r="B78" s="28">
        <f t="shared" si="2"/>
        <v>0.52356020942408377</v>
      </c>
      <c r="C78" s="28">
        <f>A78+$E$6</f>
        <v>384</v>
      </c>
      <c r="D78" s="28">
        <f>CEILING(C78/$H$3,1)*CEILING($H$2/$H$3,1)/CEILING($H$2/$H$3,1)</f>
        <v>2</v>
      </c>
      <c r="E78" s="28">
        <f>CEILING(C78/$H$3,1)*CEILING($H$2/$H$3,1)/CEILING(C78/$H$3,1)</f>
        <v>1</v>
      </c>
      <c r="F78" s="28">
        <f>$B$5/D78/B78*E78</f>
        <v>1.28925</v>
      </c>
    </row>
    <row r="79" spans="1:6" x14ac:dyDescent="0.4">
      <c r="A79" s="28">
        <f t="shared" si="3"/>
        <v>363</v>
      </c>
      <c r="B79" s="28">
        <f t="shared" si="2"/>
        <v>0.52219321148825071</v>
      </c>
      <c r="C79" s="28">
        <f>A79+$E$6</f>
        <v>385</v>
      </c>
      <c r="D79" s="28">
        <f>CEILING(C79/$H$3,1)*CEILING($H$2/$H$3,1)/CEILING($H$2/$H$3,1)</f>
        <v>2</v>
      </c>
      <c r="E79" s="28">
        <f>CEILING(C79/$H$3,1)*CEILING($H$2/$H$3,1)/CEILING(C79/$H$3,1)</f>
        <v>1</v>
      </c>
      <c r="F79" s="28">
        <f>$B$5/D79/B79*E79</f>
        <v>1.2926249999999999</v>
      </c>
    </row>
    <row r="80" spans="1:6" x14ac:dyDescent="0.4">
      <c r="A80" s="28">
        <f t="shared" si="3"/>
        <v>364</v>
      </c>
      <c r="B80" s="28">
        <f t="shared" si="2"/>
        <v>0.52083333333333337</v>
      </c>
      <c r="C80" s="28">
        <f>A80+$E$6</f>
        <v>386</v>
      </c>
      <c r="D80" s="28">
        <f>CEILING(C80/$H$3,1)*CEILING($H$2/$H$3,1)/CEILING($H$2/$H$3,1)</f>
        <v>2</v>
      </c>
      <c r="E80" s="28">
        <f>CEILING(C80/$H$3,1)*CEILING($H$2/$H$3,1)/CEILING(C80/$H$3,1)</f>
        <v>1</v>
      </c>
      <c r="F80" s="28">
        <f>$B$5/D80/B80*E80</f>
        <v>1.296</v>
      </c>
    </row>
    <row r="81" spans="1:6" x14ac:dyDescent="0.4">
      <c r="A81" s="28">
        <f t="shared" si="3"/>
        <v>365</v>
      </c>
      <c r="B81" s="28">
        <f t="shared" si="2"/>
        <v>0.51948051948051943</v>
      </c>
      <c r="C81" s="28">
        <f>A81+$E$6</f>
        <v>387</v>
      </c>
      <c r="D81" s="28">
        <f>CEILING(C81/$H$3,1)*CEILING($H$2/$H$3,1)/CEILING($H$2/$H$3,1)</f>
        <v>2</v>
      </c>
      <c r="E81" s="28">
        <f>CEILING(C81/$H$3,1)*CEILING($H$2/$H$3,1)/CEILING(C81/$H$3,1)</f>
        <v>1</v>
      </c>
      <c r="F81" s="28">
        <f>$B$5/D81/B81*E81</f>
        <v>1.2993750000000002</v>
      </c>
    </row>
    <row r="82" spans="1:6" x14ac:dyDescent="0.4">
      <c r="A82" s="28">
        <f t="shared" si="3"/>
        <v>366</v>
      </c>
      <c r="B82" s="28">
        <f t="shared" si="2"/>
        <v>0.51813471502590669</v>
      </c>
      <c r="C82" s="28">
        <f>A82+$E$6</f>
        <v>388</v>
      </c>
      <c r="D82" s="28">
        <f>CEILING(C82/$H$3,1)*CEILING($H$2/$H$3,1)/CEILING($H$2/$H$3,1)</f>
        <v>2</v>
      </c>
      <c r="E82" s="28">
        <f>CEILING(C82/$H$3,1)*CEILING($H$2/$H$3,1)/CEILING(C82/$H$3,1)</f>
        <v>1</v>
      </c>
      <c r="F82" s="28">
        <f>$B$5/D82/B82*E82</f>
        <v>1.3027500000000003</v>
      </c>
    </row>
    <row r="83" spans="1:6" x14ac:dyDescent="0.4">
      <c r="A83" s="28">
        <f t="shared" si="3"/>
        <v>367</v>
      </c>
      <c r="B83" s="28">
        <f t="shared" si="2"/>
        <v>0.51679586563307489</v>
      </c>
      <c r="C83" s="28">
        <f>A83+$E$6</f>
        <v>389</v>
      </c>
      <c r="D83" s="28">
        <f>CEILING(C83/$H$3,1)*CEILING($H$2/$H$3,1)/CEILING($H$2/$H$3,1)</f>
        <v>2</v>
      </c>
      <c r="E83" s="28">
        <f>CEILING(C83/$H$3,1)*CEILING($H$2/$H$3,1)/CEILING(C83/$H$3,1)</f>
        <v>1</v>
      </c>
      <c r="F83" s="28">
        <f>$B$5/D83/B83*E83</f>
        <v>1.3061250000000002</v>
      </c>
    </row>
    <row r="84" spans="1:6" x14ac:dyDescent="0.4">
      <c r="A84" s="28">
        <f t="shared" si="3"/>
        <v>368</v>
      </c>
      <c r="B84" s="28">
        <f t="shared" si="2"/>
        <v>0.51546391752577314</v>
      </c>
      <c r="C84" s="28">
        <f>A84+$E$6</f>
        <v>390</v>
      </c>
      <c r="D84" s="28">
        <f>CEILING(C84/$H$3,1)*CEILING($H$2/$H$3,1)/CEILING($H$2/$H$3,1)</f>
        <v>2</v>
      </c>
      <c r="E84" s="28">
        <f>CEILING(C84/$H$3,1)*CEILING($H$2/$H$3,1)/CEILING(C84/$H$3,1)</f>
        <v>1</v>
      </c>
      <c r="F84" s="28">
        <f>$B$5/D84/B84*E84</f>
        <v>1.3095000000000003</v>
      </c>
    </row>
    <row r="85" spans="1:6" x14ac:dyDescent="0.4">
      <c r="A85" s="28">
        <f t="shared" si="3"/>
        <v>369</v>
      </c>
      <c r="B85" s="28">
        <f t="shared" si="2"/>
        <v>0.51413881748071977</v>
      </c>
      <c r="C85" s="28">
        <f>A85+$E$6</f>
        <v>391</v>
      </c>
      <c r="D85" s="28">
        <f>CEILING(C85/$H$3,1)*CEILING($H$2/$H$3,1)/CEILING($H$2/$H$3,1)</f>
        <v>2</v>
      </c>
      <c r="E85" s="28">
        <f>CEILING(C85/$H$3,1)*CEILING($H$2/$H$3,1)/CEILING(C85/$H$3,1)</f>
        <v>1</v>
      </c>
      <c r="F85" s="28">
        <f>$B$5/D85/B85*E85</f>
        <v>1.3128750000000002</v>
      </c>
    </row>
    <row r="86" spans="1:6" x14ac:dyDescent="0.4">
      <c r="A86" s="28">
        <f t="shared" si="3"/>
        <v>370</v>
      </c>
      <c r="B86" s="28">
        <f t="shared" si="2"/>
        <v>0.51282051282051277</v>
      </c>
      <c r="C86" s="28">
        <f>A86+$E$6</f>
        <v>392</v>
      </c>
      <c r="D86" s="28">
        <f>CEILING(C86/$H$3,1)*CEILING($H$2/$H$3,1)/CEILING($H$2/$H$3,1)</f>
        <v>2</v>
      </c>
      <c r="E86" s="28">
        <f>CEILING(C86/$H$3,1)*CEILING($H$2/$H$3,1)/CEILING(C86/$H$3,1)</f>
        <v>1</v>
      </c>
      <c r="F86" s="28">
        <f>$B$5/D86/B86*E86</f>
        <v>1.3162500000000001</v>
      </c>
    </row>
    <row r="87" spans="1:6" x14ac:dyDescent="0.4">
      <c r="A87" s="28">
        <f t="shared" si="3"/>
        <v>371</v>
      </c>
      <c r="B87" s="28">
        <f t="shared" si="2"/>
        <v>0.51150895140664965</v>
      </c>
      <c r="C87" s="28">
        <f>A87+$E$6</f>
        <v>393</v>
      </c>
      <c r="D87" s="28">
        <f>CEILING(C87/$H$3,1)*CEILING($H$2/$H$3,1)/CEILING($H$2/$H$3,1)</f>
        <v>2</v>
      </c>
      <c r="E87" s="28">
        <f>CEILING(C87/$H$3,1)*CEILING($H$2/$H$3,1)/CEILING(C87/$H$3,1)</f>
        <v>1</v>
      </c>
      <c r="F87" s="28">
        <f>$B$5/D87/B87*E87</f>
        <v>1.319625</v>
      </c>
    </row>
    <row r="88" spans="1:6" x14ac:dyDescent="0.4">
      <c r="A88" s="28">
        <f t="shared" si="3"/>
        <v>372</v>
      </c>
      <c r="B88" s="28">
        <f t="shared" si="2"/>
        <v>0.51020408163265307</v>
      </c>
      <c r="C88" s="28">
        <f>A88+$E$6</f>
        <v>394</v>
      </c>
      <c r="D88" s="28">
        <f>CEILING(C88/$H$3,1)*CEILING($H$2/$H$3,1)/CEILING($H$2/$H$3,1)</f>
        <v>2</v>
      </c>
      <c r="E88" s="28">
        <f>CEILING(C88/$H$3,1)*CEILING($H$2/$H$3,1)/CEILING(C88/$H$3,1)</f>
        <v>1</v>
      </c>
      <c r="F88" s="28">
        <f>$B$5/D88/B88*E88</f>
        <v>1.323</v>
      </c>
    </row>
    <row r="89" spans="1:6" x14ac:dyDescent="0.4">
      <c r="A89" s="28">
        <f t="shared" si="3"/>
        <v>373</v>
      </c>
      <c r="B89" s="28">
        <f t="shared" si="2"/>
        <v>0.5089058524173028</v>
      </c>
      <c r="C89" s="28">
        <f>A89+$E$6</f>
        <v>395</v>
      </c>
      <c r="D89" s="28">
        <f>CEILING(C89/$H$3,1)*CEILING($H$2/$H$3,1)/CEILING($H$2/$H$3,1)</f>
        <v>2</v>
      </c>
      <c r="E89" s="28">
        <f>CEILING(C89/$H$3,1)*CEILING($H$2/$H$3,1)/CEILING(C89/$H$3,1)</f>
        <v>1</v>
      </c>
      <c r="F89" s="28">
        <f>$B$5/D89/B89*E89</f>
        <v>1.3263750000000001</v>
      </c>
    </row>
    <row r="90" spans="1:6" x14ac:dyDescent="0.4">
      <c r="A90" s="28">
        <f t="shared" si="3"/>
        <v>374</v>
      </c>
      <c r="B90" s="28">
        <f t="shared" si="2"/>
        <v>0.50761421319796951</v>
      </c>
      <c r="C90" s="28">
        <f>A90+$E$6</f>
        <v>396</v>
      </c>
      <c r="D90" s="28">
        <f>CEILING(C90/$H$3,1)*CEILING($H$2/$H$3,1)/CEILING($H$2/$H$3,1)</f>
        <v>2</v>
      </c>
      <c r="E90" s="28">
        <f>CEILING(C90/$H$3,1)*CEILING($H$2/$H$3,1)/CEILING(C90/$H$3,1)</f>
        <v>1</v>
      </c>
      <c r="F90" s="28">
        <f>$B$5/D90/B90*E90</f>
        <v>1.3297500000000002</v>
      </c>
    </row>
    <row r="91" spans="1:6" x14ac:dyDescent="0.4">
      <c r="A91" s="28">
        <f t="shared" si="3"/>
        <v>375</v>
      </c>
      <c r="B91" s="28">
        <f t="shared" si="2"/>
        <v>0.50632911392405067</v>
      </c>
      <c r="C91" s="28">
        <f>A91+$E$6</f>
        <v>397</v>
      </c>
      <c r="D91" s="28">
        <f>CEILING(C91/$H$3,1)*CEILING($H$2/$H$3,1)/CEILING($H$2/$H$3,1)</f>
        <v>2</v>
      </c>
      <c r="E91" s="28">
        <f>CEILING(C91/$H$3,1)*CEILING($H$2/$H$3,1)/CEILING(C91/$H$3,1)</f>
        <v>1</v>
      </c>
      <c r="F91" s="28">
        <f>$B$5/D91/B91*E91</f>
        <v>1.3331249999999999</v>
      </c>
    </row>
    <row r="92" spans="1:6" x14ac:dyDescent="0.4">
      <c r="A92" s="28">
        <f t="shared" si="3"/>
        <v>376</v>
      </c>
      <c r="B92" s="28">
        <f t="shared" si="2"/>
        <v>0.50505050505050508</v>
      </c>
      <c r="C92" s="28">
        <f>A92+$E$6</f>
        <v>398</v>
      </c>
      <c r="D92" s="28">
        <f>CEILING(C92/$H$3,1)*CEILING($H$2/$H$3,1)/CEILING($H$2/$H$3,1)</f>
        <v>2</v>
      </c>
      <c r="E92" s="28">
        <f>CEILING(C92/$H$3,1)*CEILING($H$2/$H$3,1)/CEILING(C92/$H$3,1)</f>
        <v>1</v>
      </c>
      <c r="F92" s="28">
        <f>$B$5/D92/B92*E92</f>
        <v>1.3365</v>
      </c>
    </row>
    <row r="93" spans="1:6" x14ac:dyDescent="0.4">
      <c r="A93" s="28">
        <f t="shared" si="3"/>
        <v>377</v>
      </c>
      <c r="B93" s="28">
        <f t="shared" si="2"/>
        <v>0.50377833753148615</v>
      </c>
      <c r="C93" s="28">
        <f>A93+$E$6</f>
        <v>399</v>
      </c>
      <c r="D93" s="28">
        <f>CEILING(C93/$H$3,1)*CEILING($H$2/$H$3,1)/CEILING($H$2/$H$3,1)</f>
        <v>2</v>
      </c>
      <c r="E93" s="28">
        <f>CEILING(C93/$H$3,1)*CEILING($H$2/$H$3,1)/CEILING(C93/$H$3,1)</f>
        <v>1</v>
      </c>
      <c r="F93" s="28">
        <f>$B$5/D93/B93*E93</f>
        <v>1.3398750000000001</v>
      </c>
    </row>
    <row r="94" spans="1:6" x14ac:dyDescent="0.4">
      <c r="A94" s="28">
        <f t="shared" si="3"/>
        <v>378</v>
      </c>
      <c r="B94" s="28">
        <f t="shared" si="2"/>
        <v>0.50251256281407031</v>
      </c>
      <c r="C94" s="28">
        <f>A94+$E$6</f>
        <v>400</v>
      </c>
      <c r="D94" s="28">
        <f>CEILING(C94/$H$3,1)*CEILING($H$2/$H$3,1)/CEILING($H$2/$H$3,1)</f>
        <v>2</v>
      </c>
      <c r="E94" s="28">
        <f>CEILING(C94/$H$3,1)*CEILING($H$2/$H$3,1)/CEILING(C94/$H$3,1)</f>
        <v>1</v>
      </c>
      <c r="F94" s="28">
        <f>$B$5/D94/B94*E94</f>
        <v>1.3432500000000003</v>
      </c>
    </row>
    <row r="95" spans="1:6" x14ac:dyDescent="0.4">
      <c r="A95" s="28">
        <f t="shared" si="3"/>
        <v>379</v>
      </c>
      <c r="B95" s="28">
        <f t="shared" si="2"/>
        <v>0.50125313283208017</v>
      </c>
      <c r="C95" s="28">
        <f>A95+$E$6</f>
        <v>401</v>
      </c>
      <c r="D95" s="28">
        <f>CEILING(C95/$H$3,1)*CEILING($H$2/$H$3,1)/CEILING($H$2/$H$3,1)</f>
        <v>2</v>
      </c>
      <c r="E95" s="28">
        <f>CEILING(C95/$H$3,1)*CEILING($H$2/$H$3,1)/CEILING(C95/$H$3,1)</f>
        <v>1</v>
      </c>
      <c r="F95" s="28">
        <f>$B$5/D95/B95*E95</f>
        <v>1.3466250000000002</v>
      </c>
    </row>
    <row r="96" spans="1:6" x14ac:dyDescent="0.4">
      <c r="A96" s="28">
        <f t="shared" si="3"/>
        <v>380</v>
      </c>
      <c r="B96" s="28">
        <f t="shared" si="2"/>
        <v>0.5</v>
      </c>
      <c r="C96" s="28">
        <f>A96+$E$6</f>
        <v>402</v>
      </c>
      <c r="D96" s="28">
        <f>CEILING(C96/$H$3,1)*CEILING($H$2/$H$3,1)/CEILING($H$2/$H$3,1)</f>
        <v>2</v>
      </c>
      <c r="E96" s="28">
        <f>CEILING(C96/$H$3,1)*CEILING($H$2/$H$3,1)/CEILING(C96/$H$3,1)</f>
        <v>1</v>
      </c>
      <c r="F96" s="28">
        <f>$B$5/D96/B96*E96</f>
        <v>1.35</v>
      </c>
    </row>
    <row r="97" spans="1:6" x14ac:dyDescent="0.4">
      <c r="A97" s="28">
        <f t="shared" si="3"/>
        <v>381</v>
      </c>
      <c r="B97" s="28">
        <f t="shared" si="2"/>
        <v>0.49875311720698257</v>
      </c>
      <c r="C97" s="28">
        <f>A97+$E$6</f>
        <v>403</v>
      </c>
      <c r="D97" s="28">
        <f>CEILING(C97/$H$3,1)*CEILING($H$2/$H$3,1)/CEILING($H$2/$H$3,1)</f>
        <v>2</v>
      </c>
      <c r="E97" s="28">
        <f>CEILING(C97/$H$3,1)*CEILING($H$2/$H$3,1)/CEILING(C97/$H$3,1)</f>
        <v>1</v>
      </c>
      <c r="F97" s="28">
        <f>$B$5/D97/B97*E97</f>
        <v>1.353375</v>
      </c>
    </row>
    <row r="98" spans="1:6" x14ac:dyDescent="0.4">
      <c r="A98" s="28">
        <f t="shared" si="3"/>
        <v>382</v>
      </c>
      <c r="B98" s="28">
        <f t="shared" si="2"/>
        <v>0.49751243781094528</v>
      </c>
      <c r="C98" s="28">
        <f>A98+$E$6</f>
        <v>404</v>
      </c>
      <c r="D98" s="28">
        <f>CEILING(C98/$H$3,1)*CEILING($H$2/$H$3,1)/CEILING($H$2/$H$3,1)</f>
        <v>2</v>
      </c>
      <c r="E98" s="28">
        <f>CEILING(C98/$H$3,1)*CEILING($H$2/$H$3,1)/CEILING(C98/$H$3,1)</f>
        <v>1</v>
      </c>
      <c r="F98" s="28">
        <f>$B$5/D98/B98*E98</f>
        <v>1.3567500000000001</v>
      </c>
    </row>
    <row r="99" spans="1:6" x14ac:dyDescent="0.4">
      <c r="A99" s="28">
        <f t="shared" si="3"/>
        <v>383</v>
      </c>
      <c r="B99" s="28">
        <f t="shared" si="2"/>
        <v>0.49627791563275436</v>
      </c>
      <c r="C99" s="28">
        <f>A99+$E$6</f>
        <v>405</v>
      </c>
      <c r="D99" s="28">
        <f>CEILING(C99/$H$3,1)*CEILING($H$2/$H$3,1)/CEILING($H$2/$H$3,1)</f>
        <v>2</v>
      </c>
      <c r="E99" s="28">
        <f>CEILING(C99/$H$3,1)*CEILING($H$2/$H$3,1)/CEILING(C99/$H$3,1)</f>
        <v>1</v>
      </c>
      <c r="F99" s="28">
        <f>$B$5/D99/B99*E99</f>
        <v>1.360125</v>
      </c>
    </row>
    <row r="100" spans="1:6" x14ac:dyDescent="0.4">
      <c r="A100" s="28">
        <f t="shared" si="3"/>
        <v>384</v>
      </c>
      <c r="B100" s="28">
        <f t="shared" si="2"/>
        <v>0.49504950495049505</v>
      </c>
      <c r="C100" s="28">
        <f>A100+$E$6</f>
        <v>406</v>
      </c>
      <c r="D100" s="28">
        <f>CEILING(C100/$H$3,1)*CEILING($H$2/$H$3,1)/CEILING($H$2/$H$3,1)</f>
        <v>2</v>
      </c>
      <c r="E100" s="28">
        <f>CEILING(C100/$H$3,1)*CEILING($H$2/$H$3,1)/CEILING(C100/$H$3,1)</f>
        <v>1</v>
      </c>
      <c r="F100" s="28">
        <f>$B$5/D100/B100*E100</f>
        <v>1.3635000000000002</v>
      </c>
    </row>
    <row r="101" spans="1:6" x14ac:dyDescent="0.4">
      <c r="A101" s="28">
        <f t="shared" si="3"/>
        <v>385</v>
      </c>
      <c r="B101" s="28">
        <f t="shared" si="2"/>
        <v>0.49382716049382713</v>
      </c>
      <c r="C101" s="28">
        <f>A101+$E$6</f>
        <v>407</v>
      </c>
      <c r="D101" s="28">
        <f>CEILING(C101/$H$3,1)*CEILING($H$2/$H$3,1)/CEILING($H$2/$H$3,1)</f>
        <v>2</v>
      </c>
      <c r="E101" s="28">
        <f>CEILING(C101/$H$3,1)*CEILING($H$2/$H$3,1)/CEILING(C101/$H$3,1)</f>
        <v>1</v>
      </c>
      <c r="F101" s="28">
        <f>$B$5/D101/B101*E101</f>
        <v>1.3668750000000001</v>
      </c>
    </row>
    <row r="102" spans="1:6" x14ac:dyDescent="0.4">
      <c r="A102" s="28">
        <f t="shared" si="3"/>
        <v>386</v>
      </c>
      <c r="B102" s="28">
        <f t="shared" si="2"/>
        <v>0.49261083743842365</v>
      </c>
      <c r="C102" s="28">
        <f>A102+$E$6</f>
        <v>408</v>
      </c>
      <c r="D102" s="28">
        <f>CEILING(C102/$H$3,1)*CEILING($H$2/$H$3,1)/CEILING($H$2/$H$3,1)</f>
        <v>2</v>
      </c>
      <c r="E102" s="28">
        <f>CEILING(C102/$H$3,1)*CEILING($H$2/$H$3,1)/CEILING(C102/$H$3,1)</f>
        <v>1</v>
      </c>
      <c r="F102" s="28">
        <f>$B$5/D102/B102*E102</f>
        <v>1.37025</v>
      </c>
    </row>
    <row r="103" spans="1:6" x14ac:dyDescent="0.4">
      <c r="A103" s="28">
        <f t="shared" si="3"/>
        <v>387</v>
      </c>
      <c r="B103" s="28">
        <f t="shared" si="2"/>
        <v>0.49140049140049141</v>
      </c>
      <c r="C103" s="28">
        <f>A103+$E$6</f>
        <v>409</v>
      </c>
      <c r="D103" s="28">
        <f>CEILING(C103/$H$3,1)*CEILING($H$2/$H$3,1)/CEILING($H$2/$H$3,1)</f>
        <v>2</v>
      </c>
      <c r="E103" s="28">
        <f>CEILING(C103/$H$3,1)*CEILING($H$2/$H$3,1)/CEILING(C103/$H$3,1)</f>
        <v>1</v>
      </c>
      <c r="F103" s="28">
        <f>$B$5/D103/B103*E103</f>
        <v>1.3736250000000001</v>
      </c>
    </row>
    <row r="104" spans="1:6" x14ac:dyDescent="0.4">
      <c r="A104" s="28">
        <f t="shared" si="3"/>
        <v>388</v>
      </c>
      <c r="B104" s="28">
        <f t="shared" si="2"/>
        <v>0.49019607843137253</v>
      </c>
      <c r="C104" s="28">
        <f>A104+$E$6</f>
        <v>410</v>
      </c>
      <c r="D104" s="28">
        <f>CEILING(C104/$H$3,1)*CEILING($H$2/$H$3,1)/CEILING($H$2/$H$3,1)</f>
        <v>2</v>
      </c>
      <c r="E104" s="28">
        <f>CEILING(C104/$H$3,1)*CEILING($H$2/$H$3,1)/CEILING(C104/$H$3,1)</f>
        <v>1</v>
      </c>
      <c r="F104" s="28">
        <f>$B$5/D104/B104*E104</f>
        <v>1.3770000000000002</v>
      </c>
    </row>
    <row r="105" spans="1:6" x14ac:dyDescent="0.4">
      <c r="A105" s="28">
        <f t="shared" si="3"/>
        <v>389</v>
      </c>
      <c r="B105" s="28">
        <f t="shared" si="2"/>
        <v>0.48899755501222492</v>
      </c>
      <c r="C105" s="28">
        <f>A105+$E$6</f>
        <v>411</v>
      </c>
      <c r="D105" s="28">
        <f>CEILING(C105/$H$3,1)*CEILING($H$2/$H$3,1)/CEILING($H$2/$H$3,1)</f>
        <v>2</v>
      </c>
      <c r="E105" s="28">
        <f>CEILING(C105/$H$3,1)*CEILING($H$2/$H$3,1)/CEILING(C105/$H$3,1)</f>
        <v>1</v>
      </c>
      <c r="F105" s="28">
        <f>$B$5/D105/B105*E105</f>
        <v>1.3803750000000001</v>
      </c>
    </row>
    <row r="106" spans="1:6" x14ac:dyDescent="0.4">
      <c r="A106" s="28">
        <f t="shared" si="3"/>
        <v>390</v>
      </c>
      <c r="B106" s="28">
        <f t="shared" si="2"/>
        <v>0.48780487804878048</v>
      </c>
      <c r="C106" s="28">
        <f>A106+$E$6</f>
        <v>412</v>
      </c>
      <c r="D106" s="28">
        <f>CEILING(C106/$H$3,1)*CEILING($H$2/$H$3,1)/CEILING($H$2/$H$3,1)</f>
        <v>2</v>
      </c>
      <c r="E106" s="28">
        <f>CEILING(C106/$H$3,1)*CEILING($H$2/$H$3,1)/CEILING(C106/$H$3,1)</f>
        <v>1</v>
      </c>
      <c r="F106" s="28">
        <f>$B$5/D106/B106*E106</f>
        <v>1.38375</v>
      </c>
    </row>
    <row r="107" spans="1:6" x14ac:dyDescent="0.4">
      <c r="A107" s="28">
        <f t="shared" si="3"/>
        <v>391</v>
      </c>
      <c r="B107" s="28">
        <f t="shared" si="2"/>
        <v>0.48661800486618007</v>
      </c>
      <c r="C107" s="28">
        <f>A107+$E$6</f>
        <v>413</v>
      </c>
      <c r="D107" s="28">
        <f>CEILING(C107/$H$3,1)*CEILING($H$2/$H$3,1)/CEILING($H$2/$H$3,1)</f>
        <v>2</v>
      </c>
      <c r="E107" s="28">
        <f>CEILING(C107/$H$3,1)*CEILING($H$2/$H$3,1)/CEILING(C107/$H$3,1)</f>
        <v>1</v>
      </c>
      <c r="F107" s="28">
        <f>$B$5/D107/B107*E107</f>
        <v>1.3871249999999999</v>
      </c>
    </row>
    <row r="108" spans="1:6" x14ac:dyDescent="0.4">
      <c r="A108" s="28">
        <f t="shared" si="3"/>
        <v>392</v>
      </c>
      <c r="B108" s="28">
        <f t="shared" si="2"/>
        <v>0.4854368932038835</v>
      </c>
      <c r="C108" s="28">
        <f>A108+$E$6</f>
        <v>414</v>
      </c>
      <c r="D108" s="28">
        <f>CEILING(C108/$H$3,1)*CEILING($H$2/$H$3,1)/CEILING($H$2/$H$3,1)</f>
        <v>2</v>
      </c>
      <c r="E108" s="28">
        <f>CEILING(C108/$H$3,1)*CEILING($H$2/$H$3,1)/CEILING(C108/$H$3,1)</f>
        <v>1</v>
      </c>
      <c r="F108" s="28">
        <f>$B$5/D108/B108*E108</f>
        <v>1.3905000000000001</v>
      </c>
    </row>
    <row r="109" spans="1:6" x14ac:dyDescent="0.4">
      <c r="A109" s="28">
        <f t="shared" si="3"/>
        <v>393</v>
      </c>
      <c r="B109" s="28">
        <f t="shared" si="2"/>
        <v>0.48426150121065376</v>
      </c>
      <c r="C109" s="28">
        <f>A109+$E$6</f>
        <v>415</v>
      </c>
      <c r="D109" s="28">
        <f>CEILING(C109/$H$3,1)*CEILING($H$2/$H$3,1)/CEILING($H$2/$H$3,1)</f>
        <v>2</v>
      </c>
      <c r="E109" s="28">
        <f>CEILING(C109/$H$3,1)*CEILING($H$2/$H$3,1)/CEILING(C109/$H$3,1)</f>
        <v>1</v>
      </c>
      <c r="F109" s="28">
        <f>$B$5/D109/B109*E109</f>
        <v>1.393875</v>
      </c>
    </row>
    <row r="110" spans="1:6" x14ac:dyDescent="0.4">
      <c r="A110" s="28">
        <f t="shared" si="3"/>
        <v>394</v>
      </c>
      <c r="B110" s="28">
        <f t="shared" si="2"/>
        <v>0.48309178743961351</v>
      </c>
      <c r="C110" s="28">
        <f>A110+$E$6</f>
        <v>416</v>
      </c>
      <c r="D110" s="28">
        <f>CEILING(C110/$H$3,1)*CEILING($H$2/$H$3,1)/CEILING($H$2/$H$3,1)</f>
        <v>2</v>
      </c>
      <c r="E110" s="28">
        <f>CEILING(C110/$H$3,1)*CEILING($H$2/$H$3,1)/CEILING(C110/$H$3,1)</f>
        <v>1</v>
      </c>
      <c r="F110" s="28">
        <f>$B$5/D110/B110*E110</f>
        <v>1.3972500000000001</v>
      </c>
    </row>
    <row r="111" spans="1:6" x14ac:dyDescent="0.4">
      <c r="A111" s="28">
        <f t="shared" si="3"/>
        <v>395</v>
      </c>
      <c r="B111" s="28">
        <f t="shared" si="2"/>
        <v>0.48192771084337349</v>
      </c>
      <c r="C111" s="28">
        <f>A111+$E$6</f>
        <v>417</v>
      </c>
      <c r="D111" s="28">
        <f>CEILING(C111/$H$3,1)*CEILING($H$2/$H$3,1)/CEILING($H$2/$H$3,1)</f>
        <v>2</v>
      </c>
      <c r="E111" s="28">
        <f>CEILING(C111/$H$3,1)*CEILING($H$2/$H$3,1)/CEILING(C111/$H$3,1)</f>
        <v>1</v>
      </c>
      <c r="F111" s="28">
        <f>$B$5/D111/B111*E111</f>
        <v>1.400625</v>
      </c>
    </row>
    <row r="112" spans="1:6" x14ac:dyDescent="0.4">
      <c r="A112" s="28">
        <f t="shared" si="3"/>
        <v>396</v>
      </c>
      <c r="B112" s="28">
        <f t="shared" si="2"/>
        <v>0.48076923076923078</v>
      </c>
      <c r="C112" s="28">
        <f>A112+$E$6</f>
        <v>418</v>
      </c>
      <c r="D112" s="28">
        <f>CEILING(C112/$H$3,1)*CEILING($H$2/$H$3,1)/CEILING($H$2/$H$3,1)</f>
        <v>2</v>
      </c>
      <c r="E112" s="28">
        <f>CEILING(C112/$H$3,1)*CEILING($H$2/$H$3,1)/CEILING(C112/$H$3,1)</f>
        <v>1</v>
      </c>
      <c r="F112" s="28">
        <f>$B$5/D112/B112*E112</f>
        <v>1.4040000000000001</v>
      </c>
    </row>
    <row r="113" spans="1:6" x14ac:dyDescent="0.4">
      <c r="A113" s="28">
        <f t="shared" si="3"/>
        <v>397</v>
      </c>
      <c r="B113" s="28">
        <f t="shared" si="2"/>
        <v>0.47961630695443647</v>
      </c>
      <c r="C113" s="28">
        <f>A113+$E$6</f>
        <v>419</v>
      </c>
      <c r="D113" s="28">
        <f>CEILING(C113/$H$3,1)*CEILING($H$2/$H$3,1)/CEILING($H$2/$H$3,1)</f>
        <v>2</v>
      </c>
      <c r="E113" s="28">
        <f>CEILING(C113/$H$3,1)*CEILING($H$2/$H$3,1)/CEILING(C113/$H$3,1)</f>
        <v>1</v>
      </c>
      <c r="F113" s="28">
        <f>$B$5/D113/B113*E113</f>
        <v>1.407375</v>
      </c>
    </row>
    <row r="114" spans="1:6" x14ac:dyDescent="0.4">
      <c r="A114" s="28">
        <f t="shared" si="3"/>
        <v>398</v>
      </c>
      <c r="B114" s="28">
        <f t="shared" si="2"/>
        <v>0.4784688995215311</v>
      </c>
      <c r="C114" s="28">
        <f>A114+$E$6</f>
        <v>420</v>
      </c>
      <c r="D114" s="28">
        <f>CEILING(C114/$H$3,1)*CEILING($H$2/$H$3,1)/CEILING($H$2/$H$3,1)</f>
        <v>2</v>
      </c>
      <c r="E114" s="28">
        <f>CEILING(C114/$H$3,1)*CEILING($H$2/$H$3,1)/CEILING(C114/$H$3,1)</f>
        <v>1</v>
      </c>
      <c r="F114" s="28">
        <f>$B$5/D114/B114*E114</f>
        <v>1.4107500000000002</v>
      </c>
    </row>
    <row r="115" spans="1:6" x14ac:dyDescent="0.4">
      <c r="A115" s="28">
        <f t="shared" si="3"/>
        <v>399</v>
      </c>
      <c r="B115" s="28">
        <f t="shared" si="2"/>
        <v>0.47732696897374699</v>
      </c>
      <c r="C115" s="28">
        <f>A115+$E$6</f>
        <v>421</v>
      </c>
      <c r="D115" s="28">
        <f>CEILING(C115/$H$3,1)*CEILING($H$2/$H$3,1)/CEILING($H$2/$H$3,1)</f>
        <v>2</v>
      </c>
      <c r="E115" s="28">
        <f>CEILING(C115/$H$3,1)*CEILING($H$2/$H$3,1)/CEILING(C115/$H$3,1)</f>
        <v>1</v>
      </c>
      <c r="F115" s="28">
        <f>$B$5/D115/B115*E115</f>
        <v>1.4141250000000001</v>
      </c>
    </row>
    <row r="116" spans="1:6" x14ac:dyDescent="0.4">
      <c r="A116" s="28">
        <f t="shared" si="3"/>
        <v>400</v>
      </c>
      <c r="B116" s="28">
        <f t="shared" si="2"/>
        <v>0.47619047619047616</v>
      </c>
      <c r="C116" s="28">
        <f>A116+$E$6</f>
        <v>422</v>
      </c>
      <c r="D116" s="28">
        <f>CEILING(C116/$H$3,1)*CEILING($H$2/$H$3,1)/CEILING($H$2/$H$3,1)</f>
        <v>2</v>
      </c>
      <c r="E116" s="28">
        <f>CEILING(C116/$H$3,1)*CEILING($H$2/$H$3,1)/CEILING(C116/$H$3,1)</f>
        <v>1</v>
      </c>
      <c r="F116" s="28">
        <f>$B$5/D116/B116*E116</f>
        <v>1.4175000000000002</v>
      </c>
    </row>
    <row r="117" spans="1:6" x14ac:dyDescent="0.4">
      <c r="A117" s="28">
        <f t="shared" si="3"/>
        <v>401</v>
      </c>
      <c r="B117" s="28">
        <f t="shared" si="2"/>
        <v>0.47505938242280282</v>
      </c>
      <c r="C117" s="28">
        <f>A117+$E$6</f>
        <v>423</v>
      </c>
      <c r="D117" s="28">
        <f>CEILING(C117/$H$3,1)*CEILING($H$2/$H$3,1)/CEILING($H$2/$H$3,1)</f>
        <v>2</v>
      </c>
      <c r="E117" s="28">
        <f>CEILING(C117/$H$3,1)*CEILING($H$2/$H$3,1)/CEILING(C117/$H$3,1)</f>
        <v>1</v>
      </c>
      <c r="F117" s="28">
        <f>$B$5/D117/B117*E117</f>
        <v>1.4208750000000001</v>
      </c>
    </row>
    <row r="118" spans="1:6" x14ac:dyDescent="0.4">
      <c r="A118" s="28">
        <f t="shared" si="3"/>
        <v>402</v>
      </c>
      <c r="B118" s="28">
        <f t="shared" si="2"/>
        <v>0.47393364928909953</v>
      </c>
      <c r="C118" s="28">
        <f>A118+$E$6</f>
        <v>424</v>
      </c>
      <c r="D118" s="28">
        <f>CEILING(C118/$H$3,1)*CEILING($H$2/$H$3,1)/CEILING($H$2/$H$3,1)</f>
        <v>2</v>
      </c>
      <c r="E118" s="28">
        <f>CEILING(C118/$H$3,1)*CEILING($H$2/$H$3,1)/CEILING(C118/$H$3,1)</f>
        <v>1</v>
      </c>
      <c r="F118" s="28">
        <f>$B$5/D118/B118*E118</f>
        <v>1.42425</v>
      </c>
    </row>
    <row r="119" spans="1:6" x14ac:dyDescent="0.4">
      <c r="A119" s="28">
        <f t="shared" si="3"/>
        <v>403</v>
      </c>
      <c r="B119" s="28">
        <f t="shared" si="2"/>
        <v>0.4728132387706856</v>
      </c>
      <c r="C119" s="28">
        <f>A119+$E$6</f>
        <v>425</v>
      </c>
      <c r="D119" s="28">
        <f>CEILING(C119/$H$3,1)*CEILING($H$2/$H$3,1)/CEILING($H$2/$H$3,1)</f>
        <v>2</v>
      </c>
      <c r="E119" s="28">
        <f>CEILING(C119/$H$3,1)*CEILING($H$2/$H$3,1)/CEILING(C119/$H$3,1)</f>
        <v>1</v>
      </c>
      <c r="F119" s="28">
        <f>$B$5/D119/B119*E119</f>
        <v>1.4276250000000001</v>
      </c>
    </row>
    <row r="120" spans="1:6" x14ac:dyDescent="0.4">
      <c r="A120" s="28">
        <f t="shared" si="3"/>
        <v>404</v>
      </c>
      <c r="B120" s="28">
        <f t="shared" si="2"/>
        <v>0.47169811320754718</v>
      </c>
      <c r="C120" s="28">
        <f>A120+$E$6</f>
        <v>426</v>
      </c>
      <c r="D120" s="28">
        <f>CEILING(C120/$H$3,1)*CEILING($H$2/$H$3,1)/CEILING($H$2/$H$3,1)</f>
        <v>2</v>
      </c>
      <c r="E120" s="28">
        <f>CEILING(C120/$H$3,1)*CEILING($H$2/$H$3,1)/CEILING(C120/$H$3,1)</f>
        <v>1</v>
      </c>
      <c r="F120" s="28">
        <f>$B$5/D120/B120*E120</f>
        <v>1.431</v>
      </c>
    </row>
    <row r="121" spans="1:6" x14ac:dyDescent="0.4">
      <c r="A121" s="28">
        <f t="shared" si="3"/>
        <v>405</v>
      </c>
      <c r="B121" s="28">
        <f t="shared" si="2"/>
        <v>0.47058823529411764</v>
      </c>
      <c r="C121" s="28">
        <f>A121+$E$6</f>
        <v>427</v>
      </c>
      <c r="D121" s="28">
        <f>CEILING(C121/$H$3,1)*CEILING($H$2/$H$3,1)/CEILING($H$2/$H$3,1)</f>
        <v>2</v>
      </c>
      <c r="E121" s="28">
        <f>CEILING(C121/$H$3,1)*CEILING($H$2/$H$3,1)/CEILING(C121/$H$3,1)</f>
        <v>1</v>
      </c>
      <c r="F121" s="28">
        <f>$B$5/D121/B121*E121</f>
        <v>1.4343750000000002</v>
      </c>
    </row>
    <row r="122" spans="1:6" x14ac:dyDescent="0.4">
      <c r="A122" s="28">
        <f t="shared" si="3"/>
        <v>406</v>
      </c>
      <c r="B122" s="28">
        <f t="shared" si="2"/>
        <v>0.46948356807511737</v>
      </c>
      <c r="C122" s="28">
        <f>A122+$E$6</f>
        <v>428</v>
      </c>
      <c r="D122" s="28">
        <f>CEILING(C122/$H$3,1)*CEILING($H$2/$H$3,1)/CEILING($H$2/$H$3,1)</f>
        <v>2</v>
      </c>
      <c r="E122" s="28">
        <f>CEILING(C122/$H$3,1)*CEILING($H$2/$H$3,1)/CEILING(C122/$H$3,1)</f>
        <v>1</v>
      </c>
      <c r="F122" s="28">
        <f>$B$5/D122/B122*E122</f>
        <v>1.4377500000000001</v>
      </c>
    </row>
    <row r="123" spans="1:6" x14ac:dyDescent="0.4">
      <c r="A123" s="28">
        <f t="shared" si="3"/>
        <v>407</v>
      </c>
      <c r="B123" s="28">
        <f t="shared" si="2"/>
        <v>0.46838407494145201</v>
      </c>
      <c r="C123" s="28">
        <f>A123+$E$6</f>
        <v>429</v>
      </c>
      <c r="D123" s="28">
        <f>CEILING(C123/$H$3,1)*CEILING($H$2/$H$3,1)/CEILING($H$2/$H$3,1)</f>
        <v>2</v>
      </c>
      <c r="E123" s="28">
        <f>CEILING(C123/$H$3,1)*CEILING($H$2/$H$3,1)/CEILING(C123/$H$3,1)</f>
        <v>1</v>
      </c>
      <c r="F123" s="28">
        <f>$B$5/D123/B123*E123</f>
        <v>1.441125</v>
      </c>
    </row>
    <row r="124" spans="1:6" x14ac:dyDescent="0.4">
      <c r="A124" s="28">
        <f t="shared" si="3"/>
        <v>408</v>
      </c>
      <c r="B124" s="28">
        <f t="shared" si="2"/>
        <v>0.46728971962616822</v>
      </c>
      <c r="C124" s="28">
        <f>A124+$E$6</f>
        <v>430</v>
      </c>
      <c r="D124" s="28">
        <f>CEILING(C124/$H$3,1)*CEILING($H$2/$H$3,1)/CEILING($H$2/$H$3,1)</f>
        <v>2</v>
      </c>
      <c r="E124" s="28">
        <f>CEILING(C124/$H$3,1)*CEILING($H$2/$H$3,1)/CEILING(C124/$H$3,1)</f>
        <v>1</v>
      </c>
      <c r="F124" s="28">
        <f>$B$5/D124/B124*E124</f>
        <v>1.4445000000000001</v>
      </c>
    </row>
    <row r="125" spans="1:6" x14ac:dyDescent="0.4">
      <c r="A125" s="28">
        <f t="shared" si="3"/>
        <v>409</v>
      </c>
      <c r="B125" s="28">
        <f t="shared" si="2"/>
        <v>0.46620046620046618</v>
      </c>
      <c r="C125" s="28">
        <f>A125+$E$6</f>
        <v>431</v>
      </c>
      <c r="D125" s="28">
        <f>CEILING(C125/$H$3,1)*CEILING($H$2/$H$3,1)/CEILING($H$2/$H$3,1)</f>
        <v>2</v>
      </c>
      <c r="E125" s="28">
        <f>CEILING(C125/$H$3,1)*CEILING($H$2/$H$3,1)/CEILING(C125/$H$3,1)</f>
        <v>1</v>
      </c>
      <c r="F125" s="28">
        <f>$B$5/D125/B125*E125</f>
        <v>1.4478750000000002</v>
      </c>
    </row>
    <row r="126" spans="1:6" x14ac:dyDescent="0.4">
      <c r="A126" s="28">
        <f t="shared" si="3"/>
        <v>410</v>
      </c>
      <c r="B126" s="28">
        <f t="shared" si="2"/>
        <v>0.46511627906976744</v>
      </c>
      <c r="C126" s="28">
        <f>A126+$E$6</f>
        <v>432</v>
      </c>
      <c r="D126" s="28">
        <f>CEILING(C126/$H$3,1)*CEILING($H$2/$H$3,1)/CEILING($H$2/$H$3,1)</f>
        <v>2</v>
      </c>
      <c r="E126" s="28">
        <f>CEILING(C126/$H$3,1)*CEILING($H$2/$H$3,1)/CEILING(C126/$H$3,1)</f>
        <v>1</v>
      </c>
      <c r="F126" s="28">
        <f>$B$5/D126/B126*E126</f>
        <v>1.4512500000000002</v>
      </c>
    </row>
    <row r="127" spans="1:6" x14ac:dyDescent="0.4">
      <c r="A127" s="28">
        <f t="shared" si="3"/>
        <v>411</v>
      </c>
      <c r="B127" s="28">
        <f t="shared" si="2"/>
        <v>0.46403712296983757</v>
      </c>
      <c r="C127" s="28">
        <f>A127+$E$6</f>
        <v>433</v>
      </c>
      <c r="D127" s="28">
        <f>CEILING(C127/$H$3,1)*CEILING($H$2/$H$3,1)/CEILING($H$2/$H$3,1)</f>
        <v>2</v>
      </c>
      <c r="E127" s="28">
        <f>CEILING(C127/$H$3,1)*CEILING($H$2/$H$3,1)/CEILING(C127/$H$3,1)</f>
        <v>1</v>
      </c>
      <c r="F127" s="28">
        <f>$B$5/D127/B127*E127</f>
        <v>1.4546250000000001</v>
      </c>
    </row>
    <row r="128" spans="1:6" x14ac:dyDescent="0.4">
      <c r="A128" s="28">
        <f t="shared" si="3"/>
        <v>412</v>
      </c>
      <c r="B128" s="28">
        <f t="shared" si="2"/>
        <v>0.46296296296296297</v>
      </c>
      <c r="C128" s="28">
        <f>A128+$E$6</f>
        <v>434</v>
      </c>
      <c r="D128" s="28">
        <f>CEILING(C128/$H$3,1)*CEILING($H$2/$H$3,1)/CEILING($H$2/$H$3,1)</f>
        <v>2</v>
      </c>
      <c r="E128" s="28">
        <f>CEILING(C128/$H$3,1)*CEILING($H$2/$H$3,1)/CEILING(C128/$H$3,1)</f>
        <v>1</v>
      </c>
      <c r="F128" s="28">
        <f>$B$5/D128/B128*E128</f>
        <v>1.4580000000000002</v>
      </c>
    </row>
    <row r="129" spans="1:6" x14ac:dyDescent="0.4">
      <c r="A129" s="28">
        <f t="shared" si="3"/>
        <v>413</v>
      </c>
      <c r="B129" s="28">
        <f t="shared" si="2"/>
        <v>0.46189376443418012</v>
      </c>
      <c r="C129" s="28">
        <f>A129+$E$6</f>
        <v>435</v>
      </c>
      <c r="D129" s="28">
        <f>CEILING(C129/$H$3,1)*CEILING($H$2/$H$3,1)/CEILING($H$2/$H$3,1)</f>
        <v>2</v>
      </c>
      <c r="E129" s="28">
        <f>CEILING(C129/$H$3,1)*CEILING($H$2/$H$3,1)/CEILING(C129/$H$3,1)</f>
        <v>1</v>
      </c>
      <c r="F129" s="28">
        <f>$B$5/D129/B129*E129</f>
        <v>1.4613750000000001</v>
      </c>
    </row>
    <row r="130" spans="1:6" x14ac:dyDescent="0.4">
      <c r="A130" s="28">
        <f t="shared" si="3"/>
        <v>414</v>
      </c>
      <c r="B130" s="28">
        <f t="shared" si="2"/>
        <v>0.46082949308755761</v>
      </c>
      <c r="C130" s="28">
        <f>A130+$E$6</f>
        <v>436</v>
      </c>
      <c r="D130" s="28">
        <f>CEILING(C130/$H$3,1)*CEILING($H$2/$H$3,1)/CEILING($H$2/$H$3,1)</f>
        <v>2</v>
      </c>
      <c r="E130" s="28">
        <f>CEILING(C130/$H$3,1)*CEILING($H$2/$H$3,1)/CEILING(C130/$H$3,1)</f>
        <v>1</v>
      </c>
      <c r="F130" s="28">
        <f>$B$5/D130/B130*E130</f>
        <v>1.46475</v>
      </c>
    </row>
    <row r="131" spans="1:6" x14ac:dyDescent="0.4">
      <c r="A131" s="28">
        <f t="shared" si="3"/>
        <v>415</v>
      </c>
      <c r="B131" s="28">
        <f t="shared" si="2"/>
        <v>0.45977011494252873</v>
      </c>
      <c r="C131" s="28">
        <f>A131+$E$6</f>
        <v>437</v>
      </c>
      <c r="D131" s="28">
        <f>CEILING(C131/$H$3,1)*CEILING($H$2/$H$3,1)/CEILING($H$2/$H$3,1)</f>
        <v>2</v>
      </c>
      <c r="E131" s="28">
        <f>CEILING(C131/$H$3,1)*CEILING($H$2/$H$3,1)/CEILING(C131/$H$3,1)</f>
        <v>1</v>
      </c>
      <c r="F131" s="28">
        <f>$B$5/D131/B131*E131</f>
        <v>1.4681250000000001</v>
      </c>
    </row>
    <row r="132" spans="1:6" x14ac:dyDescent="0.4">
      <c r="A132" s="28">
        <f t="shared" si="3"/>
        <v>416</v>
      </c>
      <c r="B132" s="28">
        <f t="shared" si="2"/>
        <v>0.45871559633027525</v>
      </c>
      <c r="C132" s="28">
        <f>A132+$E$6</f>
        <v>438</v>
      </c>
      <c r="D132" s="28">
        <f>CEILING(C132/$H$3,1)*CEILING($H$2/$H$3,1)/CEILING($H$2/$H$3,1)</f>
        <v>2</v>
      </c>
      <c r="E132" s="28">
        <f>CEILING(C132/$H$3,1)*CEILING($H$2/$H$3,1)/CEILING(C132/$H$3,1)</f>
        <v>1</v>
      </c>
      <c r="F132" s="28">
        <f>$B$5/D132/B132*E132</f>
        <v>1.4715</v>
      </c>
    </row>
    <row r="133" spans="1:6" x14ac:dyDescent="0.4">
      <c r="A133" s="28">
        <f t="shared" si="3"/>
        <v>417</v>
      </c>
      <c r="B133" s="28">
        <f t="shared" si="2"/>
        <v>0.45766590389016021</v>
      </c>
      <c r="C133" s="28">
        <f>A133+$E$6</f>
        <v>439</v>
      </c>
      <c r="D133" s="28">
        <f>CEILING(C133/$H$3,1)*CEILING($H$2/$H$3,1)/CEILING($H$2/$H$3,1)</f>
        <v>2</v>
      </c>
      <c r="E133" s="28">
        <f>CEILING(C133/$H$3,1)*CEILING($H$2/$H$3,1)/CEILING(C133/$H$3,1)</f>
        <v>1</v>
      </c>
      <c r="F133" s="28">
        <f>$B$5/D133/B133*E133</f>
        <v>1.4748749999999999</v>
      </c>
    </row>
    <row r="134" spans="1:6" x14ac:dyDescent="0.4">
      <c r="A134" s="28">
        <f t="shared" si="3"/>
        <v>418</v>
      </c>
      <c r="B134" s="28">
        <f t="shared" si="2"/>
        <v>0.45662100456621002</v>
      </c>
      <c r="C134" s="28">
        <f>A134+$E$6</f>
        <v>440</v>
      </c>
      <c r="D134" s="28">
        <f>CEILING(C134/$H$3,1)*CEILING($H$2/$H$3,1)/CEILING($H$2/$H$3,1)</f>
        <v>2</v>
      </c>
      <c r="E134" s="28">
        <f>CEILING(C134/$H$3,1)*CEILING($H$2/$H$3,1)/CEILING(C134/$H$3,1)</f>
        <v>1</v>
      </c>
      <c r="F134" s="28">
        <f>$B$5/D134/B134*E134</f>
        <v>1.4782500000000003</v>
      </c>
    </row>
    <row r="135" spans="1:6" x14ac:dyDescent="0.4">
      <c r="A135" s="28">
        <f t="shared" si="3"/>
        <v>419</v>
      </c>
      <c r="B135" s="28">
        <f t="shared" si="2"/>
        <v>0.45558086560364464</v>
      </c>
      <c r="C135" s="28">
        <f>A135+$E$6</f>
        <v>441</v>
      </c>
      <c r="D135" s="28">
        <f>CEILING(C135/$H$3,1)*CEILING($H$2/$H$3,1)/CEILING($H$2/$H$3,1)</f>
        <v>2</v>
      </c>
      <c r="E135" s="28">
        <f>CEILING(C135/$H$3,1)*CEILING($H$2/$H$3,1)/CEILING(C135/$H$3,1)</f>
        <v>1</v>
      </c>
      <c r="F135" s="28">
        <f>$B$5/D135/B135*E135</f>
        <v>1.4816250000000002</v>
      </c>
    </row>
    <row r="136" spans="1:6" x14ac:dyDescent="0.4">
      <c r="A136" s="28">
        <f t="shared" si="3"/>
        <v>420</v>
      </c>
      <c r="B136" s="28">
        <f t="shared" si="2"/>
        <v>0.45454545454545453</v>
      </c>
      <c r="C136" s="28">
        <f>A136+$E$6</f>
        <v>442</v>
      </c>
      <c r="D136" s="28">
        <f>CEILING(C136/$H$3,1)*CEILING($H$2/$H$3,1)/CEILING($H$2/$H$3,1)</f>
        <v>2</v>
      </c>
      <c r="E136" s="28">
        <f>CEILING(C136/$H$3,1)*CEILING($H$2/$H$3,1)/CEILING(C136/$H$3,1)</f>
        <v>1</v>
      </c>
      <c r="F136" s="28">
        <f>$B$5/D136/B136*E136</f>
        <v>1.4850000000000001</v>
      </c>
    </row>
    <row r="137" spans="1:6" x14ac:dyDescent="0.4">
      <c r="A137" s="28">
        <f t="shared" si="3"/>
        <v>421</v>
      </c>
      <c r="B137" s="28">
        <f t="shared" si="2"/>
        <v>0.45351473922902497</v>
      </c>
      <c r="C137" s="28">
        <f>A137+$E$6</f>
        <v>443</v>
      </c>
      <c r="D137" s="28">
        <f>CEILING(C137/$H$3,1)*CEILING($H$2/$H$3,1)/CEILING($H$2/$H$3,1)</f>
        <v>2</v>
      </c>
      <c r="E137" s="28">
        <f>CEILING(C137/$H$3,1)*CEILING($H$2/$H$3,1)/CEILING(C137/$H$3,1)</f>
        <v>1</v>
      </c>
      <c r="F137" s="28">
        <f>$B$5/D137/B137*E137</f>
        <v>1.488375</v>
      </c>
    </row>
    <row r="138" spans="1:6" x14ac:dyDescent="0.4">
      <c r="A138" s="28">
        <f t="shared" si="3"/>
        <v>422</v>
      </c>
      <c r="B138" s="28">
        <f t="shared" si="2"/>
        <v>0.45248868778280543</v>
      </c>
      <c r="C138" s="28">
        <f>A138+$E$6</f>
        <v>444</v>
      </c>
      <c r="D138" s="28">
        <f>CEILING(C138/$H$3,1)*CEILING($H$2/$H$3,1)/CEILING($H$2/$H$3,1)</f>
        <v>2</v>
      </c>
      <c r="E138" s="28">
        <f>CEILING(C138/$H$3,1)*CEILING($H$2/$H$3,1)/CEILING(C138/$H$3,1)</f>
        <v>1</v>
      </c>
      <c r="F138" s="28">
        <f>$B$5/D138/B138*E138</f>
        <v>1.4917500000000001</v>
      </c>
    </row>
    <row r="139" spans="1:6" x14ac:dyDescent="0.4">
      <c r="A139" s="28">
        <f t="shared" si="3"/>
        <v>423</v>
      </c>
      <c r="B139" s="28">
        <f t="shared" ref="B139:B202" si="4">$B$4/8/(A139+$B$2)</f>
        <v>0.45146726862302483</v>
      </c>
      <c r="C139" s="28">
        <f>A139+$E$6</f>
        <v>445</v>
      </c>
      <c r="D139" s="28">
        <f>CEILING(C139/$H$3,1)*CEILING($H$2/$H$3,1)/CEILING($H$2/$H$3,1)</f>
        <v>2</v>
      </c>
      <c r="E139" s="28">
        <f>CEILING(C139/$H$3,1)*CEILING($H$2/$H$3,1)/CEILING(C139/$H$3,1)</f>
        <v>1</v>
      </c>
      <c r="F139" s="28">
        <f>$B$5/D139/B139*E139</f>
        <v>1.495125</v>
      </c>
    </row>
    <row r="140" spans="1:6" x14ac:dyDescent="0.4">
      <c r="A140" s="28">
        <f t="shared" si="3"/>
        <v>424</v>
      </c>
      <c r="B140" s="28">
        <f t="shared" si="4"/>
        <v>0.45045045045045046</v>
      </c>
      <c r="C140" s="28">
        <f>A140+$E$6</f>
        <v>446</v>
      </c>
      <c r="D140" s="28">
        <f>CEILING(C140/$H$3,1)*CEILING($H$2/$H$3,1)/CEILING($H$2/$H$3,1)</f>
        <v>2</v>
      </c>
      <c r="E140" s="28">
        <f>CEILING(C140/$H$3,1)*CEILING($H$2/$H$3,1)/CEILING(C140/$H$3,1)</f>
        <v>1</v>
      </c>
      <c r="F140" s="28">
        <f>$B$5/D140/B140*E140</f>
        <v>1.4985000000000002</v>
      </c>
    </row>
    <row r="141" spans="1:6" x14ac:dyDescent="0.4">
      <c r="A141" s="28">
        <f t="shared" ref="A141:A204" si="5">A140+$B$3</f>
        <v>425</v>
      </c>
      <c r="B141" s="28">
        <f t="shared" si="4"/>
        <v>0.449438202247191</v>
      </c>
      <c r="C141" s="28">
        <f>A141+$E$6</f>
        <v>447</v>
      </c>
      <c r="D141" s="28">
        <f>CEILING(C141/$H$3,1)*CEILING($H$2/$H$3,1)/CEILING($H$2/$H$3,1)</f>
        <v>2</v>
      </c>
      <c r="E141" s="28">
        <f>CEILING(C141/$H$3,1)*CEILING($H$2/$H$3,1)/CEILING(C141/$H$3,1)</f>
        <v>1</v>
      </c>
      <c r="F141" s="28">
        <f>$B$5/D141/B141*E141</f>
        <v>1.5018750000000001</v>
      </c>
    </row>
    <row r="142" spans="1:6" x14ac:dyDescent="0.4">
      <c r="A142" s="28">
        <f t="shared" si="5"/>
        <v>426</v>
      </c>
      <c r="B142" s="28">
        <f t="shared" si="4"/>
        <v>0.44843049327354262</v>
      </c>
      <c r="C142" s="28">
        <f>A142+$E$6</f>
        <v>448</v>
      </c>
      <c r="D142" s="28">
        <f>CEILING(C142/$H$3,1)*CEILING($H$2/$H$3,1)/CEILING($H$2/$H$3,1)</f>
        <v>2</v>
      </c>
      <c r="E142" s="28">
        <f>CEILING(C142/$H$3,1)*CEILING($H$2/$H$3,1)/CEILING(C142/$H$3,1)</f>
        <v>1</v>
      </c>
      <c r="F142" s="28">
        <f>$B$5/D142/B142*E142</f>
        <v>1.50525</v>
      </c>
    </row>
    <row r="143" spans="1:6" x14ac:dyDescent="0.4">
      <c r="A143" s="28">
        <f t="shared" si="5"/>
        <v>427</v>
      </c>
      <c r="B143" s="28">
        <f t="shared" si="4"/>
        <v>0.44742729306487694</v>
      </c>
      <c r="C143" s="28">
        <f>A143+$E$6</f>
        <v>449</v>
      </c>
      <c r="D143" s="28">
        <f>CEILING(C143/$H$3,1)*CEILING($H$2/$H$3,1)/CEILING($H$2/$H$3,1)</f>
        <v>2</v>
      </c>
      <c r="E143" s="28">
        <f>CEILING(C143/$H$3,1)*CEILING($H$2/$H$3,1)/CEILING(C143/$H$3,1)</f>
        <v>1</v>
      </c>
      <c r="F143" s="28">
        <f>$B$5/D143/B143*E143</f>
        <v>1.5086250000000001</v>
      </c>
    </row>
    <row r="144" spans="1:6" x14ac:dyDescent="0.4">
      <c r="A144" s="28">
        <f t="shared" si="5"/>
        <v>428</v>
      </c>
      <c r="B144" s="28">
        <f t="shared" si="4"/>
        <v>0.44642857142857145</v>
      </c>
      <c r="C144" s="28">
        <f>A144+$E$6</f>
        <v>450</v>
      </c>
      <c r="D144" s="28">
        <f>CEILING(C144/$H$3,1)*CEILING($H$2/$H$3,1)/CEILING($H$2/$H$3,1)</f>
        <v>2</v>
      </c>
      <c r="E144" s="28">
        <f>CEILING(C144/$H$3,1)*CEILING($H$2/$H$3,1)/CEILING(C144/$H$3,1)</f>
        <v>1</v>
      </c>
      <c r="F144" s="28">
        <f>$B$5/D144/B144*E144</f>
        <v>1.512</v>
      </c>
    </row>
    <row r="145" spans="1:6" x14ac:dyDescent="0.4">
      <c r="A145" s="28">
        <f t="shared" si="5"/>
        <v>429</v>
      </c>
      <c r="B145" s="28">
        <f t="shared" si="4"/>
        <v>0.44543429844097998</v>
      </c>
      <c r="C145" s="28">
        <f>A145+$E$6</f>
        <v>451</v>
      </c>
      <c r="D145" s="28">
        <f>CEILING(C145/$H$3,1)*CEILING($H$2/$H$3,1)/CEILING($H$2/$H$3,1)</f>
        <v>2</v>
      </c>
      <c r="E145" s="28">
        <f>CEILING(C145/$H$3,1)*CEILING($H$2/$H$3,1)/CEILING(C145/$H$3,1)</f>
        <v>1</v>
      </c>
      <c r="F145" s="28">
        <f>$B$5/D145/B145*E145</f>
        <v>1.5153749999999999</v>
      </c>
    </row>
    <row r="146" spans="1:6" x14ac:dyDescent="0.4">
      <c r="A146" s="28">
        <f t="shared" si="5"/>
        <v>430</v>
      </c>
      <c r="B146" s="28">
        <f t="shared" si="4"/>
        <v>0.44444444444444442</v>
      </c>
      <c r="C146" s="28">
        <f>A146+$E$6</f>
        <v>452</v>
      </c>
      <c r="D146" s="28">
        <f>CEILING(C146/$H$3,1)*CEILING($H$2/$H$3,1)/CEILING($H$2/$H$3,1)</f>
        <v>2</v>
      </c>
      <c r="E146" s="28">
        <f>CEILING(C146/$H$3,1)*CEILING($H$2/$H$3,1)/CEILING(C146/$H$3,1)</f>
        <v>1</v>
      </c>
      <c r="F146" s="28">
        <f>$B$5/D146/B146*E146</f>
        <v>1.5187500000000003</v>
      </c>
    </row>
    <row r="147" spans="1:6" x14ac:dyDescent="0.4">
      <c r="A147" s="28">
        <f t="shared" si="5"/>
        <v>431</v>
      </c>
      <c r="B147" s="28">
        <f t="shared" si="4"/>
        <v>0.44345898004434592</v>
      </c>
      <c r="C147" s="28">
        <f>A147+$E$6</f>
        <v>453</v>
      </c>
      <c r="D147" s="28">
        <f>CEILING(C147/$H$3,1)*CEILING($H$2/$H$3,1)/CEILING($H$2/$H$3,1)</f>
        <v>2</v>
      </c>
      <c r="E147" s="28">
        <f>CEILING(C147/$H$3,1)*CEILING($H$2/$H$3,1)/CEILING(C147/$H$3,1)</f>
        <v>1</v>
      </c>
      <c r="F147" s="28">
        <f>$B$5/D147/B147*E147</f>
        <v>1.522125</v>
      </c>
    </row>
    <row r="148" spans="1:6" x14ac:dyDescent="0.4">
      <c r="A148" s="28">
        <f t="shared" si="5"/>
        <v>432</v>
      </c>
      <c r="B148" s="28">
        <f t="shared" si="4"/>
        <v>0.44247787610619471</v>
      </c>
      <c r="C148" s="28">
        <f>A148+$E$6</f>
        <v>454</v>
      </c>
      <c r="D148" s="28">
        <f>CEILING(C148/$H$3,1)*CEILING($H$2/$H$3,1)/CEILING($H$2/$H$3,1)</f>
        <v>2</v>
      </c>
      <c r="E148" s="28">
        <f>CEILING(C148/$H$3,1)*CEILING($H$2/$H$3,1)/CEILING(C148/$H$3,1)</f>
        <v>1</v>
      </c>
      <c r="F148" s="28">
        <f>$B$5/D148/B148*E148</f>
        <v>1.5255000000000001</v>
      </c>
    </row>
    <row r="149" spans="1:6" x14ac:dyDescent="0.4">
      <c r="A149" s="28">
        <f t="shared" si="5"/>
        <v>433</v>
      </c>
      <c r="B149" s="28">
        <f t="shared" si="4"/>
        <v>0.44150110375275936</v>
      </c>
      <c r="C149" s="28">
        <f>A149+$E$6</f>
        <v>455</v>
      </c>
      <c r="D149" s="28">
        <f>CEILING(C149/$H$3,1)*CEILING($H$2/$H$3,1)/CEILING($H$2/$H$3,1)</f>
        <v>2</v>
      </c>
      <c r="E149" s="28">
        <f>CEILING(C149/$H$3,1)*CEILING($H$2/$H$3,1)/CEILING(C149/$H$3,1)</f>
        <v>1</v>
      </c>
      <c r="F149" s="28">
        <f>$B$5/D149/B149*E149</f>
        <v>1.5288750000000002</v>
      </c>
    </row>
    <row r="150" spans="1:6" x14ac:dyDescent="0.4">
      <c r="A150" s="28">
        <f t="shared" si="5"/>
        <v>434</v>
      </c>
      <c r="B150" s="28">
        <f t="shared" si="4"/>
        <v>0.44052863436123346</v>
      </c>
      <c r="C150" s="28">
        <f>A150+$E$6</f>
        <v>456</v>
      </c>
      <c r="D150" s="28">
        <f>CEILING(C150/$H$3,1)*CEILING($H$2/$H$3,1)/CEILING($H$2/$H$3,1)</f>
        <v>2</v>
      </c>
      <c r="E150" s="28">
        <f>CEILING(C150/$H$3,1)*CEILING($H$2/$H$3,1)/CEILING(C150/$H$3,1)</f>
        <v>1</v>
      </c>
      <c r="F150" s="28">
        <f>$B$5/D150/B150*E150</f>
        <v>1.5322500000000001</v>
      </c>
    </row>
    <row r="151" spans="1:6" x14ac:dyDescent="0.4">
      <c r="A151" s="28">
        <f t="shared" si="5"/>
        <v>435</v>
      </c>
      <c r="B151" s="28">
        <f t="shared" si="4"/>
        <v>0.43956043956043955</v>
      </c>
      <c r="C151" s="28">
        <f>A151+$E$6</f>
        <v>457</v>
      </c>
      <c r="D151" s="28">
        <f>CEILING(C151/$H$3,1)*CEILING($H$2/$H$3,1)/CEILING($H$2/$H$3,1)</f>
        <v>2</v>
      </c>
      <c r="E151" s="28">
        <f>CEILING(C151/$H$3,1)*CEILING($H$2/$H$3,1)/CEILING(C151/$H$3,1)</f>
        <v>1</v>
      </c>
      <c r="F151" s="28">
        <f>$B$5/D151/B151*E151</f>
        <v>1.535625</v>
      </c>
    </row>
    <row r="152" spans="1:6" x14ac:dyDescent="0.4">
      <c r="A152" s="28">
        <f t="shared" si="5"/>
        <v>436</v>
      </c>
      <c r="B152" s="28">
        <f t="shared" si="4"/>
        <v>0.43859649122807015</v>
      </c>
      <c r="C152" s="28">
        <f>A152+$E$6</f>
        <v>458</v>
      </c>
      <c r="D152" s="28">
        <f>CEILING(C152/$H$3,1)*CEILING($H$2/$H$3,1)/CEILING($H$2/$H$3,1)</f>
        <v>2</v>
      </c>
      <c r="E152" s="28">
        <f>CEILING(C152/$H$3,1)*CEILING($H$2/$H$3,1)/CEILING(C152/$H$3,1)</f>
        <v>1</v>
      </c>
      <c r="F152" s="28">
        <f>$B$5/D152/B152*E152</f>
        <v>1.5390000000000001</v>
      </c>
    </row>
    <row r="153" spans="1:6" x14ac:dyDescent="0.4">
      <c r="A153" s="28">
        <f t="shared" si="5"/>
        <v>437</v>
      </c>
      <c r="B153" s="28">
        <f t="shared" si="4"/>
        <v>0.43763676148796499</v>
      </c>
      <c r="C153" s="28">
        <f>A153+$E$6</f>
        <v>459</v>
      </c>
      <c r="D153" s="28">
        <f>CEILING(C153/$H$3,1)*CEILING($H$2/$H$3,1)/CEILING($H$2/$H$3,1)</f>
        <v>2</v>
      </c>
      <c r="E153" s="28">
        <f>CEILING(C153/$H$3,1)*CEILING($H$2/$H$3,1)/CEILING(C153/$H$3,1)</f>
        <v>1</v>
      </c>
      <c r="F153" s="28">
        <f>$B$5/D153/B153*E153</f>
        <v>1.5423750000000001</v>
      </c>
    </row>
    <row r="154" spans="1:6" x14ac:dyDescent="0.4">
      <c r="A154" s="28">
        <f t="shared" si="5"/>
        <v>438</v>
      </c>
      <c r="B154" s="28">
        <f t="shared" si="4"/>
        <v>0.4366812227074236</v>
      </c>
      <c r="C154" s="28">
        <f>A154+$E$6</f>
        <v>460</v>
      </c>
      <c r="D154" s="28">
        <f>CEILING(C154/$H$3,1)*CEILING($H$2/$H$3,1)/CEILING($H$2/$H$3,1)</f>
        <v>2</v>
      </c>
      <c r="E154" s="28">
        <f>CEILING(C154/$H$3,1)*CEILING($H$2/$H$3,1)/CEILING(C154/$H$3,1)</f>
        <v>1</v>
      </c>
      <c r="F154" s="28">
        <f>$B$5/D154/B154*E154</f>
        <v>1.54575</v>
      </c>
    </row>
    <row r="155" spans="1:6" x14ac:dyDescent="0.4">
      <c r="A155" s="28">
        <f t="shared" si="5"/>
        <v>439</v>
      </c>
      <c r="B155" s="28">
        <f t="shared" si="4"/>
        <v>0.4357298474945534</v>
      </c>
      <c r="C155" s="28">
        <f>A155+$E$6</f>
        <v>461</v>
      </c>
      <c r="D155" s="28">
        <f>CEILING(C155/$H$3,1)*CEILING($H$2/$H$3,1)/CEILING($H$2/$H$3,1)</f>
        <v>2</v>
      </c>
      <c r="E155" s="28">
        <f>CEILING(C155/$H$3,1)*CEILING($H$2/$H$3,1)/CEILING(C155/$H$3,1)</f>
        <v>1</v>
      </c>
      <c r="F155" s="28">
        <f>$B$5/D155/B155*E155</f>
        <v>1.5491250000000001</v>
      </c>
    </row>
    <row r="156" spans="1:6" x14ac:dyDescent="0.4">
      <c r="A156" s="28">
        <f t="shared" si="5"/>
        <v>440</v>
      </c>
      <c r="B156" s="28">
        <f t="shared" si="4"/>
        <v>0.43478260869565216</v>
      </c>
      <c r="C156" s="28">
        <f>A156+$E$6</f>
        <v>462</v>
      </c>
      <c r="D156" s="28">
        <f>CEILING(C156/$H$3,1)*CEILING($H$2/$H$3,1)/CEILING($H$2/$H$3,1)</f>
        <v>2</v>
      </c>
      <c r="E156" s="28">
        <f>CEILING(C156/$H$3,1)*CEILING($H$2/$H$3,1)/CEILING(C156/$H$3,1)</f>
        <v>1</v>
      </c>
      <c r="F156" s="28">
        <f>$B$5/D156/B156*E156</f>
        <v>1.5525000000000002</v>
      </c>
    </row>
    <row r="157" spans="1:6" x14ac:dyDescent="0.4">
      <c r="A157" s="28">
        <f t="shared" si="5"/>
        <v>441</v>
      </c>
      <c r="B157" s="28">
        <f t="shared" si="4"/>
        <v>0.43383947939262474</v>
      </c>
      <c r="C157" s="28">
        <f>A157+$E$6</f>
        <v>463</v>
      </c>
      <c r="D157" s="28">
        <f>CEILING(C157/$H$3,1)*CEILING($H$2/$H$3,1)/CEILING($H$2/$H$3,1)</f>
        <v>2</v>
      </c>
      <c r="E157" s="28">
        <f>CEILING(C157/$H$3,1)*CEILING($H$2/$H$3,1)/CEILING(C157/$H$3,1)</f>
        <v>1</v>
      </c>
      <c r="F157" s="28">
        <f>$B$5/D157/B157*E157</f>
        <v>1.5558750000000001</v>
      </c>
    </row>
    <row r="158" spans="1:6" x14ac:dyDescent="0.4">
      <c r="A158" s="28">
        <f t="shared" si="5"/>
        <v>442</v>
      </c>
      <c r="B158" s="28">
        <f t="shared" si="4"/>
        <v>0.4329004329004329</v>
      </c>
      <c r="C158" s="28">
        <f>A158+$E$6</f>
        <v>464</v>
      </c>
      <c r="D158" s="28">
        <f>CEILING(C158/$H$3,1)*CEILING($H$2/$H$3,1)/CEILING($H$2/$H$3,1)</f>
        <v>2</v>
      </c>
      <c r="E158" s="28">
        <f>CEILING(C158/$H$3,1)*CEILING($H$2/$H$3,1)/CEILING(C158/$H$3,1)</f>
        <v>1</v>
      </c>
      <c r="F158" s="28">
        <f>$B$5/D158/B158*E158</f>
        <v>1.55925</v>
      </c>
    </row>
    <row r="159" spans="1:6" x14ac:dyDescent="0.4">
      <c r="A159" s="28">
        <f t="shared" si="5"/>
        <v>443</v>
      </c>
      <c r="B159" s="28">
        <f t="shared" si="4"/>
        <v>0.43196544276457882</v>
      </c>
      <c r="C159" s="28">
        <f>A159+$E$6</f>
        <v>465</v>
      </c>
      <c r="D159" s="28">
        <f>CEILING(C159/$H$3,1)*CEILING($H$2/$H$3,1)/CEILING($H$2/$H$3,1)</f>
        <v>2</v>
      </c>
      <c r="E159" s="28">
        <f>CEILING(C159/$H$3,1)*CEILING($H$2/$H$3,1)/CEILING(C159/$H$3,1)</f>
        <v>1</v>
      </c>
      <c r="F159" s="28">
        <f>$B$5/D159/B159*E159</f>
        <v>1.5626250000000002</v>
      </c>
    </row>
    <row r="160" spans="1:6" x14ac:dyDescent="0.4">
      <c r="A160" s="28">
        <f t="shared" si="5"/>
        <v>444</v>
      </c>
      <c r="B160" s="28">
        <f t="shared" si="4"/>
        <v>0.43103448275862066</v>
      </c>
      <c r="C160" s="28">
        <f>A160+$E$6</f>
        <v>466</v>
      </c>
      <c r="D160" s="28">
        <f>CEILING(C160/$H$3,1)*CEILING($H$2/$H$3,1)/CEILING($H$2/$H$3,1)</f>
        <v>2</v>
      </c>
      <c r="E160" s="28">
        <f>CEILING(C160/$H$3,1)*CEILING($H$2/$H$3,1)/CEILING(C160/$H$3,1)</f>
        <v>1</v>
      </c>
      <c r="F160" s="28">
        <f>$B$5/D160/B160*E160</f>
        <v>1.5660000000000003</v>
      </c>
    </row>
    <row r="161" spans="1:6" x14ac:dyDescent="0.4">
      <c r="A161" s="28">
        <f t="shared" si="5"/>
        <v>445</v>
      </c>
      <c r="B161" s="28">
        <f t="shared" si="4"/>
        <v>0.43010752688172044</v>
      </c>
      <c r="C161" s="28">
        <f>A161+$E$6</f>
        <v>467</v>
      </c>
      <c r="D161" s="28">
        <f>CEILING(C161/$H$3,1)*CEILING($H$2/$H$3,1)/CEILING($H$2/$H$3,1)</f>
        <v>2</v>
      </c>
      <c r="E161" s="28">
        <f>CEILING(C161/$H$3,1)*CEILING($H$2/$H$3,1)/CEILING(C161/$H$3,1)</f>
        <v>1</v>
      </c>
      <c r="F161" s="28">
        <f>$B$5/D161/B161*E161</f>
        <v>1.5693750000000002</v>
      </c>
    </row>
    <row r="162" spans="1:6" x14ac:dyDescent="0.4">
      <c r="A162" s="28">
        <f t="shared" si="5"/>
        <v>446</v>
      </c>
      <c r="B162" s="28">
        <f t="shared" si="4"/>
        <v>0.42918454935622319</v>
      </c>
      <c r="C162" s="28">
        <f>A162+$E$6</f>
        <v>468</v>
      </c>
      <c r="D162" s="28">
        <f>CEILING(C162/$H$3,1)*CEILING($H$2/$H$3,1)/CEILING($H$2/$H$3,1)</f>
        <v>2</v>
      </c>
      <c r="E162" s="28">
        <f>CEILING(C162/$H$3,1)*CEILING($H$2/$H$3,1)/CEILING(C162/$H$3,1)</f>
        <v>1</v>
      </c>
      <c r="F162" s="28">
        <f>$B$5/D162/B162*E162</f>
        <v>1.5727500000000001</v>
      </c>
    </row>
    <row r="163" spans="1:6" x14ac:dyDescent="0.4">
      <c r="A163" s="28">
        <f t="shared" si="5"/>
        <v>447</v>
      </c>
      <c r="B163" s="28">
        <f t="shared" si="4"/>
        <v>0.42826552462526768</v>
      </c>
      <c r="C163" s="28">
        <f>A163+$E$6</f>
        <v>469</v>
      </c>
      <c r="D163" s="28">
        <f>CEILING(C163/$H$3,1)*CEILING($H$2/$H$3,1)/CEILING($H$2/$H$3,1)</f>
        <v>2</v>
      </c>
      <c r="E163" s="28">
        <f>CEILING(C163/$H$3,1)*CEILING($H$2/$H$3,1)/CEILING(C163/$H$3,1)</f>
        <v>1</v>
      </c>
      <c r="F163" s="28">
        <f>$B$5/D163/B163*E163</f>
        <v>1.576125</v>
      </c>
    </row>
    <row r="164" spans="1:6" x14ac:dyDescent="0.4">
      <c r="A164" s="28">
        <f t="shared" si="5"/>
        <v>448</v>
      </c>
      <c r="B164" s="28">
        <f t="shared" si="4"/>
        <v>0.42735042735042733</v>
      </c>
      <c r="C164" s="28">
        <f>A164+$E$6</f>
        <v>470</v>
      </c>
      <c r="D164" s="28">
        <f>CEILING(C164/$H$3,1)*CEILING($H$2/$H$3,1)/CEILING($H$2/$H$3,1)</f>
        <v>2</v>
      </c>
      <c r="E164" s="28">
        <f>CEILING(C164/$H$3,1)*CEILING($H$2/$H$3,1)/CEILING(C164/$H$3,1)</f>
        <v>1</v>
      </c>
      <c r="F164" s="28">
        <f>$B$5/D164/B164*E164</f>
        <v>1.5795000000000001</v>
      </c>
    </row>
    <row r="165" spans="1:6" x14ac:dyDescent="0.4">
      <c r="A165" s="28">
        <f t="shared" si="5"/>
        <v>449</v>
      </c>
      <c r="B165" s="28">
        <f t="shared" si="4"/>
        <v>0.42643923240938164</v>
      </c>
      <c r="C165" s="28">
        <f>A165+$E$6</f>
        <v>471</v>
      </c>
      <c r="D165" s="28">
        <f>CEILING(C165/$H$3,1)*CEILING($H$2/$H$3,1)/CEILING($H$2/$H$3,1)</f>
        <v>2</v>
      </c>
      <c r="E165" s="28">
        <f>CEILING(C165/$H$3,1)*CEILING($H$2/$H$3,1)/CEILING(C165/$H$3,1)</f>
        <v>1</v>
      </c>
      <c r="F165" s="28">
        <f>$B$5/D165/B165*E165</f>
        <v>1.5828750000000003</v>
      </c>
    </row>
    <row r="166" spans="1:6" x14ac:dyDescent="0.4">
      <c r="A166" s="28">
        <f t="shared" si="5"/>
        <v>450</v>
      </c>
      <c r="B166" s="28">
        <f t="shared" si="4"/>
        <v>0.42553191489361702</v>
      </c>
      <c r="C166" s="28">
        <f>A166+$E$6</f>
        <v>472</v>
      </c>
      <c r="D166" s="28">
        <f>CEILING(C166/$H$3,1)*CEILING($H$2/$H$3,1)/CEILING($H$2/$H$3,1)</f>
        <v>2</v>
      </c>
      <c r="E166" s="28">
        <f>CEILING(C166/$H$3,1)*CEILING($H$2/$H$3,1)/CEILING(C166/$H$3,1)</f>
        <v>1</v>
      </c>
      <c r="F166" s="28">
        <f>$B$5/D166/B166*E166</f>
        <v>1.5862500000000002</v>
      </c>
    </row>
    <row r="167" spans="1:6" x14ac:dyDescent="0.4">
      <c r="A167" s="28">
        <f t="shared" si="5"/>
        <v>451</v>
      </c>
      <c r="B167" s="28">
        <f t="shared" si="4"/>
        <v>0.42462845010615713</v>
      </c>
      <c r="C167" s="28">
        <f>A167+$E$6</f>
        <v>473</v>
      </c>
      <c r="D167" s="28">
        <f>CEILING(C167/$H$3,1)*CEILING($H$2/$H$3,1)/CEILING($H$2/$H$3,1)</f>
        <v>2</v>
      </c>
      <c r="E167" s="28">
        <f>CEILING(C167/$H$3,1)*CEILING($H$2/$H$3,1)/CEILING(C167/$H$3,1)</f>
        <v>1</v>
      </c>
      <c r="F167" s="28">
        <f>$B$5/D167/B167*E167</f>
        <v>1.5896250000000001</v>
      </c>
    </row>
    <row r="168" spans="1:6" x14ac:dyDescent="0.4">
      <c r="A168" s="28">
        <f t="shared" si="5"/>
        <v>452</v>
      </c>
      <c r="B168" s="28">
        <f t="shared" si="4"/>
        <v>0.42372881355932202</v>
      </c>
      <c r="C168" s="28">
        <f>A168+$E$6</f>
        <v>474</v>
      </c>
      <c r="D168" s="28">
        <f>CEILING(C168/$H$3,1)*CEILING($H$2/$H$3,1)/CEILING($H$2/$H$3,1)</f>
        <v>2</v>
      </c>
      <c r="E168" s="28">
        <f>CEILING(C168/$H$3,1)*CEILING($H$2/$H$3,1)/CEILING(C168/$H$3,1)</f>
        <v>1</v>
      </c>
      <c r="F168" s="28">
        <f>$B$5/D168/B168*E168</f>
        <v>1.5930000000000002</v>
      </c>
    </row>
    <row r="169" spans="1:6" x14ac:dyDescent="0.4">
      <c r="A169" s="28">
        <f t="shared" si="5"/>
        <v>453</v>
      </c>
      <c r="B169" s="28">
        <f t="shared" si="4"/>
        <v>0.42283298097251587</v>
      </c>
      <c r="C169" s="28">
        <f>A169+$E$6</f>
        <v>475</v>
      </c>
      <c r="D169" s="28">
        <f>CEILING(C169/$H$3,1)*CEILING($H$2/$H$3,1)/CEILING($H$2/$H$3,1)</f>
        <v>2</v>
      </c>
      <c r="E169" s="28">
        <f>CEILING(C169/$H$3,1)*CEILING($H$2/$H$3,1)/CEILING(C169/$H$3,1)</f>
        <v>1</v>
      </c>
      <c r="F169" s="28">
        <f>$B$5/D169/B169*E169</f>
        <v>1.5963750000000001</v>
      </c>
    </row>
    <row r="170" spans="1:6" x14ac:dyDescent="0.4">
      <c r="A170" s="28">
        <f t="shared" si="5"/>
        <v>454</v>
      </c>
      <c r="B170" s="28">
        <f t="shared" si="4"/>
        <v>0.4219409282700422</v>
      </c>
      <c r="C170" s="28">
        <f>A170+$E$6</f>
        <v>476</v>
      </c>
      <c r="D170" s="28">
        <f>CEILING(C170/$H$3,1)*CEILING($H$2/$H$3,1)/CEILING($H$2/$H$3,1)</f>
        <v>2</v>
      </c>
      <c r="E170" s="28">
        <f>CEILING(C170/$H$3,1)*CEILING($H$2/$H$3,1)/CEILING(C170/$H$3,1)</f>
        <v>1</v>
      </c>
      <c r="F170" s="28">
        <f>$B$5/D170/B170*E170</f>
        <v>1.59975</v>
      </c>
    </row>
    <row r="171" spans="1:6" x14ac:dyDescent="0.4">
      <c r="A171" s="28">
        <f t="shared" si="5"/>
        <v>455</v>
      </c>
      <c r="B171" s="28">
        <f t="shared" si="4"/>
        <v>0.42105263157894735</v>
      </c>
      <c r="C171" s="28">
        <f>A171+$E$6</f>
        <v>477</v>
      </c>
      <c r="D171" s="28">
        <f>CEILING(C171/$H$3,1)*CEILING($H$2/$H$3,1)/CEILING($H$2/$H$3,1)</f>
        <v>2</v>
      </c>
      <c r="E171" s="28">
        <f>CEILING(C171/$H$3,1)*CEILING($H$2/$H$3,1)/CEILING(C171/$H$3,1)</f>
        <v>1</v>
      </c>
      <c r="F171" s="28">
        <f>$B$5/D171/B171*E171</f>
        <v>1.6031250000000001</v>
      </c>
    </row>
    <row r="172" spans="1:6" x14ac:dyDescent="0.4">
      <c r="A172" s="28">
        <f t="shared" si="5"/>
        <v>456</v>
      </c>
      <c r="B172" s="28">
        <f t="shared" si="4"/>
        <v>0.42016806722689076</v>
      </c>
      <c r="C172" s="28">
        <f>A172+$E$6</f>
        <v>478</v>
      </c>
      <c r="D172" s="28">
        <f>CEILING(C172/$H$3,1)*CEILING($H$2/$H$3,1)/CEILING($H$2/$H$3,1)</f>
        <v>2</v>
      </c>
      <c r="E172" s="28">
        <f>CEILING(C172/$H$3,1)*CEILING($H$2/$H$3,1)/CEILING(C172/$H$3,1)</f>
        <v>1</v>
      </c>
      <c r="F172" s="28">
        <f>$B$5/D172/B172*E172</f>
        <v>1.6065</v>
      </c>
    </row>
    <row r="173" spans="1:6" x14ac:dyDescent="0.4">
      <c r="A173" s="28">
        <f t="shared" si="5"/>
        <v>457</v>
      </c>
      <c r="B173" s="28">
        <f t="shared" si="4"/>
        <v>0.41928721174004191</v>
      </c>
      <c r="C173" s="28">
        <f>A173+$E$6</f>
        <v>479</v>
      </c>
      <c r="D173" s="28">
        <f>CEILING(C173/$H$3,1)*CEILING($H$2/$H$3,1)/CEILING($H$2/$H$3,1)</f>
        <v>2</v>
      </c>
      <c r="E173" s="28">
        <f>CEILING(C173/$H$3,1)*CEILING($H$2/$H$3,1)/CEILING(C173/$H$3,1)</f>
        <v>1</v>
      </c>
      <c r="F173" s="28">
        <f>$B$5/D173/B173*E173</f>
        <v>1.6098750000000002</v>
      </c>
    </row>
    <row r="174" spans="1:6" x14ac:dyDescent="0.4">
      <c r="A174" s="28">
        <f t="shared" si="5"/>
        <v>458</v>
      </c>
      <c r="B174" s="28">
        <f t="shared" si="4"/>
        <v>0.41841004184100417</v>
      </c>
      <c r="C174" s="28">
        <f>A174+$E$6</f>
        <v>480</v>
      </c>
      <c r="D174" s="28">
        <f>CEILING(C174/$H$3,1)*CEILING($H$2/$H$3,1)/CEILING($H$2/$H$3,1)</f>
        <v>2</v>
      </c>
      <c r="E174" s="28">
        <f>CEILING(C174/$H$3,1)*CEILING($H$2/$H$3,1)/CEILING(C174/$H$3,1)</f>
        <v>1</v>
      </c>
      <c r="F174" s="28">
        <f>$B$5/D174/B174*E174</f>
        <v>1.6132500000000001</v>
      </c>
    </row>
    <row r="175" spans="1:6" x14ac:dyDescent="0.4">
      <c r="A175" s="28">
        <f t="shared" si="5"/>
        <v>459</v>
      </c>
      <c r="B175" s="28">
        <f t="shared" si="4"/>
        <v>0.41753653444676408</v>
      </c>
      <c r="C175" s="28">
        <f>A175+$E$6</f>
        <v>481</v>
      </c>
      <c r="D175" s="28">
        <f>CEILING(C175/$H$3,1)*CEILING($H$2/$H$3,1)/CEILING($H$2/$H$3,1)</f>
        <v>2</v>
      </c>
      <c r="E175" s="28">
        <f>CEILING(C175/$H$3,1)*CEILING($H$2/$H$3,1)/CEILING(C175/$H$3,1)</f>
        <v>1</v>
      </c>
      <c r="F175" s="28">
        <f>$B$5/D175/B175*E175</f>
        <v>1.6166250000000002</v>
      </c>
    </row>
    <row r="176" spans="1:6" x14ac:dyDescent="0.4">
      <c r="A176" s="28">
        <f t="shared" si="5"/>
        <v>460</v>
      </c>
      <c r="B176" s="28">
        <f t="shared" si="4"/>
        <v>0.41666666666666669</v>
      </c>
      <c r="C176" s="28">
        <f>A176+$E$6</f>
        <v>482</v>
      </c>
      <c r="D176" s="28">
        <f>CEILING(C176/$H$3,1)*CEILING($H$2/$H$3,1)/CEILING($H$2/$H$3,1)</f>
        <v>2</v>
      </c>
      <c r="E176" s="28">
        <f>CEILING(C176/$H$3,1)*CEILING($H$2/$H$3,1)/CEILING(C176/$H$3,1)</f>
        <v>1</v>
      </c>
      <c r="F176" s="28">
        <f>$B$5/D176/B176*E176</f>
        <v>1.62</v>
      </c>
    </row>
    <row r="177" spans="1:6" x14ac:dyDescent="0.4">
      <c r="A177" s="28">
        <f t="shared" si="5"/>
        <v>461</v>
      </c>
      <c r="B177" s="28">
        <f t="shared" si="4"/>
        <v>0.41580041580041582</v>
      </c>
      <c r="C177" s="28">
        <f>A177+$E$6</f>
        <v>483</v>
      </c>
      <c r="D177" s="28">
        <f>CEILING(C177/$H$3,1)*CEILING($H$2/$H$3,1)/CEILING($H$2/$H$3,1)</f>
        <v>2</v>
      </c>
      <c r="E177" s="28">
        <f>CEILING(C177/$H$3,1)*CEILING($H$2/$H$3,1)/CEILING(C177/$H$3,1)</f>
        <v>1</v>
      </c>
      <c r="F177" s="28">
        <f>$B$5/D177/B177*E177</f>
        <v>1.623375</v>
      </c>
    </row>
    <row r="178" spans="1:6" x14ac:dyDescent="0.4">
      <c r="A178" s="28">
        <f t="shared" si="5"/>
        <v>462</v>
      </c>
      <c r="B178" s="28">
        <f t="shared" si="4"/>
        <v>0.41493775933609961</v>
      </c>
      <c r="C178" s="28">
        <f>A178+$E$6</f>
        <v>484</v>
      </c>
      <c r="D178" s="28">
        <f>CEILING(C178/$H$3,1)*CEILING($H$2/$H$3,1)/CEILING($H$2/$H$3,1)</f>
        <v>2</v>
      </c>
      <c r="E178" s="28">
        <f>CEILING(C178/$H$3,1)*CEILING($H$2/$H$3,1)/CEILING(C178/$H$3,1)</f>
        <v>1</v>
      </c>
      <c r="F178" s="28">
        <f>$B$5/D178/B178*E178</f>
        <v>1.6267499999999999</v>
      </c>
    </row>
    <row r="179" spans="1:6" x14ac:dyDescent="0.4">
      <c r="A179" s="28">
        <f t="shared" si="5"/>
        <v>463</v>
      </c>
      <c r="B179" s="28">
        <f t="shared" si="4"/>
        <v>0.41407867494824019</v>
      </c>
      <c r="C179" s="28">
        <f>A179+$E$6</f>
        <v>485</v>
      </c>
      <c r="D179" s="28">
        <f>CEILING(C179/$H$3,1)*CEILING($H$2/$H$3,1)/CEILING($H$2/$H$3,1)</f>
        <v>2</v>
      </c>
      <c r="E179" s="28">
        <f>CEILING(C179/$H$3,1)*CEILING($H$2/$H$3,1)/CEILING(C179/$H$3,1)</f>
        <v>1</v>
      </c>
      <c r="F179" s="28">
        <f>$B$5/D179/B179*E179</f>
        <v>1.630125</v>
      </c>
    </row>
    <row r="180" spans="1:6" x14ac:dyDescent="0.4">
      <c r="A180" s="28">
        <f t="shared" si="5"/>
        <v>464</v>
      </c>
      <c r="B180" s="28">
        <f t="shared" si="4"/>
        <v>0.41322314049586778</v>
      </c>
      <c r="C180" s="28">
        <f>A180+$E$6</f>
        <v>486</v>
      </c>
      <c r="D180" s="28">
        <f>CEILING(C180/$H$3,1)*CEILING($H$2/$H$3,1)/CEILING($H$2/$H$3,1)</f>
        <v>2</v>
      </c>
      <c r="E180" s="28">
        <f>CEILING(C180/$H$3,1)*CEILING($H$2/$H$3,1)/CEILING(C180/$H$3,1)</f>
        <v>1</v>
      </c>
      <c r="F180" s="28">
        <f>$B$5/D180/B180*E180</f>
        <v>1.6335</v>
      </c>
    </row>
    <row r="181" spans="1:6" x14ac:dyDescent="0.4">
      <c r="A181" s="28">
        <f t="shared" si="5"/>
        <v>465</v>
      </c>
      <c r="B181" s="28">
        <f t="shared" si="4"/>
        <v>0.41237113402061853</v>
      </c>
      <c r="C181" s="28">
        <f>A181+$E$6</f>
        <v>487</v>
      </c>
      <c r="D181" s="28">
        <f>CEILING(C181/$H$3,1)*CEILING($H$2/$H$3,1)/CEILING($H$2/$H$3,1)</f>
        <v>2</v>
      </c>
      <c r="E181" s="28">
        <f>CEILING(C181/$H$3,1)*CEILING($H$2/$H$3,1)/CEILING(C181/$H$3,1)</f>
        <v>1</v>
      </c>
      <c r="F181" s="28">
        <f>$B$5/D181/B181*E181</f>
        <v>1.6368750000000003</v>
      </c>
    </row>
    <row r="182" spans="1:6" x14ac:dyDescent="0.4">
      <c r="A182" s="28">
        <f t="shared" si="5"/>
        <v>466</v>
      </c>
      <c r="B182" s="28">
        <f t="shared" si="4"/>
        <v>0.41152263374485598</v>
      </c>
      <c r="C182" s="28">
        <f>A182+$E$6</f>
        <v>488</v>
      </c>
      <c r="D182" s="28">
        <f>CEILING(C182/$H$3,1)*CEILING($H$2/$H$3,1)/CEILING($H$2/$H$3,1)</f>
        <v>2</v>
      </c>
      <c r="E182" s="28">
        <f>CEILING(C182/$H$3,1)*CEILING($H$2/$H$3,1)/CEILING(C182/$H$3,1)</f>
        <v>1</v>
      </c>
      <c r="F182" s="28">
        <f>$B$5/D182/B182*E182</f>
        <v>1.64025</v>
      </c>
    </row>
    <row r="183" spans="1:6" x14ac:dyDescent="0.4">
      <c r="A183" s="28">
        <f t="shared" si="5"/>
        <v>467</v>
      </c>
      <c r="B183" s="28">
        <f t="shared" si="4"/>
        <v>0.41067761806981518</v>
      </c>
      <c r="C183" s="28">
        <f>A183+$E$6</f>
        <v>489</v>
      </c>
      <c r="D183" s="28">
        <f>CEILING(C183/$H$3,1)*CEILING($H$2/$H$3,1)/CEILING($H$2/$H$3,1)</f>
        <v>2</v>
      </c>
      <c r="E183" s="28">
        <f>CEILING(C183/$H$3,1)*CEILING($H$2/$H$3,1)/CEILING(C183/$H$3,1)</f>
        <v>1</v>
      </c>
      <c r="F183" s="28">
        <f>$B$5/D183/B183*E183</f>
        <v>1.6436250000000001</v>
      </c>
    </row>
    <row r="184" spans="1:6" x14ac:dyDescent="0.4">
      <c r="A184" s="28">
        <f t="shared" si="5"/>
        <v>468</v>
      </c>
      <c r="B184" s="28">
        <f t="shared" si="4"/>
        <v>0.4098360655737705</v>
      </c>
      <c r="C184" s="28">
        <f>A184+$E$6</f>
        <v>490</v>
      </c>
      <c r="D184" s="28">
        <f>CEILING(C184/$H$3,1)*CEILING($H$2/$H$3,1)/CEILING($H$2/$H$3,1)</f>
        <v>2</v>
      </c>
      <c r="E184" s="28">
        <f>CEILING(C184/$H$3,1)*CEILING($H$2/$H$3,1)/CEILING(C184/$H$3,1)</f>
        <v>1</v>
      </c>
      <c r="F184" s="28">
        <f>$B$5/D184/B184*E184</f>
        <v>1.647</v>
      </c>
    </row>
    <row r="185" spans="1:6" x14ac:dyDescent="0.4">
      <c r="A185" s="28">
        <f t="shared" si="5"/>
        <v>469</v>
      </c>
      <c r="B185" s="28">
        <f t="shared" si="4"/>
        <v>0.40899795501022496</v>
      </c>
      <c r="C185" s="28">
        <f>A185+$E$6</f>
        <v>491</v>
      </c>
      <c r="D185" s="28">
        <f>CEILING(C185/$H$3,1)*CEILING($H$2/$H$3,1)/CEILING($H$2/$H$3,1)</f>
        <v>2</v>
      </c>
      <c r="E185" s="28">
        <f>CEILING(C185/$H$3,1)*CEILING($H$2/$H$3,1)/CEILING(C185/$H$3,1)</f>
        <v>1</v>
      </c>
      <c r="F185" s="28">
        <f>$B$5/D185/B185*E185</f>
        <v>1.6503750000000001</v>
      </c>
    </row>
    <row r="186" spans="1:6" x14ac:dyDescent="0.4">
      <c r="A186" s="28">
        <f t="shared" si="5"/>
        <v>470</v>
      </c>
      <c r="B186" s="28">
        <f t="shared" si="4"/>
        <v>0.40816326530612246</v>
      </c>
      <c r="C186" s="28">
        <f>A186+$E$6</f>
        <v>492</v>
      </c>
      <c r="D186" s="28">
        <f>CEILING(C186/$H$3,1)*CEILING($H$2/$H$3,1)/CEILING($H$2/$H$3,1)</f>
        <v>2</v>
      </c>
      <c r="E186" s="28">
        <f>CEILING(C186/$H$3,1)*CEILING($H$2/$H$3,1)/CEILING(C186/$H$3,1)</f>
        <v>1</v>
      </c>
      <c r="F186" s="28">
        <f>$B$5/D186/B186*E186</f>
        <v>1.6537500000000001</v>
      </c>
    </row>
    <row r="187" spans="1:6" x14ac:dyDescent="0.4">
      <c r="A187" s="28">
        <f t="shared" si="5"/>
        <v>471</v>
      </c>
      <c r="B187" s="28">
        <f t="shared" si="4"/>
        <v>0.40733197556008149</v>
      </c>
      <c r="C187" s="28">
        <f>A187+$E$6</f>
        <v>493</v>
      </c>
      <c r="D187" s="28">
        <f>CEILING(C187/$H$3,1)*CEILING($H$2/$H$3,1)/CEILING($H$2/$H$3,1)</f>
        <v>2</v>
      </c>
      <c r="E187" s="28">
        <f>CEILING(C187/$H$3,1)*CEILING($H$2/$H$3,1)/CEILING(C187/$H$3,1)</f>
        <v>1</v>
      </c>
      <c r="F187" s="28">
        <f>$B$5/D187/B187*E187</f>
        <v>1.657125</v>
      </c>
    </row>
    <row r="188" spans="1:6" x14ac:dyDescent="0.4">
      <c r="A188" s="28">
        <f t="shared" si="5"/>
        <v>472</v>
      </c>
      <c r="B188" s="28">
        <f t="shared" si="4"/>
        <v>0.4065040650406504</v>
      </c>
      <c r="C188" s="28">
        <f>A188+$E$6</f>
        <v>494</v>
      </c>
      <c r="D188" s="28">
        <f>CEILING(C188/$H$3,1)*CEILING($H$2/$H$3,1)/CEILING($H$2/$H$3,1)</f>
        <v>2</v>
      </c>
      <c r="E188" s="28">
        <f>CEILING(C188/$H$3,1)*CEILING($H$2/$H$3,1)/CEILING(C188/$H$3,1)</f>
        <v>1</v>
      </c>
      <c r="F188" s="28">
        <f>$B$5/D188/B188*E188</f>
        <v>1.6605000000000001</v>
      </c>
    </row>
    <row r="189" spans="1:6" x14ac:dyDescent="0.4">
      <c r="A189" s="28">
        <f t="shared" si="5"/>
        <v>473</v>
      </c>
      <c r="B189" s="28">
        <f t="shared" si="4"/>
        <v>0.40567951318458417</v>
      </c>
      <c r="C189" s="28">
        <f>A189+$E$6</f>
        <v>495</v>
      </c>
      <c r="D189" s="28">
        <f>CEILING(C189/$H$3,1)*CEILING($H$2/$H$3,1)/CEILING($H$2/$H$3,1)</f>
        <v>2</v>
      </c>
      <c r="E189" s="28">
        <f>CEILING(C189/$H$3,1)*CEILING($H$2/$H$3,1)/CEILING(C189/$H$3,1)</f>
        <v>1</v>
      </c>
      <c r="F189" s="28">
        <f>$B$5/D189/B189*E189</f>
        <v>1.6638750000000002</v>
      </c>
    </row>
    <row r="190" spans="1:6" x14ac:dyDescent="0.4">
      <c r="A190" s="28">
        <f t="shared" si="5"/>
        <v>474</v>
      </c>
      <c r="B190" s="28">
        <f t="shared" si="4"/>
        <v>0.40485829959514169</v>
      </c>
      <c r="C190" s="28">
        <f>A190+$E$6</f>
        <v>496</v>
      </c>
      <c r="D190" s="28">
        <f>CEILING(C190/$H$3,1)*CEILING($H$2/$H$3,1)/CEILING($H$2/$H$3,1)</f>
        <v>2</v>
      </c>
      <c r="E190" s="28">
        <f>CEILING(C190/$H$3,1)*CEILING($H$2/$H$3,1)/CEILING(C190/$H$3,1)</f>
        <v>1</v>
      </c>
      <c r="F190" s="28">
        <f>$B$5/D190/B190*E190</f>
        <v>1.6672500000000001</v>
      </c>
    </row>
    <row r="191" spans="1:6" x14ac:dyDescent="0.4">
      <c r="A191" s="28">
        <f t="shared" si="5"/>
        <v>475</v>
      </c>
      <c r="B191" s="28">
        <f t="shared" si="4"/>
        <v>0.40404040404040403</v>
      </c>
      <c r="C191" s="28">
        <f>A191+$E$6</f>
        <v>497</v>
      </c>
      <c r="D191" s="28">
        <f>CEILING(C191/$H$3,1)*CEILING($H$2/$H$3,1)/CEILING($H$2/$H$3,1)</f>
        <v>2</v>
      </c>
      <c r="E191" s="28">
        <f>CEILING(C191/$H$3,1)*CEILING($H$2/$H$3,1)/CEILING(C191/$H$3,1)</f>
        <v>1</v>
      </c>
      <c r="F191" s="28">
        <f>$B$5/D191/B191*E191</f>
        <v>1.6706250000000002</v>
      </c>
    </row>
    <row r="192" spans="1:6" x14ac:dyDescent="0.4">
      <c r="A192" s="28">
        <f t="shared" si="5"/>
        <v>476</v>
      </c>
      <c r="B192" s="28">
        <f t="shared" si="4"/>
        <v>0.40322580645161288</v>
      </c>
      <c r="C192" s="28">
        <f>A192+$E$6</f>
        <v>498</v>
      </c>
      <c r="D192" s="28">
        <f>CEILING(C192/$H$3,1)*CEILING($H$2/$H$3,1)/CEILING($H$2/$H$3,1)</f>
        <v>2</v>
      </c>
      <c r="E192" s="28">
        <f>CEILING(C192/$H$3,1)*CEILING($H$2/$H$3,1)/CEILING(C192/$H$3,1)</f>
        <v>1</v>
      </c>
      <c r="F192" s="28">
        <f>$B$5/D192/B192*E192</f>
        <v>1.6740000000000002</v>
      </c>
    </row>
    <row r="193" spans="1:6" x14ac:dyDescent="0.4">
      <c r="A193" s="28">
        <f t="shared" si="5"/>
        <v>477</v>
      </c>
      <c r="B193" s="28">
        <f t="shared" si="4"/>
        <v>0.4024144869215292</v>
      </c>
      <c r="C193" s="28">
        <f>A193+$E$6</f>
        <v>499</v>
      </c>
      <c r="D193" s="28">
        <f>CEILING(C193/$H$3,1)*CEILING($H$2/$H$3,1)/CEILING($H$2/$H$3,1)</f>
        <v>2</v>
      </c>
      <c r="E193" s="28">
        <f>CEILING(C193/$H$3,1)*CEILING($H$2/$H$3,1)/CEILING(C193/$H$3,1)</f>
        <v>1</v>
      </c>
      <c r="F193" s="28">
        <f>$B$5/D193/B193*E193</f>
        <v>1.6773750000000001</v>
      </c>
    </row>
    <row r="194" spans="1:6" x14ac:dyDescent="0.4">
      <c r="A194" s="28">
        <f t="shared" si="5"/>
        <v>478</v>
      </c>
      <c r="B194" s="28">
        <f t="shared" si="4"/>
        <v>0.40160642570281124</v>
      </c>
      <c r="C194" s="28">
        <f>A194+$E$6</f>
        <v>500</v>
      </c>
      <c r="D194" s="28">
        <f>CEILING(C194/$H$3,1)*CEILING($H$2/$H$3,1)/CEILING($H$2/$H$3,1)</f>
        <v>2</v>
      </c>
      <c r="E194" s="28">
        <f>CEILING(C194/$H$3,1)*CEILING($H$2/$H$3,1)/CEILING(C194/$H$3,1)</f>
        <v>1</v>
      </c>
      <c r="F194" s="28">
        <f>$B$5/D194/B194*E194</f>
        <v>1.6807500000000002</v>
      </c>
    </row>
    <row r="195" spans="1:6" x14ac:dyDescent="0.4">
      <c r="A195" s="28">
        <f t="shared" si="5"/>
        <v>479</v>
      </c>
      <c r="B195" s="28">
        <f t="shared" si="4"/>
        <v>0.40080160320641284</v>
      </c>
      <c r="C195" s="28">
        <f>A195+$E$6</f>
        <v>501</v>
      </c>
      <c r="D195" s="28">
        <f>CEILING(C195/$H$3,1)*CEILING($H$2/$H$3,1)/CEILING($H$2/$H$3,1)</f>
        <v>2</v>
      </c>
      <c r="E195" s="28">
        <f>CEILING(C195/$H$3,1)*CEILING($H$2/$H$3,1)/CEILING(C195/$H$3,1)</f>
        <v>1</v>
      </c>
      <c r="F195" s="28">
        <f>$B$5/D195/B195*E195</f>
        <v>1.6841250000000001</v>
      </c>
    </row>
    <row r="196" spans="1:6" x14ac:dyDescent="0.4">
      <c r="A196" s="28">
        <f t="shared" si="5"/>
        <v>480</v>
      </c>
      <c r="B196" s="28">
        <f t="shared" si="4"/>
        <v>0.4</v>
      </c>
      <c r="C196" s="28">
        <f>A196+$E$6</f>
        <v>502</v>
      </c>
      <c r="D196" s="28">
        <f>CEILING(C196/$H$3,1)*CEILING($H$2/$H$3,1)/CEILING($H$2/$H$3,1)</f>
        <v>2</v>
      </c>
      <c r="E196" s="28">
        <f>CEILING(C196/$H$3,1)*CEILING($H$2/$H$3,1)/CEILING(C196/$H$3,1)</f>
        <v>1</v>
      </c>
      <c r="F196" s="28">
        <f>$B$5/D196/B196*E196</f>
        <v>1.6875</v>
      </c>
    </row>
    <row r="197" spans="1:6" x14ac:dyDescent="0.4">
      <c r="A197" s="28">
        <f t="shared" si="5"/>
        <v>481</v>
      </c>
      <c r="B197" s="28">
        <f t="shared" si="4"/>
        <v>0.39920159680638723</v>
      </c>
      <c r="C197" s="28">
        <f>A197+$E$6</f>
        <v>503</v>
      </c>
      <c r="D197" s="28">
        <f>CEILING(C197/$H$3,1)*CEILING($H$2/$H$3,1)/CEILING($H$2/$H$3,1)</f>
        <v>2</v>
      </c>
      <c r="E197" s="28">
        <f>CEILING(C197/$H$3,1)*CEILING($H$2/$H$3,1)/CEILING(C197/$H$3,1)</f>
        <v>1</v>
      </c>
      <c r="F197" s="28">
        <f>$B$5/D197/B197*E197</f>
        <v>1.6908750000000001</v>
      </c>
    </row>
    <row r="198" spans="1:6" x14ac:dyDescent="0.4">
      <c r="A198" s="28">
        <f t="shared" si="5"/>
        <v>482</v>
      </c>
      <c r="B198" s="28">
        <f t="shared" si="4"/>
        <v>0.39840637450199201</v>
      </c>
      <c r="C198" s="28">
        <f>A198+$E$6</f>
        <v>504</v>
      </c>
      <c r="D198" s="28">
        <f>CEILING(C198/$H$3,1)*CEILING($H$2/$H$3,1)/CEILING($H$2/$H$3,1)</f>
        <v>2</v>
      </c>
      <c r="E198" s="28">
        <f>CEILING(C198/$H$3,1)*CEILING($H$2/$H$3,1)/CEILING(C198/$H$3,1)</f>
        <v>1</v>
      </c>
      <c r="F198" s="28">
        <f>$B$5/D198/B198*E198</f>
        <v>1.6942500000000003</v>
      </c>
    </row>
    <row r="199" spans="1:6" x14ac:dyDescent="0.4">
      <c r="A199" s="28">
        <f t="shared" si="5"/>
        <v>483</v>
      </c>
      <c r="B199" s="28">
        <f t="shared" si="4"/>
        <v>0.39761431411530818</v>
      </c>
      <c r="C199" s="28">
        <f>A199+$E$6</f>
        <v>505</v>
      </c>
      <c r="D199" s="28">
        <f>CEILING(C199/$H$3,1)*CEILING($H$2/$H$3,1)/CEILING($H$2/$H$3,1)</f>
        <v>2</v>
      </c>
      <c r="E199" s="28">
        <f>CEILING(C199/$H$3,1)*CEILING($H$2/$H$3,1)/CEILING(C199/$H$3,1)</f>
        <v>1</v>
      </c>
      <c r="F199" s="28">
        <f>$B$5/D199/B199*E199</f>
        <v>1.6976249999999999</v>
      </c>
    </row>
    <row r="200" spans="1:6" x14ac:dyDescent="0.4">
      <c r="A200" s="28">
        <f t="shared" si="5"/>
        <v>484</v>
      </c>
      <c r="B200" s="28">
        <f t="shared" si="4"/>
        <v>0.3968253968253968</v>
      </c>
      <c r="C200" s="28">
        <f>A200+$E$6</f>
        <v>506</v>
      </c>
      <c r="D200" s="28">
        <f>CEILING(C200/$H$3,1)*CEILING($H$2/$H$3,1)/CEILING($H$2/$H$3,1)</f>
        <v>2</v>
      </c>
      <c r="E200" s="28">
        <f>CEILING(C200/$H$3,1)*CEILING($H$2/$H$3,1)/CEILING(C200/$H$3,1)</f>
        <v>1</v>
      </c>
      <c r="F200" s="28">
        <f>$B$5/D200/B200*E200</f>
        <v>1.7010000000000003</v>
      </c>
    </row>
    <row r="201" spans="1:6" x14ac:dyDescent="0.4">
      <c r="A201" s="28">
        <f t="shared" si="5"/>
        <v>485</v>
      </c>
      <c r="B201" s="28">
        <f t="shared" si="4"/>
        <v>0.39603960396039606</v>
      </c>
      <c r="C201" s="28">
        <f>A201+$E$6</f>
        <v>507</v>
      </c>
      <c r="D201" s="28">
        <f>CEILING(C201/$H$3,1)*CEILING($H$2/$H$3,1)/CEILING($H$2/$H$3,1)</f>
        <v>2</v>
      </c>
      <c r="E201" s="28">
        <f>CEILING(C201/$H$3,1)*CEILING($H$2/$H$3,1)/CEILING(C201/$H$3,1)</f>
        <v>1</v>
      </c>
      <c r="F201" s="28">
        <f>$B$5/D201/B201*E201</f>
        <v>1.704375</v>
      </c>
    </row>
    <row r="202" spans="1:6" x14ac:dyDescent="0.4">
      <c r="A202" s="28">
        <f t="shared" si="5"/>
        <v>486</v>
      </c>
      <c r="B202" s="28">
        <f t="shared" si="4"/>
        <v>0.39525691699604742</v>
      </c>
      <c r="C202" s="28">
        <f>A202+$E$6</f>
        <v>508</v>
      </c>
      <c r="D202" s="28">
        <f>CEILING(C202/$H$3,1)*CEILING($H$2/$H$3,1)/CEILING($H$2/$H$3,1)</f>
        <v>2</v>
      </c>
      <c r="E202" s="28">
        <f>CEILING(C202/$H$3,1)*CEILING($H$2/$H$3,1)/CEILING(C202/$H$3,1)</f>
        <v>1</v>
      </c>
      <c r="F202" s="28">
        <f>$B$5/D202/B202*E202</f>
        <v>1.7077500000000001</v>
      </c>
    </row>
    <row r="203" spans="1:6" x14ac:dyDescent="0.4">
      <c r="A203" s="28">
        <f t="shared" si="5"/>
        <v>487</v>
      </c>
      <c r="B203" s="28">
        <f t="shared" ref="B203:B266" si="6">$B$4/8/(A203+$B$2)</f>
        <v>0.39447731755424065</v>
      </c>
      <c r="C203" s="28">
        <f>A203+$E$6</f>
        <v>509</v>
      </c>
      <c r="D203" s="28">
        <f>CEILING(C203/$H$3,1)*CEILING($H$2/$H$3,1)/CEILING($H$2/$H$3,1)</f>
        <v>2</v>
      </c>
      <c r="E203" s="28">
        <f>CEILING(C203/$H$3,1)*CEILING($H$2/$H$3,1)/CEILING(C203/$H$3,1)</f>
        <v>1</v>
      </c>
      <c r="F203" s="28">
        <f>$B$5/D203/B203*E203</f>
        <v>1.711125</v>
      </c>
    </row>
    <row r="204" spans="1:6" x14ac:dyDescent="0.4">
      <c r="A204" s="28">
        <f t="shared" si="5"/>
        <v>488</v>
      </c>
      <c r="B204" s="28">
        <f t="shared" si="6"/>
        <v>0.39370078740157483</v>
      </c>
      <c r="C204" s="28">
        <f>A204+$E$6</f>
        <v>510</v>
      </c>
      <c r="D204" s="28">
        <f>CEILING(C204/$H$3,1)*CEILING($H$2/$H$3,1)/CEILING($H$2/$H$3,1)</f>
        <v>2</v>
      </c>
      <c r="E204" s="28">
        <f>CEILING(C204/$H$3,1)*CEILING($H$2/$H$3,1)/CEILING(C204/$H$3,1)</f>
        <v>1</v>
      </c>
      <c r="F204" s="28">
        <f>$B$5/D204/B204*E204</f>
        <v>1.7144999999999999</v>
      </c>
    </row>
    <row r="205" spans="1:6" x14ac:dyDescent="0.4">
      <c r="A205" s="28">
        <f t="shared" ref="A205:A268" si="7">A204+$B$3</f>
        <v>489</v>
      </c>
      <c r="B205" s="28">
        <f t="shared" si="6"/>
        <v>0.39292730844793711</v>
      </c>
      <c r="C205" s="28">
        <f>A205+$E$6</f>
        <v>511</v>
      </c>
      <c r="D205" s="28">
        <f>CEILING(C205/$H$3,1)*CEILING($H$2/$H$3,1)/CEILING($H$2/$H$3,1)</f>
        <v>2</v>
      </c>
      <c r="E205" s="28">
        <f>CEILING(C205/$H$3,1)*CEILING($H$2/$H$3,1)/CEILING(C205/$H$3,1)</f>
        <v>1</v>
      </c>
      <c r="F205" s="28">
        <f>$B$5/D205/B205*E205</f>
        <v>1.7178750000000003</v>
      </c>
    </row>
    <row r="206" spans="1:6" x14ac:dyDescent="0.4">
      <c r="A206" s="28">
        <f t="shared" si="7"/>
        <v>490</v>
      </c>
      <c r="B206" s="28">
        <f t="shared" si="6"/>
        <v>0.39215686274509803</v>
      </c>
      <c r="C206" s="28">
        <f>A206+$E$6</f>
        <v>512</v>
      </c>
      <c r="D206" s="28">
        <f>CEILING(C206/$H$3,1)*CEILING($H$2/$H$3,1)/CEILING($H$2/$H$3,1)</f>
        <v>2</v>
      </c>
      <c r="E206" s="28">
        <f>CEILING(C206/$H$3,1)*CEILING($H$2/$H$3,1)/CEILING(C206/$H$3,1)</f>
        <v>1</v>
      </c>
      <c r="F206" s="28">
        <f>$B$5/D206/B206*E206</f>
        <v>1.7212500000000002</v>
      </c>
    </row>
    <row r="207" spans="1:6" x14ac:dyDescent="0.4">
      <c r="A207" s="28">
        <f t="shared" si="7"/>
        <v>491</v>
      </c>
      <c r="B207" s="28">
        <f t="shared" si="6"/>
        <v>0.39138943248532287</v>
      </c>
      <c r="C207" s="28">
        <f>A207+$E$6</f>
        <v>513</v>
      </c>
      <c r="D207" s="28">
        <f>CEILING(C207/$H$3,1)*CEILING($H$2/$H$3,1)/CEILING($H$2/$H$3,1)</f>
        <v>3</v>
      </c>
      <c r="E207" s="28">
        <f>CEILING(C207/$H$3,1)*CEILING($H$2/$H$3,1)/CEILING(C207/$H$3,1)</f>
        <v>1</v>
      </c>
      <c r="F207" s="28">
        <f>$B$5/D207/B207*E207</f>
        <v>1.14975</v>
      </c>
    </row>
    <row r="208" spans="1:6" x14ac:dyDescent="0.4">
      <c r="A208" s="28">
        <f t="shared" si="7"/>
        <v>492</v>
      </c>
      <c r="B208" s="28">
        <f t="shared" si="6"/>
        <v>0.390625</v>
      </c>
      <c r="C208" s="28">
        <f>A208+$E$6</f>
        <v>514</v>
      </c>
      <c r="D208" s="28">
        <f>CEILING(C208/$H$3,1)*CEILING($H$2/$H$3,1)/CEILING($H$2/$H$3,1)</f>
        <v>3</v>
      </c>
      <c r="E208" s="28">
        <f>CEILING(C208/$H$3,1)*CEILING($H$2/$H$3,1)/CEILING(C208/$H$3,1)</f>
        <v>1</v>
      </c>
      <c r="F208" s="28">
        <f>$B$5/D208/B208*E208</f>
        <v>1.1520000000000001</v>
      </c>
    </row>
    <row r="209" spans="1:6" x14ac:dyDescent="0.4">
      <c r="A209" s="28">
        <f t="shared" si="7"/>
        <v>493</v>
      </c>
      <c r="B209" s="28">
        <f t="shared" si="6"/>
        <v>0.38986354775828458</v>
      </c>
      <c r="C209" s="28">
        <f>A209+$E$6</f>
        <v>515</v>
      </c>
      <c r="D209" s="28">
        <f>CEILING(C209/$H$3,1)*CEILING($H$2/$H$3,1)/CEILING($H$2/$H$3,1)</f>
        <v>3</v>
      </c>
      <c r="E209" s="28">
        <f>CEILING(C209/$H$3,1)*CEILING($H$2/$H$3,1)/CEILING(C209/$H$3,1)</f>
        <v>1</v>
      </c>
      <c r="F209" s="28">
        <f>$B$5/D209/B209*E209</f>
        <v>1.15425</v>
      </c>
    </row>
    <row r="210" spans="1:6" x14ac:dyDescent="0.4">
      <c r="A210" s="28">
        <f t="shared" si="7"/>
        <v>494</v>
      </c>
      <c r="B210" s="28">
        <f t="shared" si="6"/>
        <v>0.38910505836575876</v>
      </c>
      <c r="C210" s="28">
        <f>A210+$E$6</f>
        <v>516</v>
      </c>
      <c r="D210" s="28">
        <f>CEILING(C210/$H$3,1)*CEILING($H$2/$H$3,1)/CEILING($H$2/$H$3,1)</f>
        <v>3</v>
      </c>
      <c r="E210" s="28">
        <f>CEILING(C210/$H$3,1)*CEILING($H$2/$H$3,1)/CEILING(C210/$H$3,1)</f>
        <v>1</v>
      </c>
      <c r="F210" s="28">
        <f>$B$5/D210/B210*E210</f>
        <v>1.1565000000000001</v>
      </c>
    </row>
    <row r="211" spans="1:6" x14ac:dyDescent="0.4">
      <c r="A211" s="28">
        <f t="shared" si="7"/>
        <v>495</v>
      </c>
      <c r="B211" s="28">
        <f t="shared" si="6"/>
        <v>0.38834951456310679</v>
      </c>
      <c r="C211" s="28">
        <f>A211+$E$6</f>
        <v>517</v>
      </c>
      <c r="D211" s="28">
        <f>CEILING(C211/$H$3,1)*CEILING($H$2/$H$3,1)/CEILING($H$2/$H$3,1)</f>
        <v>3</v>
      </c>
      <c r="E211" s="28">
        <f>CEILING(C211/$H$3,1)*CEILING($H$2/$H$3,1)/CEILING(C211/$H$3,1)</f>
        <v>1</v>
      </c>
      <c r="F211" s="28">
        <f>$B$5/D211/B211*E211</f>
        <v>1.1587499999999999</v>
      </c>
    </row>
    <row r="212" spans="1:6" x14ac:dyDescent="0.4">
      <c r="A212" s="28">
        <f t="shared" si="7"/>
        <v>496</v>
      </c>
      <c r="B212" s="28">
        <f t="shared" si="6"/>
        <v>0.38759689922480622</v>
      </c>
      <c r="C212" s="28">
        <f>A212+$E$6</f>
        <v>518</v>
      </c>
      <c r="D212" s="28">
        <f>CEILING(C212/$H$3,1)*CEILING($H$2/$H$3,1)/CEILING($H$2/$H$3,1)</f>
        <v>3</v>
      </c>
      <c r="E212" s="28">
        <f>CEILING(C212/$H$3,1)*CEILING($H$2/$H$3,1)/CEILING(C212/$H$3,1)</f>
        <v>1</v>
      </c>
      <c r="F212" s="28">
        <f>$B$5/D212/B212*E212</f>
        <v>1.161</v>
      </c>
    </row>
    <row r="213" spans="1:6" x14ac:dyDescent="0.4">
      <c r="A213" s="28">
        <f t="shared" si="7"/>
        <v>497</v>
      </c>
      <c r="B213" s="28">
        <f t="shared" si="6"/>
        <v>0.38684719535783363</v>
      </c>
      <c r="C213" s="28">
        <f>A213+$E$6</f>
        <v>519</v>
      </c>
      <c r="D213" s="28">
        <f>CEILING(C213/$H$3,1)*CEILING($H$2/$H$3,1)/CEILING($H$2/$H$3,1)</f>
        <v>3</v>
      </c>
      <c r="E213" s="28">
        <f>CEILING(C213/$H$3,1)*CEILING($H$2/$H$3,1)/CEILING(C213/$H$3,1)</f>
        <v>1</v>
      </c>
      <c r="F213" s="28">
        <f>$B$5/D213/B213*E213</f>
        <v>1.1632500000000001</v>
      </c>
    </row>
    <row r="214" spans="1:6" x14ac:dyDescent="0.4">
      <c r="A214" s="28">
        <f t="shared" si="7"/>
        <v>498</v>
      </c>
      <c r="B214" s="28">
        <f t="shared" si="6"/>
        <v>0.38610038610038611</v>
      </c>
      <c r="C214" s="28">
        <f>A214+$E$6</f>
        <v>520</v>
      </c>
      <c r="D214" s="28">
        <f>CEILING(C214/$H$3,1)*CEILING($H$2/$H$3,1)/CEILING($H$2/$H$3,1)</f>
        <v>3</v>
      </c>
      <c r="E214" s="28">
        <f>CEILING(C214/$H$3,1)*CEILING($H$2/$H$3,1)/CEILING(C214/$H$3,1)</f>
        <v>1</v>
      </c>
      <c r="F214" s="28">
        <f>$B$5/D214/B214*E214</f>
        <v>1.1655</v>
      </c>
    </row>
    <row r="215" spans="1:6" x14ac:dyDescent="0.4">
      <c r="A215" s="28">
        <f t="shared" si="7"/>
        <v>499</v>
      </c>
      <c r="B215" s="28">
        <f t="shared" si="6"/>
        <v>0.38535645472061658</v>
      </c>
      <c r="C215" s="28">
        <f>A215+$E$6</f>
        <v>521</v>
      </c>
      <c r="D215" s="28">
        <f>CEILING(C215/$H$3,1)*CEILING($H$2/$H$3,1)/CEILING($H$2/$H$3,1)</f>
        <v>3</v>
      </c>
      <c r="E215" s="28">
        <f>CEILING(C215/$H$3,1)*CEILING($H$2/$H$3,1)/CEILING(C215/$H$3,1)</f>
        <v>1</v>
      </c>
      <c r="F215" s="28">
        <f>$B$5/D215/B215*E215</f>
        <v>1.1677500000000001</v>
      </c>
    </row>
    <row r="216" spans="1:6" x14ac:dyDescent="0.4">
      <c r="A216" s="28">
        <f t="shared" si="7"/>
        <v>500</v>
      </c>
      <c r="B216" s="28">
        <f t="shared" si="6"/>
        <v>0.38461538461538464</v>
      </c>
      <c r="C216" s="28">
        <f>A216+$E$6</f>
        <v>522</v>
      </c>
      <c r="D216" s="28">
        <f>CEILING(C216/$H$3,1)*CEILING($H$2/$H$3,1)/CEILING($H$2/$H$3,1)</f>
        <v>3</v>
      </c>
      <c r="E216" s="28">
        <f>CEILING(C216/$H$3,1)*CEILING($H$2/$H$3,1)/CEILING(C216/$H$3,1)</f>
        <v>1</v>
      </c>
      <c r="F216" s="28">
        <f>$B$5/D216/B216*E216</f>
        <v>1.17</v>
      </c>
    </row>
    <row r="217" spans="1:6" x14ac:dyDescent="0.4">
      <c r="A217" s="28">
        <f t="shared" si="7"/>
        <v>501</v>
      </c>
      <c r="B217" s="28">
        <f t="shared" si="6"/>
        <v>0.38387715930902111</v>
      </c>
      <c r="C217" s="28">
        <f>A217+$E$6</f>
        <v>523</v>
      </c>
      <c r="D217" s="28">
        <f>CEILING(C217/$H$3,1)*CEILING($H$2/$H$3,1)/CEILING($H$2/$H$3,1)</f>
        <v>3</v>
      </c>
      <c r="E217" s="28">
        <f>CEILING(C217/$H$3,1)*CEILING($H$2/$H$3,1)/CEILING(C217/$H$3,1)</f>
        <v>1</v>
      </c>
      <c r="F217" s="28">
        <f>$B$5/D217/B217*E217</f>
        <v>1.17225</v>
      </c>
    </row>
    <row r="218" spans="1:6" x14ac:dyDescent="0.4">
      <c r="A218" s="28">
        <f t="shared" si="7"/>
        <v>502</v>
      </c>
      <c r="B218" s="28">
        <f t="shared" si="6"/>
        <v>0.38314176245210729</v>
      </c>
      <c r="C218" s="28">
        <f>A218+$E$6</f>
        <v>524</v>
      </c>
      <c r="D218" s="28">
        <f>CEILING(C218/$H$3,1)*CEILING($H$2/$H$3,1)/CEILING($H$2/$H$3,1)</f>
        <v>3</v>
      </c>
      <c r="E218" s="28">
        <f>CEILING(C218/$H$3,1)*CEILING($H$2/$H$3,1)/CEILING(C218/$H$3,1)</f>
        <v>1</v>
      </c>
      <c r="F218" s="28">
        <f>$B$5/D218/B218*E218</f>
        <v>1.1745000000000001</v>
      </c>
    </row>
    <row r="219" spans="1:6" x14ac:dyDescent="0.4">
      <c r="A219" s="28">
        <f t="shared" si="7"/>
        <v>503</v>
      </c>
      <c r="B219" s="28">
        <f t="shared" si="6"/>
        <v>0.38240917782026768</v>
      </c>
      <c r="C219" s="28">
        <f>A219+$E$6</f>
        <v>525</v>
      </c>
      <c r="D219" s="28">
        <f>CEILING(C219/$H$3,1)*CEILING($H$2/$H$3,1)/CEILING($H$2/$H$3,1)</f>
        <v>3</v>
      </c>
      <c r="E219" s="28">
        <f>CEILING(C219/$H$3,1)*CEILING($H$2/$H$3,1)/CEILING(C219/$H$3,1)</f>
        <v>1</v>
      </c>
      <c r="F219" s="28">
        <f>$B$5/D219/B219*E219</f>
        <v>1.17675</v>
      </c>
    </row>
    <row r="220" spans="1:6" x14ac:dyDescent="0.4">
      <c r="A220" s="28">
        <f t="shared" si="7"/>
        <v>504</v>
      </c>
      <c r="B220" s="28">
        <f t="shared" si="6"/>
        <v>0.38167938931297712</v>
      </c>
      <c r="C220" s="28">
        <f>A220+$E$6</f>
        <v>526</v>
      </c>
      <c r="D220" s="28">
        <f>CEILING(C220/$H$3,1)*CEILING($H$2/$H$3,1)/CEILING($H$2/$H$3,1)</f>
        <v>3</v>
      </c>
      <c r="E220" s="28">
        <f>CEILING(C220/$H$3,1)*CEILING($H$2/$H$3,1)/CEILING(C220/$H$3,1)</f>
        <v>1</v>
      </c>
      <c r="F220" s="28">
        <f>$B$5/D220/B220*E220</f>
        <v>1.179</v>
      </c>
    </row>
    <row r="221" spans="1:6" x14ac:dyDescent="0.4">
      <c r="A221" s="28">
        <f t="shared" si="7"/>
        <v>505</v>
      </c>
      <c r="B221" s="28">
        <f t="shared" si="6"/>
        <v>0.38095238095238093</v>
      </c>
      <c r="C221" s="28">
        <f>A221+$E$6</f>
        <v>527</v>
      </c>
      <c r="D221" s="28">
        <f>CEILING(C221/$H$3,1)*CEILING($H$2/$H$3,1)/CEILING($H$2/$H$3,1)</f>
        <v>3</v>
      </c>
      <c r="E221" s="28">
        <f>CEILING(C221/$H$3,1)*CEILING($H$2/$H$3,1)/CEILING(C221/$H$3,1)</f>
        <v>1</v>
      </c>
      <c r="F221" s="28">
        <f>$B$5/D221/B221*E221</f>
        <v>1.1812500000000001</v>
      </c>
    </row>
    <row r="222" spans="1:6" x14ac:dyDescent="0.4">
      <c r="A222" s="28">
        <f t="shared" si="7"/>
        <v>506</v>
      </c>
      <c r="B222" s="28">
        <f t="shared" si="6"/>
        <v>0.38022813688212925</v>
      </c>
      <c r="C222" s="28">
        <f>A222+$E$6</f>
        <v>528</v>
      </c>
      <c r="D222" s="28">
        <f>CEILING(C222/$H$3,1)*CEILING($H$2/$H$3,1)/CEILING($H$2/$H$3,1)</f>
        <v>3</v>
      </c>
      <c r="E222" s="28">
        <f>CEILING(C222/$H$3,1)*CEILING($H$2/$H$3,1)/CEILING(C222/$H$3,1)</f>
        <v>1</v>
      </c>
      <c r="F222" s="28">
        <f>$B$5/D222/B222*E222</f>
        <v>1.1835</v>
      </c>
    </row>
    <row r="223" spans="1:6" x14ac:dyDescent="0.4">
      <c r="A223" s="28">
        <f t="shared" si="7"/>
        <v>507</v>
      </c>
      <c r="B223" s="28">
        <f t="shared" si="6"/>
        <v>0.37950664136622392</v>
      </c>
      <c r="C223" s="28">
        <f>A223+$E$6</f>
        <v>529</v>
      </c>
      <c r="D223" s="28">
        <f>CEILING(C223/$H$3,1)*CEILING($H$2/$H$3,1)/CEILING($H$2/$H$3,1)</f>
        <v>3</v>
      </c>
      <c r="E223" s="28">
        <f>CEILING(C223/$H$3,1)*CEILING($H$2/$H$3,1)/CEILING(C223/$H$3,1)</f>
        <v>1</v>
      </c>
      <c r="F223" s="28">
        <f>$B$5/D223/B223*E223</f>
        <v>1.1857500000000001</v>
      </c>
    </row>
    <row r="224" spans="1:6" x14ac:dyDescent="0.4">
      <c r="A224" s="28">
        <f t="shared" si="7"/>
        <v>508</v>
      </c>
      <c r="B224" s="28">
        <f t="shared" si="6"/>
        <v>0.37878787878787878</v>
      </c>
      <c r="C224" s="28">
        <f>A224+$E$6</f>
        <v>530</v>
      </c>
      <c r="D224" s="28">
        <f>CEILING(C224/$H$3,1)*CEILING($H$2/$H$3,1)/CEILING($H$2/$H$3,1)</f>
        <v>3</v>
      </c>
      <c r="E224" s="28">
        <f>CEILING(C224/$H$3,1)*CEILING($H$2/$H$3,1)/CEILING(C224/$H$3,1)</f>
        <v>1</v>
      </c>
      <c r="F224" s="28">
        <f>$B$5/D224/B224*E224</f>
        <v>1.1879999999999999</v>
      </c>
    </row>
    <row r="225" spans="1:6" x14ac:dyDescent="0.4">
      <c r="A225" s="28">
        <f t="shared" si="7"/>
        <v>509</v>
      </c>
      <c r="B225" s="28">
        <f t="shared" si="6"/>
        <v>0.3780718336483932</v>
      </c>
      <c r="C225" s="28">
        <f>A225+$E$6</f>
        <v>531</v>
      </c>
      <c r="D225" s="28">
        <f>CEILING(C225/$H$3,1)*CEILING($H$2/$H$3,1)/CEILING($H$2/$H$3,1)</f>
        <v>3</v>
      </c>
      <c r="E225" s="28">
        <f>CEILING(C225/$H$3,1)*CEILING($H$2/$H$3,1)/CEILING(C225/$H$3,1)</f>
        <v>1</v>
      </c>
      <c r="F225" s="28">
        <f>$B$5/D225/B225*E225</f>
        <v>1.19025</v>
      </c>
    </row>
    <row r="226" spans="1:6" x14ac:dyDescent="0.4">
      <c r="A226" s="28">
        <f t="shared" si="7"/>
        <v>510</v>
      </c>
      <c r="B226" s="28">
        <f t="shared" si="6"/>
        <v>0.37735849056603776</v>
      </c>
      <c r="C226" s="28">
        <f>A226+$E$6</f>
        <v>532</v>
      </c>
      <c r="D226" s="28">
        <f>CEILING(C226/$H$3,1)*CEILING($H$2/$H$3,1)/CEILING($H$2/$H$3,1)</f>
        <v>3</v>
      </c>
      <c r="E226" s="28">
        <f>CEILING(C226/$H$3,1)*CEILING($H$2/$H$3,1)/CEILING(C226/$H$3,1)</f>
        <v>1</v>
      </c>
      <c r="F226" s="28">
        <f>$B$5/D226/B226*E226</f>
        <v>1.1924999999999999</v>
      </c>
    </row>
    <row r="227" spans="1:6" x14ac:dyDescent="0.4">
      <c r="A227" s="28">
        <f t="shared" si="7"/>
        <v>511</v>
      </c>
      <c r="B227" s="28">
        <f t="shared" si="6"/>
        <v>0.37664783427495291</v>
      </c>
      <c r="C227" s="28">
        <f>A227+$E$6</f>
        <v>533</v>
      </c>
      <c r="D227" s="28">
        <f>CEILING(C227/$H$3,1)*CEILING($H$2/$H$3,1)/CEILING($H$2/$H$3,1)</f>
        <v>3</v>
      </c>
      <c r="E227" s="28">
        <f>CEILING(C227/$H$3,1)*CEILING($H$2/$H$3,1)/CEILING(C227/$H$3,1)</f>
        <v>1</v>
      </c>
      <c r="F227" s="28">
        <f>$B$5/D227/B227*E227</f>
        <v>1.19475</v>
      </c>
    </row>
    <row r="228" spans="1:6" x14ac:dyDescent="0.4">
      <c r="A228" s="28">
        <f t="shared" si="7"/>
        <v>512</v>
      </c>
      <c r="B228" s="28">
        <f t="shared" si="6"/>
        <v>0.37593984962406013</v>
      </c>
      <c r="C228" s="28">
        <f>A228+$E$6</f>
        <v>534</v>
      </c>
      <c r="D228" s="28">
        <f>CEILING(C228/$H$3,1)*CEILING($H$2/$H$3,1)/CEILING($H$2/$H$3,1)</f>
        <v>3</v>
      </c>
      <c r="E228" s="28">
        <f>CEILING(C228/$H$3,1)*CEILING($H$2/$H$3,1)/CEILING(C228/$H$3,1)</f>
        <v>1</v>
      </c>
      <c r="F228" s="28">
        <f>$B$5/D228/B228*E228</f>
        <v>1.1970000000000001</v>
      </c>
    </row>
    <row r="229" spans="1:6" x14ac:dyDescent="0.4">
      <c r="A229" s="28">
        <f t="shared" si="7"/>
        <v>513</v>
      </c>
      <c r="B229" s="28">
        <f t="shared" si="6"/>
        <v>0.37523452157598497</v>
      </c>
      <c r="C229" s="28">
        <f>A229+$E$6</f>
        <v>535</v>
      </c>
      <c r="D229" s="28">
        <f>CEILING(C229/$H$3,1)*CEILING($H$2/$H$3,1)/CEILING($H$2/$H$3,1)</f>
        <v>3</v>
      </c>
      <c r="E229" s="28">
        <f>CEILING(C229/$H$3,1)*CEILING($H$2/$H$3,1)/CEILING(C229/$H$3,1)</f>
        <v>1</v>
      </c>
      <c r="F229" s="28">
        <f>$B$5/D229/B229*E229</f>
        <v>1.1992500000000001</v>
      </c>
    </row>
    <row r="230" spans="1:6" x14ac:dyDescent="0.4">
      <c r="A230" s="28">
        <f t="shared" si="7"/>
        <v>514</v>
      </c>
      <c r="B230" s="28">
        <f t="shared" si="6"/>
        <v>0.37453183520599254</v>
      </c>
      <c r="C230" s="28">
        <f>A230+$E$6</f>
        <v>536</v>
      </c>
      <c r="D230" s="28">
        <f>CEILING(C230/$H$3,1)*CEILING($H$2/$H$3,1)/CEILING($H$2/$H$3,1)</f>
        <v>3</v>
      </c>
      <c r="E230" s="28">
        <f>CEILING(C230/$H$3,1)*CEILING($H$2/$H$3,1)/CEILING(C230/$H$3,1)</f>
        <v>1</v>
      </c>
      <c r="F230" s="28">
        <f>$B$5/D230/B230*E230</f>
        <v>1.2015</v>
      </c>
    </row>
    <row r="231" spans="1:6" x14ac:dyDescent="0.4">
      <c r="A231" s="28">
        <f t="shared" si="7"/>
        <v>515</v>
      </c>
      <c r="B231" s="28">
        <f t="shared" si="6"/>
        <v>0.37383177570093457</v>
      </c>
      <c r="C231" s="28">
        <f>A231+$E$6</f>
        <v>537</v>
      </c>
      <c r="D231" s="28">
        <f>CEILING(C231/$H$3,1)*CEILING($H$2/$H$3,1)/CEILING($H$2/$H$3,1)</f>
        <v>3</v>
      </c>
      <c r="E231" s="28">
        <f>CEILING(C231/$H$3,1)*CEILING($H$2/$H$3,1)/CEILING(C231/$H$3,1)</f>
        <v>1</v>
      </c>
      <c r="F231" s="28">
        <f>$B$5/D231/B231*E231</f>
        <v>1.2037500000000001</v>
      </c>
    </row>
    <row r="232" spans="1:6" x14ac:dyDescent="0.4">
      <c r="A232" s="28">
        <f t="shared" si="7"/>
        <v>516</v>
      </c>
      <c r="B232" s="28">
        <f t="shared" si="6"/>
        <v>0.37313432835820898</v>
      </c>
      <c r="C232" s="28">
        <f>A232+$E$6</f>
        <v>538</v>
      </c>
      <c r="D232" s="28">
        <f>CEILING(C232/$H$3,1)*CEILING($H$2/$H$3,1)/CEILING($H$2/$H$3,1)</f>
        <v>3</v>
      </c>
      <c r="E232" s="28">
        <f>CEILING(C232/$H$3,1)*CEILING($H$2/$H$3,1)/CEILING(C232/$H$3,1)</f>
        <v>1</v>
      </c>
      <c r="F232" s="28">
        <f>$B$5/D232/B232*E232</f>
        <v>1.206</v>
      </c>
    </row>
    <row r="233" spans="1:6" x14ac:dyDescent="0.4">
      <c r="A233" s="28">
        <f t="shared" si="7"/>
        <v>517</v>
      </c>
      <c r="B233" s="28">
        <f t="shared" si="6"/>
        <v>0.37243947858472998</v>
      </c>
      <c r="C233" s="28">
        <f>A233+$E$6</f>
        <v>539</v>
      </c>
      <c r="D233" s="28">
        <f>CEILING(C233/$H$3,1)*CEILING($H$2/$H$3,1)/CEILING($H$2/$H$3,1)</f>
        <v>3</v>
      </c>
      <c r="E233" s="28">
        <f>CEILING(C233/$H$3,1)*CEILING($H$2/$H$3,1)/CEILING(C233/$H$3,1)</f>
        <v>1</v>
      </c>
      <c r="F233" s="28">
        <f>$B$5/D233/B233*E233</f>
        <v>1.20825</v>
      </c>
    </row>
    <row r="234" spans="1:6" x14ac:dyDescent="0.4">
      <c r="A234" s="28">
        <f t="shared" si="7"/>
        <v>518</v>
      </c>
      <c r="B234" s="28">
        <f t="shared" si="6"/>
        <v>0.37174721189591076</v>
      </c>
      <c r="C234" s="28">
        <f>A234+$E$6</f>
        <v>540</v>
      </c>
      <c r="D234" s="28">
        <f>CEILING(C234/$H$3,1)*CEILING($H$2/$H$3,1)/CEILING($H$2/$H$3,1)</f>
        <v>3</v>
      </c>
      <c r="E234" s="28">
        <f>CEILING(C234/$H$3,1)*CEILING($H$2/$H$3,1)/CEILING(C234/$H$3,1)</f>
        <v>1</v>
      </c>
      <c r="F234" s="28">
        <f>$B$5/D234/B234*E234</f>
        <v>1.2105000000000001</v>
      </c>
    </row>
    <row r="235" spans="1:6" x14ac:dyDescent="0.4">
      <c r="A235" s="28">
        <f t="shared" si="7"/>
        <v>519</v>
      </c>
      <c r="B235" s="28">
        <f t="shared" si="6"/>
        <v>0.37105751391465674</v>
      </c>
      <c r="C235" s="28">
        <f>A235+$E$6</f>
        <v>541</v>
      </c>
      <c r="D235" s="28">
        <f>CEILING(C235/$H$3,1)*CEILING($H$2/$H$3,1)/CEILING($H$2/$H$3,1)</f>
        <v>3</v>
      </c>
      <c r="E235" s="28">
        <f>CEILING(C235/$H$3,1)*CEILING($H$2/$H$3,1)/CEILING(C235/$H$3,1)</f>
        <v>1</v>
      </c>
      <c r="F235" s="28">
        <f>$B$5/D235/B235*E235</f>
        <v>1.2127500000000002</v>
      </c>
    </row>
    <row r="236" spans="1:6" x14ac:dyDescent="0.4">
      <c r="A236" s="28">
        <f t="shared" si="7"/>
        <v>520</v>
      </c>
      <c r="B236" s="28">
        <f t="shared" si="6"/>
        <v>0.37037037037037035</v>
      </c>
      <c r="C236" s="28">
        <f>A236+$E$6</f>
        <v>542</v>
      </c>
      <c r="D236" s="28">
        <f>CEILING(C236/$H$3,1)*CEILING($H$2/$H$3,1)/CEILING($H$2/$H$3,1)</f>
        <v>3</v>
      </c>
      <c r="E236" s="28">
        <f>CEILING(C236/$H$3,1)*CEILING($H$2/$H$3,1)/CEILING(C236/$H$3,1)</f>
        <v>1</v>
      </c>
      <c r="F236" s="28">
        <f>$B$5/D236/B236*E236</f>
        <v>1.2150000000000001</v>
      </c>
    </row>
    <row r="237" spans="1:6" x14ac:dyDescent="0.4">
      <c r="A237" s="28">
        <f t="shared" si="7"/>
        <v>521</v>
      </c>
      <c r="B237" s="28">
        <f t="shared" si="6"/>
        <v>0.36968576709796674</v>
      </c>
      <c r="C237" s="28">
        <f>A237+$E$6</f>
        <v>543</v>
      </c>
      <c r="D237" s="28">
        <f>CEILING(C237/$H$3,1)*CEILING($H$2/$H$3,1)/CEILING($H$2/$H$3,1)</f>
        <v>3</v>
      </c>
      <c r="E237" s="28">
        <f>CEILING(C237/$H$3,1)*CEILING($H$2/$H$3,1)/CEILING(C237/$H$3,1)</f>
        <v>1</v>
      </c>
      <c r="F237" s="28">
        <f>$B$5/D237/B237*E237</f>
        <v>1.2172499999999999</v>
      </c>
    </row>
    <row r="238" spans="1:6" x14ac:dyDescent="0.4">
      <c r="A238" s="28">
        <f t="shared" si="7"/>
        <v>522</v>
      </c>
      <c r="B238" s="28">
        <f t="shared" si="6"/>
        <v>0.36900369003690037</v>
      </c>
      <c r="C238" s="28">
        <f>A238+$E$6</f>
        <v>544</v>
      </c>
      <c r="D238" s="28">
        <f>CEILING(C238/$H$3,1)*CEILING($H$2/$H$3,1)/CEILING($H$2/$H$3,1)</f>
        <v>3</v>
      </c>
      <c r="E238" s="28">
        <f>CEILING(C238/$H$3,1)*CEILING($H$2/$H$3,1)/CEILING(C238/$H$3,1)</f>
        <v>1</v>
      </c>
      <c r="F238" s="28">
        <f>$B$5/D238/B238*E238</f>
        <v>1.2195</v>
      </c>
    </row>
    <row r="239" spans="1:6" x14ac:dyDescent="0.4">
      <c r="A239" s="28">
        <f t="shared" si="7"/>
        <v>523</v>
      </c>
      <c r="B239" s="28">
        <f t="shared" si="6"/>
        <v>0.36832412523020258</v>
      </c>
      <c r="C239" s="28">
        <f>A239+$E$6</f>
        <v>545</v>
      </c>
      <c r="D239" s="28">
        <f>CEILING(C239/$H$3,1)*CEILING($H$2/$H$3,1)/CEILING($H$2/$H$3,1)</f>
        <v>3</v>
      </c>
      <c r="E239" s="28">
        <f>CEILING(C239/$H$3,1)*CEILING($H$2/$H$3,1)/CEILING(C239/$H$3,1)</f>
        <v>1</v>
      </c>
      <c r="F239" s="28">
        <f>$B$5/D239/B239*E239</f>
        <v>1.2217500000000001</v>
      </c>
    </row>
    <row r="240" spans="1:6" x14ac:dyDescent="0.4">
      <c r="A240" s="28">
        <f t="shared" si="7"/>
        <v>524</v>
      </c>
      <c r="B240" s="28">
        <f t="shared" si="6"/>
        <v>0.36764705882352944</v>
      </c>
      <c r="C240" s="28">
        <f>A240+$E$6</f>
        <v>546</v>
      </c>
      <c r="D240" s="28">
        <f>CEILING(C240/$H$3,1)*CEILING($H$2/$H$3,1)/CEILING($H$2/$H$3,1)</f>
        <v>3</v>
      </c>
      <c r="E240" s="28">
        <f>CEILING(C240/$H$3,1)*CEILING($H$2/$H$3,1)/CEILING(C240/$H$3,1)</f>
        <v>1</v>
      </c>
      <c r="F240" s="28">
        <f>$B$5/D240/B240*E240</f>
        <v>1.224</v>
      </c>
    </row>
    <row r="241" spans="1:6" x14ac:dyDescent="0.4">
      <c r="A241" s="28">
        <f t="shared" si="7"/>
        <v>525</v>
      </c>
      <c r="B241" s="28">
        <f t="shared" si="6"/>
        <v>0.3669724770642202</v>
      </c>
      <c r="C241" s="28">
        <f>A241+$E$6</f>
        <v>547</v>
      </c>
      <c r="D241" s="28">
        <f>CEILING(C241/$H$3,1)*CEILING($H$2/$H$3,1)/CEILING($H$2/$H$3,1)</f>
        <v>3</v>
      </c>
      <c r="E241" s="28">
        <f>CEILING(C241/$H$3,1)*CEILING($H$2/$H$3,1)/CEILING(C241/$H$3,1)</f>
        <v>1</v>
      </c>
      <c r="F241" s="28">
        <f>$B$5/D241/B241*E241</f>
        <v>1.2262500000000001</v>
      </c>
    </row>
    <row r="242" spans="1:6" x14ac:dyDescent="0.4">
      <c r="A242" s="28">
        <f t="shared" si="7"/>
        <v>526</v>
      </c>
      <c r="B242" s="28">
        <f t="shared" si="6"/>
        <v>0.36630036630036628</v>
      </c>
      <c r="C242" s="28">
        <f>A242+$E$6</f>
        <v>548</v>
      </c>
      <c r="D242" s="28">
        <f>CEILING(C242/$H$3,1)*CEILING($H$2/$H$3,1)/CEILING($H$2/$H$3,1)</f>
        <v>3</v>
      </c>
      <c r="E242" s="28">
        <f>CEILING(C242/$H$3,1)*CEILING($H$2/$H$3,1)/CEILING(C242/$H$3,1)</f>
        <v>1</v>
      </c>
      <c r="F242" s="28">
        <f>$B$5/D242/B242*E242</f>
        <v>1.2285000000000001</v>
      </c>
    </row>
    <row r="243" spans="1:6" x14ac:dyDescent="0.4">
      <c r="A243" s="28">
        <f t="shared" si="7"/>
        <v>527</v>
      </c>
      <c r="B243" s="28">
        <f t="shared" si="6"/>
        <v>0.3656307129798903</v>
      </c>
      <c r="C243" s="28">
        <f>A243+$E$6</f>
        <v>549</v>
      </c>
      <c r="D243" s="28">
        <f>CEILING(C243/$H$3,1)*CEILING($H$2/$H$3,1)/CEILING($H$2/$H$3,1)</f>
        <v>3</v>
      </c>
      <c r="E243" s="28">
        <f>CEILING(C243/$H$3,1)*CEILING($H$2/$H$3,1)/CEILING(C243/$H$3,1)</f>
        <v>1</v>
      </c>
      <c r="F243" s="28">
        <f>$B$5/D243/B243*E243</f>
        <v>1.23075</v>
      </c>
    </row>
    <row r="244" spans="1:6" x14ac:dyDescent="0.4">
      <c r="A244" s="28">
        <f t="shared" si="7"/>
        <v>528</v>
      </c>
      <c r="B244" s="28">
        <f t="shared" si="6"/>
        <v>0.36496350364963503</v>
      </c>
      <c r="C244" s="28">
        <f>A244+$E$6</f>
        <v>550</v>
      </c>
      <c r="D244" s="28">
        <f>CEILING(C244/$H$3,1)*CEILING($H$2/$H$3,1)/CEILING($H$2/$H$3,1)</f>
        <v>3</v>
      </c>
      <c r="E244" s="28">
        <f>CEILING(C244/$H$3,1)*CEILING($H$2/$H$3,1)/CEILING(C244/$H$3,1)</f>
        <v>1</v>
      </c>
      <c r="F244" s="28">
        <f>$B$5/D244/B244*E244</f>
        <v>1.2330000000000001</v>
      </c>
    </row>
    <row r="245" spans="1:6" x14ac:dyDescent="0.4">
      <c r="A245" s="28">
        <f t="shared" si="7"/>
        <v>529</v>
      </c>
      <c r="B245" s="28">
        <f t="shared" si="6"/>
        <v>0.36429872495446264</v>
      </c>
      <c r="C245" s="28">
        <f>A245+$E$6</f>
        <v>551</v>
      </c>
      <c r="D245" s="28">
        <f>CEILING(C245/$H$3,1)*CEILING($H$2/$H$3,1)/CEILING($H$2/$H$3,1)</f>
        <v>3</v>
      </c>
      <c r="E245" s="28">
        <f>CEILING(C245/$H$3,1)*CEILING($H$2/$H$3,1)/CEILING(C245/$H$3,1)</f>
        <v>1</v>
      </c>
      <c r="F245" s="28">
        <f>$B$5/D245/B245*E245</f>
        <v>1.2352500000000002</v>
      </c>
    </row>
    <row r="246" spans="1:6" x14ac:dyDescent="0.4">
      <c r="A246" s="28">
        <f t="shared" si="7"/>
        <v>530</v>
      </c>
      <c r="B246" s="28">
        <f t="shared" si="6"/>
        <v>0.36363636363636365</v>
      </c>
      <c r="C246" s="28">
        <f>A246+$E$6</f>
        <v>552</v>
      </c>
      <c r="D246" s="28">
        <f>CEILING(C246/$H$3,1)*CEILING($H$2/$H$3,1)/CEILING($H$2/$H$3,1)</f>
        <v>3</v>
      </c>
      <c r="E246" s="28">
        <f>CEILING(C246/$H$3,1)*CEILING($H$2/$H$3,1)/CEILING(C246/$H$3,1)</f>
        <v>1</v>
      </c>
      <c r="F246" s="28">
        <f>$B$5/D246/B246*E246</f>
        <v>1.2375</v>
      </c>
    </row>
    <row r="247" spans="1:6" x14ac:dyDescent="0.4">
      <c r="A247" s="28">
        <f t="shared" si="7"/>
        <v>531</v>
      </c>
      <c r="B247" s="28">
        <f t="shared" si="6"/>
        <v>0.36297640653357532</v>
      </c>
      <c r="C247" s="28">
        <f>A247+$E$6</f>
        <v>553</v>
      </c>
      <c r="D247" s="28">
        <f>CEILING(C247/$H$3,1)*CEILING($H$2/$H$3,1)/CEILING($H$2/$H$3,1)</f>
        <v>3</v>
      </c>
      <c r="E247" s="28">
        <f>CEILING(C247/$H$3,1)*CEILING($H$2/$H$3,1)/CEILING(C247/$H$3,1)</f>
        <v>1</v>
      </c>
      <c r="F247" s="28">
        <f>$B$5/D247/B247*E247</f>
        <v>1.2397499999999999</v>
      </c>
    </row>
    <row r="248" spans="1:6" x14ac:dyDescent="0.4">
      <c r="A248" s="28">
        <f t="shared" si="7"/>
        <v>532</v>
      </c>
      <c r="B248" s="28">
        <f t="shared" si="6"/>
        <v>0.36231884057971014</v>
      </c>
      <c r="C248" s="28">
        <f>A248+$E$6</f>
        <v>554</v>
      </c>
      <c r="D248" s="28">
        <f>CEILING(C248/$H$3,1)*CEILING($H$2/$H$3,1)/CEILING($H$2/$H$3,1)</f>
        <v>3</v>
      </c>
      <c r="E248" s="28">
        <f>CEILING(C248/$H$3,1)*CEILING($H$2/$H$3,1)/CEILING(C248/$H$3,1)</f>
        <v>1</v>
      </c>
      <c r="F248" s="28">
        <f>$B$5/D248/B248*E248</f>
        <v>1.242</v>
      </c>
    </row>
    <row r="249" spans="1:6" x14ac:dyDescent="0.4">
      <c r="A249" s="28">
        <f t="shared" si="7"/>
        <v>533</v>
      </c>
      <c r="B249" s="28">
        <f t="shared" si="6"/>
        <v>0.36166365280289331</v>
      </c>
      <c r="C249" s="28">
        <f>A249+$E$6</f>
        <v>555</v>
      </c>
      <c r="D249" s="28">
        <f>CEILING(C249/$H$3,1)*CEILING($H$2/$H$3,1)/CEILING($H$2/$H$3,1)</f>
        <v>3</v>
      </c>
      <c r="E249" s="28">
        <f>CEILING(C249/$H$3,1)*CEILING($H$2/$H$3,1)/CEILING(C249/$H$3,1)</f>
        <v>1</v>
      </c>
      <c r="F249" s="28">
        <f>$B$5/D249/B249*E249</f>
        <v>1.2442500000000001</v>
      </c>
    </row>
    <row r="250" spans="1:6" x14ac:dyDescent="0.4">
      <c r="A250" s="28">
        <f t="shared" si="7"/>
        <v>534</v>
      </c>
      <c r="B250" s="28">
        <f t="shared" si="6"/>
        <v>0.36101083032490977</v>
      </c>
      <c r="C250" s="28">
        <f>A250+$E$6</f>
        <v>556</v>
      </c>
      <c r="D250" s="28">
        <f>CEILING(C250/$H$3,1)*CEILING($H$2/$H$3,1)/CEILING($H$2/$H$3,1)</f>
        <v>3</v>
      </c>
      <c r="E250" s="28">
        <f>CEILING(C250/$H$3,1)*CEILING($H$2/$H$3,1)/CEILING(C250/$H$3,1)</f>
        <v>1</v>
      </c>
      <c r="F250" s="28">
        <f>$B$5/D250/B250*E250</f>
        <v>1.2464999999999999</v>
      </c>
    </row>
    <row r="251" spans="1:6" x14ac:dyDescent="0.4">
      <c r="A251" s="28">
        <f t="shared" si="7"/>
        <v>535</v>
      </c>
      <c r="B251" s="28">
        <f t="shared" si="6"/>
        <v>0.36036036036036034</v>
      </c>
      <c r="C251" s="28">
        <f>A251+$E$6</f>
        <v>557</v>
      </c>
      <c r="D251" s="28">
        <f>CEILING(C251/$H$3,1)*CEILING($H$2/$H$3,1)/CEILING($H$2/$H$3,1)</f>
        <v>3</v>
      </c>
      <c r="E251" s="28">
        <f>CEILING(C251/$H$3,1)*CEILING($H$2/$H$3,1)/CEILING(C251/$H$3,1)</f>
        <v>1</v>
      </c>
      <c r="F251" s="28">
        <f>$B$5/D251/B251*E251</f>
        <v>1.24875</v>
      </c>
    </row>
    <row r="252" spans="1:6" x14ac:dyDescent="0.4">
      <c r="A252" s="28">
        <f t="shared" si="7"/>
        <v>536</v>
      </c>
      <c r="B252" s="28">
        <f t="shared" si="6"/>
        <v>0.35971223021582732</v>
      </c>
      <c r="C252" s="28">
        <f>A252+$E$6</f>
        <v>558</v>
      </c>
      <c r="D252" s="28">
        <f>CEILING(C252/$H$3,1)*CEILING($H$2/$H$3,1)/CEILING($H$2/$H$3,1)</f>
        <v>3</v>
      </c>
      <c r="E252" s="28">
        <f>CEILING(C252/$H$3,1)*CEILING($H$2/$H$3,1)/CEILING(C252/$H$3,1)</f>
        <v>1</v>
      </c>
      <c r="F252" s="28">
        <f>$B$5/D252/B252*E252</f>
        <v>1.2510000000000001</v>
      </c>
    </row>
    <row r="253" spans="1:6" x14ac:dyDescent="0.4">
      <c r="A253" s="28">
        <f t="shared" si="7"/>
        <v>537</v>
      </c>
      <c r="B253" s="28">
        <f t="shared" si="6"/>
        <v>0.35906642728904847</v>
      </c>
      <c r="C253" s="28">
        <f>A253+$E$6</f>
        <v>559</v>
      </c>
      <c r="D253" s="28">
        <f>CEILING(C253/$H$3,1)*CEILING($H$2/$H$3,1)/CEILING($H$2/$H$3,1)</f>
        <v>3</v>
      </c>
      <c r="E253" s="28">
        <f>CEILING(C253/$H$3,1)*CEILING($H$2/$H$3,1)/CEILING(C253/$H$3,1)</f>
        <v>1</v>
      </c>
      <c r="F253" s="28">
        <f>$B$5/D253/B253*E253</f>
        <v>1.25325</v>
      </c>
    </row>
    <row r="254" spans="1:6" x14ac:dyDescent="0.4">
      <c r="A254" s="28">
        <f t="shared" si="7"/>
        <v>538</v>
      </c>
      <c r="B254" s="28">
        <f t="shared" si="6"/>
        <v>0.35842293906810035</v>
      </c>
      <c r="C254" s="28">
        <f>A254+$E$6</f>
        <v>560</v>
      </c>
      <c r="D254" s="28">
        <f>CEILING(C254/$H$3,1)*CEILING($H$2/$H$3,1)/CEILING($H$2/$H$3,1)</f>
        <v>3</v>
      </c>
      <c r="E254" s="28">
        <f>CEILING(C254/$H$3,1)*CEILING($H$2/$H$3,1)/CEILING(C254/$H$3,1)</f>
        <v>1</v>
      </c>
      <c r="F254" s="28">
        <f>$B$5/D254/B254*E254</f>
        <v>1.2555000000000001</v>
      </c>
    </row>
    <row r="255" spans="1:6" x14ac:dyDescent="0.4">
      <c r="A255" s="28">
        <f t="shared" si="7"/>
        <v>539</v>
      </c>
      <c r="B255" s="28">
        <f t="shared" si="6"/>
        <v>0.35778175313059035</v>
      </c>
      <c r="C255" s="28">
        <f>A255+$E$6</f>
        <v>561</v>
      </c>
      <c r="D255" s="28">
        <f>CEILING(C255/$H$3,1)*CEILING($H$2/$H$3,1)/CEILING($H$2/$H$3,1)</f>
        <v>3</v>
      </c>
      <c r="E255" s="28">
        <f>CEILING(C255/$H$3,1)*CEILING($H$2/$H$3,1)/CEILING(C255/$H$3,1)</f>
        <v>1</v>
      </c>
      <c r="F255" s="28">
        <f>$B$5/D255/B255*E255</f>
        <v>1.2577499999999999</v>
      </c>
    </row>
    <row r="256" spans="1:6" x14ac:dyDescent="0.4">
      <c r="A256" s="28">
        <f t="shared" si="7"/>
        <v>540</v>
      </c>
      <c r="B256" s="28">
        <f t="shared" si="6"/>
        <v>0.35714285714285715</v>
      </c>
      <c r="C256" s="28">
        <f>A256+$E$6</f>
        <v>562</v>
      </c>
      <c r="D256" s="28">
        <f>CEILING(C256/$H$3,1)*CEILING($H$2/$H$3,1)/CEILING($H$2/$H$3,1)</f>
        <v>3</v>
      </c>
      <c r="E256" s="28">
        <f>CEILING(C256/$H$3,1)*CEILING($H$2/$H$3,1)/CEILING(C256/$H$3,1)</f>
        <v>1</v>
      </c>
      <c r="F256" s="28">
        <f>$B$5/D256/B256*E256</f>
        <v>1.26</v>
      </c>
    </row>
    <row r="257" spans="1:6" x14ac:dyDescent="0.4">
      <c r="A257" s="28">
        <f t="shared" si="7"/>
        <v>541</v>
      </c>
      <c r="B257" s="28">
        <f t="shared" si="6"/>
        <v>0.35650623885918004</v>
      </c>
      <c r="C257" s="28">
        <f>A257+$E$6</f>
        <v>563</v>
      </c>
      <c r="D257" s="28">
        <f>CEILING(C257/$H$3,1)*CEILING($H$2/$H$3,1)/CEILING($H$2/$H$3,1)</f>
        <v>3</v>
      </c>
      <c r="E257" s="28">
        <f>CEILING(C257/$H$3,1)*CEILING($H$2/$H$3,1)/CEILING(C257/$H$3,1)</f>
        <v>1</v>
      </c>
      <c r="F257" s="28">
        <f>$B$5/D257/B257*E257</f>
        <v>1.2622500000000001</v>
      </c>
    </row>
    <row r="258" spans="1:6" x14ac:dyDescent="0.4">
      <c r="A258" s="28">
        <f t="shared" si="7"/>
        <v>542</v>
      </c>
      <c r="B258" s="28">
        <f t="shared" si="6"/>
        <v>0.35587188612099646</v>
      </c>
      <c r="C258" s="28">
        <f>A258+$E$6</f>
        <v>564</v>
      </c>
      <c r="D258" s="28">
        <f>CEILING(C258/$H$3,1)*CEILING($H$2/$H$3,1)/CEILING($H$2/$H$3,1)</f>
        <v>3</v>
      </c>
      <c r="E258" s="28">
        <f>CEILING(C258/$H$3,1)*CEILING($H$2/$H$3,1)/CEILING(C258/$H$3,1)</f>
        <v>1</v>
      </c>
      <c r="F258" s="28">
        <f>$B$5/D258/B258*E258</f>
        <v>1.2645</v>
      </c>
    </row>
    <row r="259" spans="1:6" x14ac:dyDescent="0.4">
      <c r="A259" s="28">
        <f t="shared" si="7"/>
        <v>543</v>
      </c>
      <c r="B259" s="28">
        <f t="shared" si="6"/>
        <v>0.35523978685612789</v>
      </c>
      <c r="C259" s="28">
        <f>A259+$E$6</f>
        <v>565</v>
      </c>
      <c r="D259" s="28">
        <f>CEILING(C259/$H$3,1)*CEILING($H$2/$H$3,1)/CEILING($H$2/$H$3,1)</f>
        <v>3</v>
      </c>
      <c r="E259" s="28">
        <f>CEILING(C259/$H$3,1)*CEILING($H$2/$H$3,1)/CEILING(C259/$H$3,1)</f>
        <v>1</v>
      </c>
      <c r="F259" s="28">
        <f>$B$5/D259/B259*E259</f>
        <v>1.26675</v>
      </c>
    </row>
    <row r="260" spans="1:6" x14ac:dyDescent="0.4">
      <c r="A260" s="28">
        <f t="shared" si="7"/>
        <v>544</v>
      </c>
      <c r="B260" s="28">
        <f t="shared" si="6"/>
        <v>0.3546099290780142</v>
      </c>
      <c r="C260" s="28">
        <f>A260+$E$6</f>
        <v>566</v>
      </c>
      <c r="D260" s="28">
        <f>CEILING(C260/$H$3,1)*CEILING($H$2/$H$3,1)/CEILING($H$2/$H$3,1)</f>
        <v>3</v>
      </c>
      <c r="E260" s="28">
        <f>CEILING(C260/$H$3,1)*CEILING($H$2/$H$3,1)/CEILING(C260/$H$3,1)</f>
        <v>1</v>
      </c>
      <c r="F260" s="28">
        <f>$B$5/D260/B260*E260</f>
        <v>1.2689999999999999</v>
      </c>
    </row>
    <row r="261" spans="1:6" x14ac:dyDescent="0.4">
      <c r="A261" s="28">
        <f t="shared" si="7"/>
        <v>545</v>
      </c>
      <c r="B261" s="28">
        <f t="shared" si="6"/>
        <v>0.35398230088495575</v>
      </c>
      <c r="C261" s="28">
        <f>A261+$E$6</f>
        <v>567</v>
      </c>
      <c r="D261" s="28">
        <f>CEILING(C261/$H$3,1)*CEILING($H$2/$H$3,1)/CEILING($H$2/$H$3,1)</f>
        <v>3</v>
      </c>
      <c r="E261" s="28">
        <f>CEILING(C261/$H$3,1)*CEILING($H$2/$H$3,1)/CEILING(C261/$H$3,1)</f>
        <v>1</v>
      </c>
      <c r="F261" s="28">
        <f>$B$5/D261/B261*E261</f>
        <v>1.27125</v>
      </c>
    </row>
    <row r="262" spans="1:6" x14ac:dyDescent="0.4">
      <c r="A262" s="28">
        <f t="shared" si="7"/>
        <v>546</v>
      </c>
      <c r="B262" s="28">
        <f t="shared" si="6"/>
        <v>0.35335689045936397</v>
      </c>
      <c r="C262" s="28">
        <f>A262+$E$6</f>
        <v>568</v>
      </c>
      <c r="D262" s="28">
        <f>CEILING(C262/$H$3,1)*CEILING($H$2/$H$3,1)/CEILING($H$2/$H$3,1)</f>
        <v>3</v>
      </c>
      <c r="E262" s="28">
        <f>CEILING(C262/$H$3,1)*CEILING($H$2/$H$3,1)/CEILING(C262/$H$3,1)</f>
        <v>1</v>
      </c>
      <c r="F262" s="28">
        <f>$B$5/D262/B262*E262</f>
        <v>1.2735000000000001</v>
      </c>
    </row>
    <row r="263" spans="1:6" x14ac:dyDescent="0.4">
      <c r="A263" s="28">
        <f t="shared" si="7"/>
        <v>547</v>
      </c>
      <c r="B263" s="28">
        <f t="shared" si="6"/>
        <v>0.35273368606701938</v>
      </c>
      <c r="C263" s="28">
        <f>A263+$E$6</f>
        <v>569</v>
      </c>
      <c r="D263" s="28">
        <f>CEILING(C263/$H$3,1)*CEILING($H$2/$H$3,1)/CEILING($H$2/$H$3,1)</f>
        <v>3</v>
      </c>
      <c r="E263" s="28">
        <f>CEILING(C263/$H$3,1)*CEILING($H$2/$H$3,1)/CEILING(C263/$H$3,1)</f>
        <v>1</v>
      </c>
      <c r="F263" s="28">
        <f>$B$5/D263/B263*E263</f>
        <v>1.2757500000000002</v>
      </c>
    </row>
    <row r="264" spans="1:6" x14ac:dyDescent="0.4">
      <c r="A264" s="28">
        <f t="shared" si="7"/>
        <v>548</v>
      </c>
      <c r="B264" s="28">
        <f t="shared" si="6"/>
        <v>0.352112676056338</v>
      </c>
      <c r="C264" s="28">
        <f>A264+$E$6</f>
        <v>570</v>
      </c>
      <c r="D264" s="28">
        <f>CEILING(C264/$H$3,1)*CEILING($H$2/$H$3,1)/CEILING($H$2/$H$3,1)</f>
        <v>3</v>
      </c>
      <c r="E264" s="28">
        <f>CEILING(C264/$H$3,1)*CEILING($H$2/$H$3,1)/CEILING(C264/$H$3,1)</f>
        <v>1</v>
      </c>
      <c r="F264" s="28">
        <f>$B$5/D264/B264*E264</f>
        <v>1.278</v>
      </c>
    </row>
    <row r="265" spans="1:6" x14ac:dyDescent="0.4">
      <c r="A265" s="28">
        <f t="shared" si="7"/>
        <v>549</v>
      </c>
      <c r="B265" s="28">
        <f t="shared" si="6"/>
        <v>0.35149384885764501</v>
      </c>
      <c r="C265" s="28">
        <f>A265+$E$6</f>
        <v>571</v>
      </c>
      <c r="D265" s="28">
        <f>CEILING(C265/$H$3,1)*CEILING($H$2/$H$3,1)/CEILING($H$2/$H$3,1)</f>
        <v>3</v>
      </c>
      <c r="E265" s="28">
        <f>CEILING(C265/$H$3,1)*CEILING($H$2/$H$3,1)/CEILING(C265/$H$3,1)</f>
        <v>1</v>
      </c>
      <c r="F265" s="28">
        <f>$B$5/D265/B265*E265</f>
        <v>1.2802499999999999</v>
      </c>
    </row>
    <row r="266" spans="1:6" x14ac:dyDescent="0.4">
      <c r="A266" s="28">
        <f t="shared" si="7"/>
        <v>550</v>
      </c>
      <c r="B266" s="28">
        <f t="shared" si="6"/>
        <v>0.35087719298245612</v>
      </c>
      <c r="C266" s="28">
        <f>A266+$E$6</f>
        <v>572</v>
      </c>
      <c r="D266" s="28">
        <f>CEILING(C266/$H$3,1)*CEILING($H$2/$H$3,1)/CEILING($H$2/$H$3,1)</f>
        <v>3</v>
      </c>
      <c r="E266" s="28">
        <f>CEILING(C266/$H$3,1)*CEILING($H$2/$H$3,1)/CEILING(C266/$H$3,1)</f>
        <v>1</v>
      </c>
      <c r="F266" s="28">
        <f>$B$5/D266/B266*E266</f>
        <v>1.2825000000000002</v>
      </c>
    </row>
    <row r="267" spans="1:6" x14ac:dyDescent="0.4">
      <c r="A267" s="28">
        <f t="shared" si="7"/>
        <v>551</v>
      </c>
      <c r="B267" s="28">
        <f t="shared" ref="B267:B330" si="8">$B$4/8/(A267+$B$2)</f>
        <v>0.35026269702276708</v>
      </c>
      <c r="C267" s="28">
        <f>A267+$E$6</f>
        <v>573</v>
      </c>
      <c r="D267" s="28">
        <f>CEILING(C267/$H$3,1)*CEILING($H$2/$H$3,1)/CEILING($H$2/$H$3,1)</f>
        <v>3</v>
      </c>
      <c r="E267" s="28">
        <f>CEILING(C267/$H$3,1)*CEILING($H$2/$H$3,1)/CEILING(C267/$H$3,1)</f>
        <v>1</v>
      </c>
      <c r="F267" s="28">
        <f>$B$5/D267/B267*E267</f>
        <v>1.2847500000000001</v>
      </c>
    </row>
    <row r="268" spans="1:6" x14ac:dyDescent="0.4">
      <c r="A268" s="28">
        <f t="shared" si="7"/>
        <v>552</v>
      </c>
      <c r="B268" s="28">
        <f t="shared" si="8"/>
        <v>0.34965034965034963</v>
      </c>
      <c r="C268" s="28">
        <f>A268+$E$6</f>
        <v>574</v>
      </c>
      <c r="D268" s="28">
        <f>CEILING(C268/$H$3,1)*CEILING($H$2/$H$3,1)/CEILING($H$2/$H$3,1)</f>
        <v>3</v>
      </c>
      <c r="E268" s="28">
        <f>CEILING(C268/$H$3,1)*CEILING($H$2/$H$3,1)/CEILING(C268/$H$3,1)</f>
        <v>1</v>
      </c>
      <c r="F268" s="28">
        <f>$B$5/D268/B268*E268</f>
        <v>1.2870000000000001</v>
      </c>
    </row>
    <row r="269" spans="1:6" x14ac:dyDescent="0.4">
      <c r="A269" s="28">
        <f t="shared" ref="A269:A332" si="9">A268+$B$3</f>
        <v>553</v>
      </c>
      <c r="B269" s="28">
        <f t="shared" si="8"/>
        <v>0.34904013961605584</v>
      </c>
      <c r="C269" s="28">
        <f>A269+$E$6</f>
        <v>575</v>
      </c>
      <c r="D269" s="28">
        <f>CEILING(C269/$H$3,1)*CEILING($H$2/$H$3,1)/CEILING($H$2/$H$3,1)</f>
        <v>3</v>
      </c>
      <c r="E269" s="28">
        <f>CEILING(C269/$H$3,1)*CEILING($H$2/$H$3,1)/CEILING(C269/$H$3,1)</f>
        <v>1</v>
      </c>
      <c r="F269" s="28">
        <f>$B$5/D269/B269*E269</f>
        <v>1.28925</v>
      </c>
    </row>
    <row r="270" spans="1:6" x14ac:dyDescent="0.4">
      <c r="A270" s="28">
        <f t="shared" si="9"/>
        <v>554</v>
      </c>
      <c r="B270" s="28">
        <f t="shared" si="8"/>
        <v>0.34843205574912894</v>
      </c>
      <c r="C270" s="28">
        <f>A270+$E$6</f>
        <v>576</v>
      </c>
      <c r="D270" s="28">
        <f>CEILING(C270/$H$3,1)*CEILING($H$2/$H$3,1)/CEILING($H$2/$H$3,1)</f>
        <v>3</v>
      </c>
      <c r="E270" s="28">
        <f>CEILING(C270/$H$3,1)*CEILING($H$2/$H$3,1)/CEILING(C270/$H$3,1)</f>
        <v>1</v>
      </c>
      <c r="F270" s="28">
        <f>$B$5/D270/B270*E270</f>
        <v>1.2914999999999999</v>
      </c>
    </row>
    <row r="271" spans="1:6" x14ac:dyDescent="0.4">
      <c r="A271" s="28">
        <f t="shared" si="9"/>
        <v>555</v>
      </c>
      <c r="B271" s="28">
        <f t="shared" si="8"/>
        <v>0.34782608695652173</v>
      </c>
      <c r="C271" s="28">
        <f>A271+$E$6</f>
        <v>577</v>
      </c>
      <c r="D271" s="28">
        <f>CEILING(C271/$H$3,1)*CEILING($H$2/$H$3,1)/CEILING($H$2/$H$3,1)</f>
        <v>3</v>
      </c>
      <c r="E271" s="28">
        <f>CEILING(C271/$H$3,1)*CEILING($H$2/$H$3,1)/CEILING(C271/$H$3,1)</f>
        <v>1</v>
      </c>
      <c r="F271" s="28">
        <f>$B$5/D271/B271*E271</f>
        <v>1.2937500000000002</v>
      </c>
    </row>
    <row r="272" spans="1:6" x14ac:dyDescent="0.4">
      <c r="A272" s="28">
        <f t="shared" si="9"/>
        <v>556</v>
      </c>
      <c r="B272" s="28">
        <f t="shared" si="8"/>
        <v>0.34722222222222221</v>
      </c>
      <c r="C272" s="28">
        <f>A272+$E$6</f>
        <v>578</v>
      </c>
      <c r="D272" s="28">
        <f>CEILING(C272/$H$3,1)*CEILING($H$2/$H$3,1)/CEILING($H$2/$H$3,1)</f>
        <v>3</v>
      </c>
      <c r="E272" s="28">
        <f>CEILING(C272/$H$3,1)*CEILING($H$2/$H$3,1)/CEILING(C272/$H$3,1)</f>
        <v>1</v>
      </c>
      <c r="F272" s="28">
        <f>$B$5/D272/B272*E272</f>
        <v>1.296</v>
      </c>
    </row>
    <row r="273" spans="1:6" x14ac:dyDescent="0.4">
      <c r="A273" s="28">
        <f t="shared" si="9"/>
        <v>557</v>
      </c>
      <c r="B273" s="28">
        <f t="shared" si="8"/>
        <v>0.34662045060658581</v>
      </c>
      <c r="C273" s="28">
        <f>A273+$E$6</f>
        <v>579</v>
      </c>
      <c r="D273" s="28">
        <f>CEILING(C273/$H$3,1)*CEILING($H$2/$H$3,1)/CEILING($H$2/$H$3,1)</f>
        <v>3</v>
      </c>
      <c r="E273" s="28">
        <f>CEILING(C273/$H$3,1)*CEILING($H$2/$H$3,1)/CEILING(C273/$H$3,1)</f>
        <v>1</v>
      </c>
      <c r="F273" s="28">
        <f>$B$5/D273/B273*E273</f>
        <v>1.2982499999999999</v>
      </c>
    </row>
    <row r="274" spans="1:6" x14ac:dyDescent="0.4">
      <c r="A274" s="28">
        <f t="shared" si="9"/>
        <v>558</v>
      </c>
      <c r="B274" s="28">
        <f t="shared" si="8"/>
        <v>0.34602076124567471</v>
      </c>
      <c r="C274" s="28">
        <f>A274+$E$6</f>
        <v>580</v>
      </c>
      <c r="D274" s="28">
        <f>CEILING(C274/$H$3,1)*CEILING($H$2/$H$3,1)/CEILING($H$2/$H$3,1)</f>
        <v>3</v>
      </c>
      <c r="E274" s="28">
        <f>CEILING(C274/$H$3,1)*CEILING($H$2/$H$3,1)/CEILING(C274/$H$3,1)</f>
        <v>1</v>
      </c>
      <c r="F274" s="28">
        <f>$B$5/D274/B274*E274</f>
        <v>1.3005000000000002</v>
      </c>
    </row>
    <row r="275" spans="1:6" x14ac:dyDescent="0.4">
      <c r="A275" s="28">
        <f t="shared" si="9"/>
        <v>559</v>
      </c>
      <c r="B275" s="28">
        <f t="shared" si="8"/>
        <v>0.34542314335060448</v>
      </c>
      <c r="C275" s="28">
        <f>A275+$E$6</f>
        <v>581</v>
      </c>
      <c r="D275" s="28">
        <f>CEILING(C275/$H$3,1)*CEILING($H$2/$H$3,1)/CEILING($H$2/$H$3,1)</f>
        <v>3</v>
      </c>
      <c r="E275" s="28">
        <f>CEILING(C275/$H$3,1)*CEILING($H$2/$H$3,1)/CEILING(C275/$H$3,1)</f>
        <v>1</v>
      </c>
      <c r="F275" s="28">
        <f>$B$5/D275/B275*E275</f>
        <v>1.3027500000000001</v>
      </c>
    </row>
    <row r="276" spans="1:6" x14ac:dyDescent="0.4">
      <c r="A276" s="28">
        <f t="shared" si="9"/>
        <v>560</v>
      </c>
      <c r="B276" s="28">
        <f t="shared" si="8"/>
        <v>0.34482758620689657</v>
      </c>
      <c r="C276" s="28">
        <f>A276+$E$6</f>
        <v>582</v>
      </c>
      <c r="D276" s="28">
        <f>CEILING(C276/$H$3,1)*CEILING($H$2/$H$3,1)/CEILING($H$2/$H$3,1)</f>
        <v>3</v>
      </c>
      <c r="E276" s="28">
        <f>CEILING(C276/$H$3,1)*CEILING($H$2/$H$3,1)/CEILING(C276/$H$3,1)</f>
        <v>1</v>
      </c>
      <c r="F276" s="28">
        <f>$B$5/D276/B276*E276</f>
        <v>1.3049999999999999</v>
      </c>
    </row>
    <row r="277" spans="1:6" x14ac:dyDescent="0.4">
      <c r="A277" s="28">
        <f t="shared" si="9"/>
        <v>561</v>
      </c>
      <c r="B277" s="28">
        <f t="shared" si="8"/>
        <v>0.34423407917383819</v>
      </c>
      <c r="C277" s="28">
        <f>A277+$E$6</f>
        <v>583</v>
      </c>
      <c r="D277" s="28">
        <f>CEILING(C277/$H$3,1)*CEILING($H$2/$H$3,1)/CEILING($H$2/$H$3,1)</f>
        <v>3</v>
      </c>
      <c r="E277" s="28">
        <f>CEILING(C277/$H$3,1)*CEILING($H$2/$H$3,1)/CEILING(C277/$H$3,1)</f>
        <v>1</v>
      </c>
      <c r="F277" s="28">
        <f>$B$5/D277/B277*E277</f>
        <v>1.30725</v>
      </c>
    </row>
    <row r="278" spans="1:6" x14ac:dyDescent="0.4">
      <c r="A278" s="28">
        <f t="shared" si="9"/>
        <v>562</v>
      </c>
      <c r="B278" s="28">
        <f t="shared" si="8"/>
        <v>0.3436426116838488</v>
      </c>
      <c r="C278" s="28">
        <f>A278+$E$6</f>
        <v>584</v>
      </c>
      <c r="D278" s="28">
        <f>CEILING(C278/$H$3,1)*CEILING($H$2/$H$3,1)/CEILING($H$2/$H$3,1)</f>
        <v>3</v>
      </c>
      <c r="E278" s="28">
        <f>CEILING(C278/$H$3,1)*CEILING($H$2/$H$3,1)/CEILING(C278/$H$3,1)</f>
        <v>1</v>
      </c>
      <c r="F278" s="28">
        <f>$B$5/D278/B278*E278</f>
        <v>1.3095000000000001</v>
      </c>
    </row>
    <row r="279" spans="1:6" x14ac:dyDescent="0.4">
      <c r="A279" s="28">
        <f t="shared" si="9"/>
        <v>563</v>
      </c>
      <c r="B279" s="28">
        <f t="shared" si="8"/>
        <v>0.34305317324185247</v>
      </c>
      <c r="C279" s="28">
        <f>A279+$E$6</f>
        <v>585</v>
      </c>
      <c r="D279" s="28">
        <f>CEILING(C279/$H$3,1)*CEILING($H$2/$H$3,1)/CEILING($H$2/$H$3,1)</f>
        <v>3</v>
      </c>
      <c r="E279" s="28">
        <f>CEILING(C279/$H$3,1)*CEILING($H$2/$H$3,1)/CEILING(C279/$H$3,1)</f>
        <v>1</v>
      </c>
      <c r="F279" s="28">
        <f>$B$5/D279/B279*E279</f>
        <v>1.3117500000000002</v>
      </c>
    </row>
    <row r="280" spans="1:6" x14ac:dyDescent="0.4">
      <c r="A280" s="28">
        <f t="shared" si="9"/>
        <v>564</v>
      </c>
      <c r="B280" s="28">
        <f t="shared" si="8"/>
        <v>0.34246575342465752</v>
      </c>
      <c r="C280" s="28">
        <f>A280+$E$6</f>
        <v>586</v>
      </c>
      <c r="D280" s="28">
        <f>CEILING(C280/$H$3,1)*CEILING($H$2/$H$3,1)/CEILING($H$2/$H$3,1)</f>
        <v>3</v>
      </c>
      <c r="E280" s="28">
        <f>CEILING(C280/$H$3,1)*CEILING($H$2/$H$3,1)/CEILING(C280/$H$3,1)</f>
        <v>1</v>
      </c>
      <c r="F280" s="28">
        <f>$B$5/D280/B280*E280</f>
        <v>1.3140000000000001</v>
      </c>
    </row>
    <row r="281" spans="1:6" x14ac:dyDescent="0.4">
      <c r="A281" s="28">
        <f t="shared" si="9"/>
        <v>565</v>
      </c>
      <c r="B281" s="28">
        <f t="shared" si="8"/>
        <v>0.34188034188034189</v>
      </c>
      <c r="C281" s="28">
        <f>A281+$E$6</f>
        <v>587</v>
      </c>
      <c r="D281" s="28">
        <f>CEILING(C281/$H$3,1)*CEILING($H$2/$H$3,1)/CEILING($H$2/$H$3,1)</f>
        <v>3</v>
      </c>
      <c r="E281" s="28">
        <f>CEILING(C281/$H$3,1)*CEILING($H$2/$H$3,1)/CEILING(C281/$H$3,1)</f>
        <v>1</v>
      </c>
      <c r="F281" s="28">
        <f>$B$5/D281/B281*E281</f>
        <v>1.3162499999999999</v>
      </c>
    </row>
    <row r="282" spans="1:6" x14ac:dyDescent="0.4">
      <c r="A282" s="28">
        <f t="shared" si="9"/>
        <v>566</v>
      </c>
      <c r="B282" s="28">
        <f t="shared" si="8"/>
        <v>0.34129692832764508</v>
      </c>
      <c r="C282" s="28">
        <f>A282+$E$6</f>
        <v>588</v>
      </c>
      <c r="D282" s="28">
        <f>CEILING(C282/$H$3,1)*CEILING($H$2/$H$3,1)/CEILING($H$2/$H$3,1)</f>
        <v>3</v>
      </c>
      <c r="E282" s="28">
        <f>CEILING(C282/$H$3,1)*CEILING($H$2/$H$3,1)/CEILING(C282/$H$3,1)</f>
        <v>1</v>
      </c>
      <c r="F282" s="28">
        <f>$B$5/D282/B282*E282</f>
        <v>1.3185</v>
      </c>
    </row>
    <row r="283" spans="1:6" x14ac:dyDescent="0.4">
      <c r="A283" s="28">
        <f t="shared" si="9"/>
        <v>567</v>
      </c>
      <c r="B283" s="28">
        <f t="shared" si="8"/>
        <v>0.34071550255536626</v>
      </c>
      <c r="C283" s="28">
        <f>A283+$E$6</f>
        <v>589</v>
      </c>
      <c r="D283" s="28">
        <f>CEILING(C283/$H$3,1)*CEILING($H$2/$H$3,1)/CEILING($H$2/$H$3,1)</f>
        <v>3</v>
      </c>
      <c r="E283" s="28">
        <f>CEILING(C283/$H$3,1)*CEILING($H$2/$H$3,1)/CEILING(C283/$H$3,1)</f>
        <v>1</v>
      </c>
      <c r="F283" s="28">
        <f>$B$5/D283/B283*E283</f>
        <v>1.3207500000000001</v>
      </c>
    </row>
    <row r="284" spans="1:6" x14ac:dyDescent="0.4">
      <c r="A284" s="28">
        <f t="shared" si="9"/>
        <v>568</v>
      </c>
      <c r="B284" s="28">
        <f t="shared" si="8"/>
        <v>0.3401360544217687</v>
      </c>
      <c r="C284" s="28">
        <f>A284+$E$6</f>
        <v>590</v>
      </c>
      <c r="D284" s="28">
        <f>CEILING(C284/$H$3,1)*CEILING($H$2/$H$3,1)/CEILING($H$2/$H$3,1)</f>
        <v>3</v>
      </c>
      <c r="E284" s="28">
        <f>CEILING(C284/$H$3,1)*CEILING($H$2/$H$3,1)/CEILING(C284/$H$3,1)</f>
        <v>1</v>
      </c>
      <c r="F284" s="28">
        <f>$B$5/D284/B284*E284</f>
        <v>1.3230000000000002</v>
      </c>
    </row>
    <row r="285" spans="1:6" x14ac:dyDescent="0.4">
      <c r="A285" s="28">
        <f t="shared" si="9"/>
        <v>569</v>
      </c>
      <c r="B285" s="28">
        <f t="shared" si="8"/>
        <v>0.3395585738539898</v>
      </c>
      <c r="C285" s="28">
        <f>A285+$E$6</f>
        <v>591</v>
      </c>
      <c r="D285" s="28">
        <f>CEILING(C285/$H$3,1)*CEILING($H$2/$H$3,1)/CEILING($H$2/$H$3,1)</f>
        <v>3</v>
      </c>
      <c r="E285" s="28">
        <f>CEILING(C285/$H$3,1)*CEILING($H$2/$H$3,1)/CEILING(C285/$H$3,1)</f>
        <v>1</v>
      </c>
      <c r="F285" s="28">
        <f>$B$5/D285/B285*E285</f>
        <v>1.32525</v>
      </c>
    </row>
    <row r="286" spans="1:6" x14ac:dyDescent="0.4">
      <c r="A286" s="28">
        <f t="shared" si="9"/>
        <v>570</v>
      </c>
      <c r="B286" s="28">
        <f t="shared" si="8"/>
        <v>0.33898305084745761</v>
      </c>
      <c r="C286" s="28">
        <f>A286+$E$6</f>
        <v>592</v>
      </c>
      <c r="D286" s="28">
        <f>CEILING(C286/$H$3,1)*CEILING($H$2/$H$3,1)/CEILING($H$2/$H$3,1)</f>
        <v>3</v>
      </c>
      <c r="E286" s="28">
        <f>CEILING(C286/$H$3,1)*CEILING($H$2/$H$3,1)/CEILING(C286/$H$3,1)</f>
        <v>1</v>
      </c>
      <c r="F286" s="28">
        <f>$B$5/D286/B286*E286</f>
        <v>1.3275000000000001</v>
      </c>
    </row>
    <row r="287" spans="1:6" x14ac:dyDescent="0.4">
      <c r="A287" s="28">
        <f t="shared" si="9"/>
        <v>571</v>
      </c>
      <c r="B287" s="28">
        <f t="shared" si="8"/>
        <v>0.33840947546531303</v>
      </c>
      <c r="C287" s="28">
        <f>A287+$E$6</f>
        <v>593</v>
      </c>
      <c r="D287" s="28">
        <f>CEILING(C287/$H$3,1)*CEILING($H$2/$H$3,1)/CEILING($H$2/$H$3,1)</f>
        <v>3</v>
      </c>
      <c r="E287" s="28">
        <f>CEILING(C287/$H$3,1)*CEILING($H$2/$H$3,1)/CEILING(C287/$H$3,1)</f>
        <v>1</v>
      </c>
      <c r="F287" s="28">
        <f>$B$5/D287/B287*E287</f>
        <v>1.32975</v>
      </c>
    </row>
    <row r="288" spans="1:6" x14ac:dyDescent="0.4">
      <c r="A288" s="28">
        <f t="shared" si="9"/>
        <v>572</v>
      </c>
      <c r="B288" s="28">
        <f t="shared" si="8"/>
        <v>0.33783783783783783</v>
      </c>
      <c r="C288" s="28">
        <f>A288+$E$6</f>
        <v>594</v>
      </c>
      <c r="D288" s="28">
        <f>CEILING(C288/$H$3,1)*CEILING($H$2/$H$3,1)/CEILING($H$2/$H$3,1)</f>
        <v>3</v>
      </c>
      <c r="E288" s="28">
        <f>CEILING(C288/$H$3,1)*CEILING($H$2/$H$3,1)/CEILING(C288/$H$3,1)</f>
        <v>1</v>
      </c>
      <c r="F288" s="28">
        <f>$B$5/D288/B288*E288</f>
        <v>1.3320000000000001</v>
      </c>
    </row>
    <row r="289" spans="1:6" x14ac:dyDescent="0.4">
      <c r="A289" s="28">
        <f t="shared" si="9"/>
        <v>573</v>
      </c>
      <c r="B289" s="28">
        <f t="shared" si="8"/>
        <v>0.33726812816188873</v>
      </c>
      <c r="C289" s="28">
        <f>A289+$E$6</f>
        <v>595</v>
      </c>
      <c r="D289" s="28">
        <f>CEILING(C289/$H$3,1)*CEILING($H$2/$H$3,1)/CEILING($H$2/$H$3,1)</f>
        <v>3</v>
      </c>
      <c r="E289" s="28">
        <f>CEILING(C289/$H$3,1)*CEILING($H$2/$H$3,1)/CEILING(C289/$H$3,1)</f>
        <v>1</v>
      </c>
      <c r="F289" s="28">
        <f>$B$5/D289/B289*E289</f>
        <v>1.3342499999999999</v>
      </c>
    </row>
    <row r="290" spans="1:6" x14ac:dyDescent="0.4">
      <c r="A290" s="28">
        <f t="shared" si="9"/>
        <v>574</v>
      </c>
      <c r="B290" s="28">
        <f t="shared" si="8"/>
        <v>0.33670033670033672</v>
      </c>
      <c r="C290" s="28">
        <f>A290+$E$6</f>
        <v>596</v>
      </c>
      <c r="D290" s="28">
        <f>CEILING(C290/$H$3,1)*CEILING($H$2/$H$3,1)/CEILING($H$2/$H$3,1)</f>
        <v>3</v>
      </c>
      <c r="E290" s="28">
        <f>CEILING(C290/$H$3,1)*CEILING($H$2/$H$3,1)/CEILING(C290/$H$3,1)</f>
        <v>1</v>
      </c>
      <c r="F290" s="28">
        <f>$B$5/D290/B290*E290</f>
        <v>1.3365</v>
      </c>
    </row>
    <row r="291" spans="1:6" x14ac:dyDescent="0.4">
      <c r="A291" s="28">
        <f t="shared" si="9"/>
        <v>575</v>
      </c>
      <c r="B291" s="28">
        <f t="shared" si="8"/>
        <v>0.33613445378151263</v>
      </c>
      <c r="C291" s="28">
        <f>A291+$E$6</f>
        <v>597</v>
      </c>
      <c r="D291" s="28">
        <f>CEILING(C291/$H$3,1)*CEILING($H$2/$H$3,1)/CEILING($H$2/$H$3,1)</f>
        <v>3</v>
      </c>
      <c r="E291" s="28">
        <f>CEILING(C291/$H$3,1)*CEILING($H$2/$H$3,1)/CEILING(C291/$H$3,1)</f>
        <v>1</v>
      </c>
      <c r="F291" s="28">
        <f>$B$5/D291/B291*E291</f>
        <v>1.3387499999999999</v>
      </c>
    </row>
    <row r="292" spans="1:6" x14ac:dyDescent="0.4">
      <c r="A292" s="28">
        <f t="shared" si="9"/>
        <v>576</v>
      </c>
      <c r="B292" s="28">
        <f t="shared" si="8"/>
        <v>0.33557046979865773</v>
      </c>
      <c r="C292" s="28">
        <f>A292+$E$6</f>
        <v>598</v>
      </c>
      <c r="D292" s="28">
        <f>CEILING(C292/$H$3,1)*CEILING($H$2/$H$3,1)/CEILING($H$2/$H$3,1)</f>
        <v>3</v>
      </c>
      <c r="E292" s="28">
        <f>CEILING(C292/$H$3,1)*CEILING($H$2/$H$3,1)/CEILING(C292/$H$3,1)</f>
        <v>1</v>
      </c>
      <c r="F292" s="28">
        <f>$B$5/D292/B292*E292</f>
        <v>1.341</v>
      </c>
    </row>
    <row r="293" spans="1:6" x14ac:dyDescent="0.4">
      <c r="A293" s="28">
        <f t="shared" si="9"/>
        <v>577</v>
      </c>
      <c r="B293" s="28">
        <f t="shared" si="8"/>
        <v>0.33500837520938026</v>
      </c>
      <c r="C293" s="28">
        <f>A293+$E$6</f>
        <v>599</v>
      </c>
      <c r="D293" s="28">
        <f>CEILING(C293/$H$3,1)*CEILING($H$2/$H$3,1)/CEILING($H$2/$H$3,1)</f>
        <v>3</v>
      </c>
      <c r="E293" s="28">
        <f>CEILING(C293/$H$3,1)*CEILING($H$2/$H$3,1)/CEILING(C293/$H$3,1)</f>
        <v>1</v>
      </c>
      <c r="F293" s="28">
        <f>$B$5/D293/B293*E293</f>
        <v>1.3432499999999998</v>
      </c>
    </row>
    <row r="294" spans="1:6" x14ac:dyDescent="0.4">
      <c r="A294" s="28">
        <f t="shared" si="9"/>
        <v>578</v>
      </c>
      <c r="B294" s="28">
        <f t="shared" si="8"/>
        <v>0.33444816053511706</v>
      </c>
      <c r="C294" s="28">
        <f>A294+$E$6</f>
        <v>600</v>
      </c>
      <c r="D294" s="28">
        <f>CEILING(C294/$H$3,1)*CEILING($H$2/$H$3,1)/CEILING($H$2/$H$3,1)</f>
        <v>3</v>
      </c>
      <c r="E294" s="28">
        <f>CEILING(C294/$H$3,1)*CEILING($H$2/$H$3,1)/CEILING(C294/$H$3,1)</f>
        <v>1</v>
      </c>
      <c r="F294" s="28">
        <f>$B$5/D294/B294*E294</f>
        <v>1.3455000000000001</v>
      </c>
    </row>
    <row r="295" spans="1:6" x14ac:dyDescent="0.4">
      <c r="A295" s="28">
        <f t="shared" si="9"/>
        <v>579</v>
      </c>
      <c r="B295" s="28">
        <f t="shared" si="8"/>
        <v>0.333889816360601</v>
      </c>
      <c r="C295" s="28">
        <f>A295+$E$6</f>
        <v>601</v>
      </c>
      <c r="D295" s="28">
        <f>CEILING(C295/$H$3,1)*CEILING($H$2/$H$3,1)/CEILING($H$2/$H$3,1)</f>
        <v>3</v>
      </c>
      <c r="E295" s="28">
        <f>CEILING(C295/$H$3,1)*CEILING($H$2/$H$3,1)/CEILING(C295/$H$3,1)</f>
        <v>1</v>
      </c>
      <c r="F295" s="28">
        <f>$B$5/D295/B295*E295</f>
        <v>1.34775</v>
      </c>
    </row>
    <row r="296" spans="1:6" x14ac:dyDescent="0.4">
      <c r="A296" s="28">
        <f t="shared" si="9"/>
        <v>580</v>
      </c>
      <c r="B296" s="28">
        <f t="shared" si="8"/>
        <v>0.33333333333333331</v>
      </c>
      <c r="C296" s="28">
        <f>A296+$E$6</f>
        <v>602</v>
      </c>
      <c r="D296" s="28">
        <f>CEILING(C296/$H$3,1)*CEILING($H$2/$H$3,1)/CEILING($H$2/$H$3,1)</f>
        <v>3</v>
      </c>
      <c r="E296" s="28">
        <f>CEILING(C296/$H$3,1)*CEILING($H$2/$H$3,1)/CEILING(C296/$H$3,1)</f>
        <v>1</v>
      </c>
      <c r="F296" s="28">
        <f>$B$5/D296/B296*E296</f>
        <v>1.35</v>
      </c>
    </row>
    <row r="297" spans="1:6" x14ac:dyDescent="0.4">
      <c r="A297" s="28">
        <f t="shared" si="9"/>
        <v>581</v>
      </c>
      <c r="B297" s="28">
        <f t="shared" si="8"/>
        <v>0.33277870216306155</v>
      </c>
      <c r="C297" s="28">
        <f>A297+$E$6</f>
        <v>603</v>
      </c>
      <c r="D297" s="28">
        <f>CEILING(C297/$H$3,1)*CEILING($H$2/$H$3,1)/CEILING($H$2/$H$3,1)</f>
        <v>3</v>
      </c>
      <c r="E297" s="28">
        <f>CEILING(C297/$H$3,1)*CEILING($H$2/$H$3,1)/CEILING(C297/$H$3,1)</f>
        <v>1</v>
      </c>
      <c r="F297" s="28">
        <f>$B$5/D297/B297*E297</f>
        <v>1.3522500000000002</v>
      </c>
    </row>
    <row r="298" spans="1:6" x14ac:dyDescent="0.4">
      <c r="A298" s="28">
        <f t="shared" si="9"/>
        <v>582</v>
      </c>
      <c r="B298" s="28">
        <f t="shared" si="8"/>
        <v>0.33222591362126247</v>
      </c>
      <c r="C298" s="28">
        <f>A298+$E$6</f>
        <v>604</v>
      </c>
      <c r="D298" s="28">
        <f>CEILING(C298/$H$3,1)*CEILING($H$2/$H$3,1)/CEILING($H$2/$H$3,1)</f>
        <v>3</v>
      </c>
      <c r="E298" s="28">
        <f>CEILING(C298/$H$3,1)*CEILING($H$2/$H$3,1)/CEILING(C298/$H$3,1)</f>
        <v>1</v>
      </c>
      <c r="F298" s="28">
        <f>$B$5/D298/B298*E298</f>
        <v>1.3545</v>
      </c>
    </row>
    <row r="299" spans="1:6" x14ac:dyDescent="0.4">
      <c r="A299" s="28">
        <f t="shared" si="9"/>
        <v>583</v>
      </c>
      <c r="B299" s="28">
        <f t="shared" si="8"/>
        <v>0.33167495854063017</v>
      </c>
      <c r="C299" s="28">
        <f>A299+$E$6</f>
        <v>605</v>
      </c>
      <c r="D299" s="28">
        <f>CEILING(C299/$H$3,1)*CEILING($H$2/$H$3,1)/CEILING($H$2/$H$3,1)</f>
        <v>3</v>
      </c>
      <c r="E299" s="28">
        <f>CEILING(C299/$H$3,1)*CEILING($H$2/$H$3,1)/CEILING(C299/$H$3,1)</f>
        <v>1</v>
      </c>
      <c r="F299" s="28">
        <f>$B$5/D299/B299*E299</f>
        <v>1.3567500000000001</v>
      </c>
    </row>
    <row r="300" spans="1:6" x14ac:dyDescent="0.4">
      <c r="A300" s="28">
        <f t="shared" si="9"/>
        <v>584</v>
      </c>
      <c r="B300" s="28">
        <f t="shared" si="8"/>
        <v>0.33112582781456956</v>
      </c>
      <c r="C300" s="28">
        <f>A300+$E$6</f>
        <v>606</v>
      </c>
      <c r="D300" s="28">
        <f>CEILING(C300/$H$3,1)*CEILING($H$2/$H$3,1)/CEILING($H$2/$H$3,1)</f>
        <v>3</v>
      </c>
      <c r="E300" s="28">
        <f>CEILING(C300/$H$3,1)*CEILING($H$2/$H$3,1)/CEILING(C300/$H$3,1)</f>
        <v>1</v>
      </c>
      <c r="F300" s="28">
        <f>$B$5/D300/B300*E300</f>
        <v>1.359</v>
      </c>
    </row>
    <row r="301" spans="1:6" x14ac:dyDescent="0.4">
      <c r="A301" s="28">
        <f t="shared" si="9"/>
        <v>585</v>
      </c>
      <c r="B301" s="28">
        <f t="shared" si="8"/>
        <v>0.33057851239669422</v>
      </c>
      <c r="C301" s="28">
        <f>A301+$E$6</f>
        <v>607</v>
      </c>
      <c r="D301" s="28">
        <f>CEILING(C301/$H$3,1)*CEILING($H$2/$H$3,1)/CEILING($H$2/$H$3,1)</f>
        <v>3</v>
      </c>
      <c r="E301" s="28">
        <f>CEILING(C301/$H$3,1)*CEILING($H$2/$H$3,1)/CEILING(C301/$H$3,1)</f>
        <v>1</v>
      </c>
      <c r="F301" s="28">
        <f>$B$5/D301/B301*E301</f>
        <v>1.3612500000000001</v>
      </c>
    </row>
    <row r="302" spans="1:6" x14ac:dyDescent="0.4">
      <c r="A302" s="28">
        <f t="shared" si="9"/>
        <v>586</v>
      </c>
      <c r="B302" s="28">
        <f t="shared" si="8"/>
        <v>0.33003300330033003</v>
      </c>
      <c r="C302" s="28">
        <f>A302+$E$6</f>
        <v>608</v>
      </c>
      <c r="D302" s="28">
        <f>CEILING(C302/$H$3,1)*CEILING($H$2/$H$3,1)/CEILING($H$2/$H$3,1)</f>
        <v>3</v>
      </c>
      <c r="E302" s="28">
        <f>CEILING(C302/$H$3,1)*CEILING($H$2/$H$3,1)/CEILING(C302/$H$3,1)</f>
        <v>1</v>
      </c>
      <c r="F302" s="28">
        <f>$B$5/D302/B302*E302</f>
        <v>1.3635000000000002</v>
      </c>
    </row>
    <row r="303" spans="1:6" x14ac:dyDescent="0.4">
      <c r="A303" s="28">
        <f t="shared" si="9"/>
        <v>587</v>
      </c>
      <c r="B303" s="28">
        <f t="shared" si="8"/>
        <v>0.32948929159802304</v>
      </c>
      <c r="C303" s="28">
        <f>A303+$E$6</f>
        <v>609</v>
      </c>
      <c r="D303" s="28">
        <f>CEILING(C303/$H$3,1)*CEILING($H$2/$H$3,1)/CEILING($H$2/$H$3,1)</f>
        <v>3</v>
      </c>
      <c r="E303" s="28">
        <f>CEILING(C303/$H$3,1)*CEILING($H$2/$H$3,1)/CEILING(C303/$H$3,1)</f>
        <v>1</v>
      </c>
      <c r="F303" s="28">
        <f>$B$5/D303/B303*E303</f>
        <v>1.3657500000000002</v>
      </c>
    </row>
    <row r="304" spans="1:6" x14ac:dyDescent="0.4">
      <c r="A304" s="28">
        <f t="shared" si="9"/>
        <v>588</v>
      </c>
      <c r="B304" s="28">
        <f t="shared" si="8"/>
        <v>0.32894736842105265</v>
      </c>
      <c r="C304" s="28">
        <f>A304+$E$6</f>
        <v>610</v>
      </c>
      <c r="D304" s="28">
        <f>CEILING(C304/$H$3,1)*CEILING($H$2/$H$3,1)/CEILING($H$2/$H$3,1)</f>
        <v>3</v>
      </c>
      <c r="E304" s="28">
        <f>CEILING(C304/$H$3,1)*CEILING($H$2/$H$3,1)/CEILING(C304/$H$3,1)</f>
        <v>1</v>
      </c>
      <c r="F304" s="28">
        <f>$B$5/D304/B304*E304</f>
        <v>1.3679999999999999</v>
      </c>
    </row>
    <row r="305" spans="1:6" x14ac:dyDescent="0.4">
      <c r="A305" s="28">
        <f t="shared" si="9"/>
        <v>589</v>
      </c>
      <c r="B305" s="28">
        <f t="shared" si="8"/>
        <v>0.32840722495894908</v>
      </c>
      <c r="C305" s="28">
        <f>A305+$E$6</f>
        <v>611</v>
      </c>
      <c r="D305" s="28">
        <f>CEILING(C305/$H$3,1)*CEILING($H$2/$H$3,1)/CEILING($H$2/$H$3,1)</f>
        <v>3</v>
      </c>
      <c r="E305" s="28">
        <f>CEILING(C305/$H$3,1)*CEILING($H$2/$H$3,1)/CEILING(C305/$H$3,1)</f>
        <v>1</v>
      </c>
      <c r="F305" s="28">
        <f>$B$5/D305/B305*E305</f>
        <v>1.3702500000000002</v>
      </c>
    </row>
    <row r="306" spans="1:6" x14ac:dyDescent="0.4">
      <c r="A306" s="28">
        <f t="shared" si="9"/>
        <v>590</v>
      </c>
      <c r="B306" s="28">
        <f t="shared" si="8"/>
        <v>0.32786885245901637</v>
      </c>
      <c r="C306" s="28">
        <f>A306+$E$6</f>
        <v>612</v>
      </c>
      <c r="D306" s="28">
        <f>CEILING(C306/$H$3,1)*CEILING($H$2/$H$3,1)/CEILING($H$2/$H$3,1)</f>
        <v>3</v>
      </c>
      <c r="E306" s="28">
        <f>CEILING(C306/$H$3,1)*CEILING($H$2/$H$3,1)/CEILING(C306/$H$3,1)</f>
        <v>1</v>
      </c>
      <c r="F306" s="28">
        <f>$B$5/D306/B306*E306</f>
        <v>1.3725000000000001</v>
      </c>
    </row>
    <row r="307" spans="1:6" x14ac:dyDescent="0.4">
      <c r="A307" s="28">
        <f t="shared" si="9"/>
        <v>591</v>
      </c>
      <c r="B307" s="28">
        <f t="shared" si="8"/>
        <v>0.32733224222585927</v>
      </c>
      <c r="C307" s="28">
        <f>A307+$E$6</f>
        <v>613</v>
      </c>
      <c r="D307" s="28">
        <f>CEILING(C307/$H$3,1)*CEILING($H$2/$H$3,1)/CEILING($H$2/$H$3,1)</f>
        <v>3</v>
      </c>
      <c r="E307" s="28">
        <f>CEILING(C307/$H$3,1)*CEILING($H$2/$H$3,1)/CEILING(C307/$H$3,1)</f>
        <v>1</v>
      </c>
      <c r="F307" s="28">
        <f>$B$5/D307/B307*E307</f>
        <v>1.3747499999999999</v>
      </c>
    </row>
    <row r="308" spans="1:6" x14ac:dyDescent="0.4">
      <c r="A308" s="28">
        <f t="shared" si="9"/>
        <v>592</v>
      </c>
      <c r="B308" s="28">
        <f t="shared" si="8"/>
        <v>0.32679738562091504</v>
      </c>
      <c r="C308" s="28">
        <f>A308+$E$6</f>
        <v>614</v>
      </c>
      <c r="D308" s="28">
        <f>CEILING(C308/$H$3,1)*CEILING($H$2/$H$3,1)/CEILING($H$2/$H$3,1)</f>
        <v>3</v>
      </c>
      <c r="E308" s="28">
        <f>CEILING(C308/$H$3,1)*CEILING($H$2/$H$3,1)/CEILING(C308/$H$3,1)</f>
        <v>1</v>
      </c>
      <c r="F308" s="28">
        <f>$B$5/D308/B308*E308</f>
        <v>1.377</v>
      </c>
    </row>
    <row r="309" spans="1:6" x14ac:dyDescent="0.4">
      <c r="A309" s="28">
        <f t="shared" si="9"/>
        <v>593</v>
      </c>
      <c r="B309" s="28">
        <f t="shared" si="8"/>
        <v>0.32626427406199021</v>
      </c>
      <c r="C309" s="28">
        <f>A309+$E$6</f>
        <v>615</v>
      </c>
      <c r="D309" s="28">
        <f>CEILING(C309/$H$3,1)*CEILING($H$2/$H$3,1)/CEILING($H$2/$H$3,1)</f>
        <v>3</v>
      </c>
      <c r="E309" s="28">
        <f>CEILING(C309/$H$3,1)*CEILING($H$2/$H$3,1)/CEILING(C309/$H$3,1)</f>
        <v>1</v>
      </c>
      <c r="F309" s="28">
        <f>$B$5/D309/B309*E309</f>
        <v>1.3792500000000001</v>
      </c>
    </row>
    <row r="310" spans="1:6" x14ac:dyDescent="0.4">
      <c r="A310" s="28">
        <f t="shared" si="9"/>
        <v>594</v>
      </c>
      <c r="B310" s="28">
        <f t="shared" si="8"/>
        <v>0.32573289902280128</v>
      </c>
      <c r="C310" s="28">
        <f>A310+$E$6</f>
        <v>616</v>
      </c>
      <c r="D310" s="28">
        <f>CEILING(C310/$H$3,1)*CEILING($H$2/$H$3,1)/CEILING($H$2/$H$3,1)</f>
        <v>3</v>
      </c>
      <c r="E310" s="28">
        <f>CEILING(C310/$H$3,1)*CEILING($H$2/$H$3,1)/CEILING(C310/$H$3,1)</f>
        <v>1</v>
      </c>
      <c r="F310" s="28">
        <f>$B$5/D310/B310*E310</f>
        <v>1.3815000000000002</v>
      </c>
    </row>
    <row r="311" spans="1:6" x14ac:dyDescent="0.4">
      <c r="A311" s="28">
        <f t="shared" si="9"/>
        <v>595</v>
      </c>
      <c r="B311" s="28">
        <f t="shared" si="8"/>
        <v>0.32520325203252032</v>
      </c>
      <c r="C311" s="28">
        <f>A311+$E$6</f>
        <v>617</v>
      </c>
      <c r="D311" s="28">
        <f>CEILING(C311/$H$3,1)*CEILING($H$2/$H$3,1)/CEILING($H$2/$H$3,1)</f>
        <v>3</v>
      </c>
      <c r="E311" s="28">
        <f>CEILING(C311/$H$3,1)*CEILING($H$2/$H$3,1)/CEILING(C311/$H$3,1)</f>
        <v>1</v>
      </c>
      <c r="F311" s="28">
        <f>$B$5/D311/B311*E311</f>
        <v>1.38375</v>
      </c>
    </row>
    <row r="312" spans="1:6" x14ac:dyDescent="0.4">
      <c r="A312" s="28">
        <f t="shared" si="9"/>
        <v>596</v>
      </c>
      <c r="B312" s="28">
        <f t="shared" si="8"/>
        <v>0.32467532467532467</v>
      </c>
      <c r="C312" s="28">
        <f>A312+$E$6</f>
        <v>618</v>
      </c>
      <c r="D312" s="28">
        <f>CEILING(C312/$H$3,1)*CEILING($H$2/$H$3,1)/CEILING($H$2/$H$3,1)</f>
        <v>3</v>
      </c>
      <c r="E312" s="28">
        <f>CEILING(C312/$H$3,1)*CEILING($H$2/$H$3,1)/CEILING(C312/$H$3,1)</f>
        <v>1</v>
      </c>
      <c r="F312" s="28">
        <f>$B$5/D312/B312*E312</f>
        <v>1.3860000000000001</v>
      </c>
    </row>
    <row r="313" spans="1:6" x14ac:dyDescent="0.4">
      <c r="A313" s="28">
        <f t="shared" si="9"/>
        <v>597</v>
      </c>
      <c r="B313" s="28">
        <f t="shared" si="8"/>
        <v>0.32414910858995138</v>
      </c>
      <c r="C313" s="28">
        <f>A313+$E$6</f>
        <v>619</v>
      </c>
      <c r="D313" s="28">
        <f>CEILING(C313/$H$3,1)*CEILING($H$2/$H$3,1)/CEILING($H$2/$H$3,1)</f>
        <v>3</v>
      </c>
      <c r="E313" s="28">
        <f>CEILING(C313/$H$3,1)*CEILING($H$2/$H$3,1)/CEILING(C313/$H$3,1)</f>
        <v>1</v>
      </c>
      <c r="F313" s="28">
        <f>$B$5/D313/B313*E313</f>
        <v>1.38825</v>
      </c>
    </row>
    <row r="314" spans="1:6" x14ac:dyDescent="0.4">
      <c r="A314" s="28">
        <f t="shared" si="9"/>
        <v>598</v>
      </c>
      <c r="B314" s="28">
        <f t="shared" si="8"/>
        <v>0.32362459546925565</v>
      </c>
      <c r="C314" s="28">
        <f>A314+$E$6</f>
        <v>620</v>
      </c>
      <c r="D314" s="28">
        <f>CEILING(C314/$H$3,1)*CEILING($H$2/$H$3,1)/CEILING($H$2/$H$3,1)</f>
        <v>3</v>
      </c>
      <c r="E314" s="28">
        <f>CEILING(C314/$H$3,1)*CEILING($H$2/$H$3,1)/CEILING(C314/$H$3,1)</f>
        <v>1</v>
      </c>
      <c r="F314" s="28">
        <f>$B$5/D314/B314*E314</f>
        <v>1.3905000000000001</v>
      </c>
    </row>
    <row r="315" spans="1:6" x14ac:dyDescent="0.4">
      <c r="A315" s="28">
        <f t="shared" si="9"/>
        <v>599</v>
      </c>
      <c r="B315" s="28">
        <f t="shared" si="8"/>
        <v>0.32310177705977383</v>
      </c>
      <c r="C315" s="28">
        <f>A315+$E$6</f>
        <v>621</v>
      </c>
      <c r="D315" s="28">
        <f>CEILING(C315/$H$3,1)*CEILING($H$2/$H$3,1)/CEILING($H$2/$H$3,1)</f>
        <v>3</v>
      </c>
      <c r="E315" s="28">
        <f>CEILING(C315/$H$3,1)*CEILING($H$2/$H$3,1)/CEILING(C315/$H$3,1)</f>
        <v>1</v>
      </c>
      <c r="F315" s="28">
        <f>$B$5/D315/B315*E315</f>
        <v>1.3927499999999999</v>
      </c>
    </row>
    <row r="316" spans="1:6" x14ac:dyDescent="0.4">
      <c r="A316" s="28">
        <f t="shared" si="9"/>
        <v>600</v>
      </c>
      <c r="B316" s="28">
        <f t="shared" si="8"/>
        <v>0.32258064516129031</v>
      </c>
      <c r="C316" s="28">
        <f>A316+$E$6</f>
        <v>622</v>
      </c>
      <c r="D316" s="28">
        <f>CEILING(C316/$H$3,1)*CEILING($H$2/$H$3,1)/CEILING($H$2/$H$3,1)</f>
        <v>3</v>
      </c>
      <c r="E316" s="28">
        <f>CEILING(C316/$H$3,1)*CEILING($H$2/$H$3,1)/CEILING(C316/$H$3,1)</f>
        <v>1</v>
      </c>
      <c r="F316" s="28">
        <f>$B$5/D316/B316*E316</f>
        <v>1.395</v>
      </c>
    </row>
    <row r="317" spans="1:6" x14ac:dyDescent="0.4">
      <c r="A317" s="28">
        <f t="shared" si="9"/>
        <v>601</v>
      </c>
      <c r="B317" s="28">
        <f t="shared" si="8"/>
        <v>0.322061191626409</v>
      </c>
      <c r="C317" s="28">
        <f>A317+$E$6</f>
        <v>623</v>
      </c>
      <c r="D317" s="28">
        <f>CEILING(C317/$H$3,1)*CEILING($H$2/$H$3,1)/CEILING($H$2/$H$3,1)</f>
        <v>3</v>
      </c>
      <c r="E317" s="28">
        <f>CEILING(C317/$H$3,1)*CEILING($H$2/$H$3,1)/CEILING(C317/$H$3,1)</f>
        <v>1</v>
      </c>
      <c r="F317" s="28">
        <f>$B$5/D317/B317*E317</f>
        <v>1.3972500000000001</v>
      </c>
    </row>
    <row r="318" spans="1:6" x14ac:dyDescent="0.4">
      <c r="A318" s="28">
        <f t="shared" si="9"/>
        <v>602</v>
      </c>
      <c r="B318" s="28">
        <f t="shared" si="8"/>
        <v>0.32154340836012862</v>
      </c>
      <c r="C318" s="28">
        <f>A318+$E$6</f>
        <v>624</v>
      </c>
      <c r="D318" s="28">
        <f>CEILING(C318/$H$3,1)*CEILING($H$2/$H$3,1)/CEILING($H$2/$H$3,1)</f>
        <v>3</v>
      </c>
      <c r="E318" s="28">
        <f>CEILING(C318/$H$3,1)*CEILING($H$2/$H$3,1)/CEILING(C318/$H$3,1)</f>
        <v>1</v>
      </c>
      <c r="F318" s="28">
        <f>$B$5/D318/B318*E318</f>
        <v>1.3995</v>
      </c>
    </row>
    <row r="319" spans="1:6" x14ac:dyDescent="0.4">
      <c r="A319" s="28">
        <f t="shared" si="9"/>
        <v>603</v>
      </c>
      <c r="B319" s="28">
        <f t="shared" si="8"/>
        <v>0.32102728731942215</v>
      </c>
      <c r="C319" s="28">
        <f>A319+$E$6</f>
        <v>625</v>
      </c>
      <c r="D319" s="28">
        <f>CEILING(C319/$H$3,1)*CEILING($H$2/$H$3,1)/CEILING($H$2/$H$3,1)</f>
        <v>3</v>
      </c>
      <c r="E319" s="28">
        <f>CEILING(C319/$H$3,1)*CEILING($H$2/$H$3,1)/CEILING(C319/$H$3,1)</f>
        <v>1</v>
      </c>
      <c r="F319" s="28">
        <f>$B$5/D319/B319*E319</f>
        <v>1.4017500000000001</v>
      </c>
    </row>
    <row r="320" spans="1:6" x14ac:dyDescent="0.4">
      <c r="A320" s="28">
        <f t="shared" si="9"/>
        <v>604</v>
      </c>
      <c r="B320" s="28">
        <f t="shared" si="8"/>
        <v>0.32051282051282054</v>
      </c>
      <c r="C320" s="28">
        <f>A320+$E$6</f>
        <v>626</v>
      </c>
      <c r="D320" s="28">
        <f>CEILING(C320/$H$3,1)*CEILING($H$2/$H$3,1)/CEILING($H$2/$H$3,1)</f>
        <v>3</v>
      </c>
      <c r="E320" s="28">
        <f>CEILING(C320/$H$3,1)*CEILING($H$2/$H$3,1)/CEILING(C320/$H$3,1)</f>
        <v>1</v>
      </c>
      <c r="F320" s="28">
        <f>$B$5/D320/B320*E320</f>
        <v>1.4039999999999999</v>
      </c>
    </row>
    <row r="321" spans="1:6" x14ac:dyDescent="0.4">
      <c r="A321" s="28">
        <f t="shared" si="9"/>
        <v>605</v>
      </c>
      <c r="B321" s="28">
        <f t="shared" si="8"/>
        <v>0.32</v>
      </c>
      <c r="C321" s="28">
        <f>A321+$E$6</f>
        <v>627</v>
      </c>
      <c r="D321" s="28">
        <f>CEILING(C321/$H$3,1)*CEILING($H$2/$H$3,1)/CEILING($H$2/$H$3,1)</f>
        <v>3</v>
      </c>
      <c r="E321" s="28">
        <f>CEILING(C321/$H$3,1)*CEILING($H$2/$H$3,1)/CEILING(C321/$H$3,1)</f>
        <v>1</v>
      </c>
      <c r="F321" s="28">
        <f>$B$5/D321/B321*E321</f>
        <v>1.40625</v>
      </c>
    </row>
    <row r="322" spans="1:6" x14ac:dyDescent="0.4">
      <c r="A322" s="28">
        <f t="shared" si="9"/>
        <v>606</v>
      </c>
      <c r="B322" s="28">
        <f t="shared" si="8"/>
        <v>0.31948881789137379</v>
      </c>
      <c r="C322" s="28">
        <f>A322+$E$6</f>
        <v>628</v>
      </c>
      <c r="D322" s="28">
        <f>CEILING(C322/$H$3,1)*CEILING($H$2/$H$3,1)/CEILING($H$2/$H$3,1)</f>
        <v>3</v>
      </c>
      <c r="E322" s="28">
        <f>CEILING(C322/$H$3,1)*CEILING($H$2/$H$3,1)/CEILING(C322/$H$3,1)</f>
        <v>1</v>
      </c>
      <c r="F322" s="28">
        <f>$B$5/D322/B322*E322</f>
        <v>1.4085000000000001</v>
      </c>
    </row>
    <row r="323" spans="1:6" x14ac:dyDescent="0.4">
      <c r="A323" s="28">
        <f t="shared" si="9"/>
        <v>607</v>
      </c>
      <c r="B323" s="28">
        <f t="shared" si="8"/>
        <v>0.31897926634768742</v>
      </c>
      <c r="C323" s="28">
        <f>A323+$E$6</f>
        <v>629</v>
      </c>
      <c r="D323" s="28">
        <f>CEILING(C323/$H$3,1)*CEILING($H$2/$H$3,1)/CEILING($H$2/$H$3,1)</f>
        <v>3</v>
      </c>
      <c r="E323" s="28">
        <f>CEILING(C323/$H$3,1)*CEILING($H$2/$H$3,1)/CEILING(C323/$H$3,1)</f>
        <v>1</v>
      </c>
      <c r="F323" s="28">
        <f>$B$5/D323/B323*E323</f>
        <v>1.4107499999999999</v>
      </c>
    </row>
    <row r="324" spans="1:6" x14ac:dyDescent="0.4">
      <c r="A324" s="28">
        <f t="shared" si="9"/>
        <v>608</v>
      </c>
      <c r="B324" s="28">
        <f t="shared" si="8"/>
        <v>0.31847133757961782</v>
      </c>
      <c r="C324" s="28">
        <f>A324+$E$6</f>
        <v>630</v>
      </c>
      <c r="D324" s="28">
        <f>CEILING(C324/$H$3,1)*CEILING($H$2/$H$3,1)/CEILING($H$2/$H$3,1)</f>
        <v>3</v>
      </c>
      <c r="E324" s="28">
        <f>CEILING(C324/$H$3,1)*CEILING($H$2/$H$3,1)/CEILING(C324/$H$3,1)</f>
        <v>1</v>
      </c>
      <c r="F324" s="28">
        <f>$B$5/D324/B324*E324</f>
        <v>1.413</v>
      </c>
    </row>
    <row r="325" spans="1:6" x14ac:dyDescent="0.4">
      <c r="A325" s="28">
        <f t="shared" si="9"/>
        <v>609</v>
      </c>
      <c r="B325" s="28">
        <f t="shared" si="8"/>
        <v>0.31796502384737679</v>
      </c>
      <c r="C325" s="28">
        <f>A325+$E$6</f>
        <v>631</v>
      </c>
      <c r="D325" s="28">
        <f>CEILING(C325/$H$3,1)*CEILING($H$2/$H$3,1)/CEILING($H$2/$H$3,1)</f>
        <v>3</v>
      </c>
      <c r="E325" s="28">
        <f>CEILING(C325/$H$3,1)*CEILING($H$2/$H$3,1)/CEILING(C325/$H$3,1)</f>
        <v>1</v>
      </c>
      <c r="F325" s="28">
        <f>$B$5/D325/B325*E325</f>
        <v>1.4152500000000001</v>
      </c>
    </row>
    <row r="326" spans="1:6" x14ac:dyDescent="0.4">
      <c r="A326" s="28">
        <f t="shared" si="9"/>
        <v>610</v>
      </c>
      <c r="B326" s="28">
        <f t="shared" si="8"/>
        <v>0.31746031746031744</v>
      </c>
      <c r="C326" s="28">
        <f>A326+$E$6</f>
        <v>632</v>
      </c>
      <c r="D326" s="28">
        <f>CEILING(C326/$H$3,1)*CEILING($H$2/$H$3,1)/CEILING($H$2/$H$3,1)</f>
        <v>3</v>
      </c>
      <c r="E326" s="28">
        <f>CEILING(C326/$H$3,1)*CEILING($H$2/$H$3,1)/CEILING(C326/$H$3,1)</f>
        <v>1</v>
      </c>
      <c r="F326" s="28">
        <f>$B$5/D326/B326*E326</f>
        <v>1.4175000000000002</v>
      </c>
    </row>
    <row r="327" spans="1:6" x14ac:dyDescent="0.4">
      <c r="A327" s="28">
        <f t="shared" si="9"/>
        <v>611</v>
      </c>
      <c r="B327" s="28">
        <f t="shared" si="8"/>
        <v>0.31695721077654515</v>
      </c>
      <c r="C327" s="28">
        <f>A327+$E$6</f>
        <v>633</v>
      </c>
      <c r="D327" s="28">
        <f>CEILING(C327/$H$3,1)*CEILING($H$2/$H$3,1)/CEILING($H$2/$H$3,1)</f>
        <v>3</v>
      </c>
      <c r="E327" s="28">
        <f>CEILING(C327/$H$3,1)*CEILING($H$2/$H$3,1)/CEILING(C327/$H$3,1)</f>
        <v>1</v>
      </c>
      <c r="F327" s="28">
        <f>$B$5/D327/B327*E327</f>
        <v>1.4197500000000001</v>
      </c>
    </row>
    <row r="328" spans="1:6" x14ac:dyDescent="0.4">
      <c r="A328" s="28">
        <f t="shared" si="9"/>
        <v>612</v>
      </c>
      <c r="B328" s="28">
        <f t="shared" si="8"/>
        <v>0.31645569620253167</v>
      </c>
      <c r="C328" s="28">
        <f>A328+$E$6</f>
        <v>634</v>
      </c>
      <c r="D328" s="28">
        <f>CEILING(C328/$H$3,1)*CEILING($H$2/$H$3,1)/CEILING($H$2/$H$3,1)</f>
        <v>3</v>
      </c>
      <c r="E328" s="28">
        <f>CEILING(C328/$H$3,1)*CEILING($H$2/$H$3,1)/CEILING(C328/$H$3,1)</f>
        <v>1</v>
      </c>
      <c r="F328" s="28">
        <f>$B$5/D328/B328*E328</f>
        <v>1.4219999999999999</v>
      </c>
    </row>
    <row r="329" spans="1:6" x14ac:dyDescent="0.4">
      <c r="A329" s="28">
        <f t="shared" si="9"/>
        <v>613</v>
      </c>
      <c r="B329" s="28">
        <f t="shared" si="8"/>
        <v>0.31595576619273302</v>
      </c>
      <c r="C329" s="28">
        <f>A329+$E$6</f>
        <v>635</v>
      </c>
      <c r="D329" s="28">
        <f>CEILING(C329/$H$3,1)*CEILING($H$2/$H$3,1)/CEILING($H$2/$H$3,1)</f>
        <v>3</v>
      </c>
      <c r="E329" s="28">
        <f>CEILING(C329/$H$3,1)*CEILING($H$2/$H$3,1)/CEILING(C329/$H$3,1)</f>
        <v>1</v>
      </c>
      <c r="F329" s="28">
        <f>$B$5/D329/B329*E329</f>
        <v>1.42425</v>
      </c>
    </row>
    <row r="330" spans="1:6" x14ac:dyDescent="0.4">
      <c r="A330" s="28">
        <f t="shared" si="9"/>
        <v>614</v>
      </c>
      <c r="B330" s="28">
        <f t="shared" si="8"/>
        <v>0.31545741324921134</v>
      </c>
      <c r="C330" s="28">
        <f>A330+$E$6</f>
        <v>636</v>
      </c>
      <c r="D330" s="28">
        <f>CEILING(C330/$H$3,1)*CEILING($H$2/$H$3,1)/CEILING($H$2/$H$3,1)</f>
        <v>3</v>
      </c>
      <c r="E330" s="28">
        <f>CEILING(C330/$H$3,1)*CEILING($H$2/$H$3,1)/CEILING(C330/$H$3,1)</f>
        <v>1</v>
      </c>
      <c r="F330" s="28">
        <f>$B$5/D330/B330*E330</f>
        <v>1.4265000000000001</v>
      </c>
    </row>
    <row r="331" spans="1:6" x14ac:dyDescent="0.4">
      <c r="A331" s="28">
        <f t="shared" si="9"/>
        <v>615</v>
      </c>
      <c r="B331" s="28">
        <f t="shared" ref="B331:B394" si="10">$B$4/8/(A331+$B$2)</f>
        <v>0.31496062992125984</v>
      </c>
      <c r="C331" s="28">
        <f>A331+$E$6</f>
        <v>637</v>
      </c>
      <c r="D331" s="28">
        <f>CEILING(C331/$H$3,1)*CEILING($H$2/$H$3,1)/CEILING($H$2/$H$3,1)</f>
        <v>3</v>
      </c>
      <c r="E331" s="28">
        <f>CEILING(C331/$H$3,1)*CEILING($H$2/$H$3,1)/CEILING(C331/$H$3,1)</f>
        <v>1</v>
      </c>
      <c r="F331" s="28">
        <f>$B$5/D331/B331*E331</f>
        <v>1.42875</v>
      </c>
    </row>
    <row r="332" spans="1:6" x14ac:dyDescent="0.4">
      <c r="A332" s="28">
        <f t="shared" si="9"/>
        <v>616</v>
      </c>
      <c r="B332" s="28">
        <f t="shared" si="10"/>
        <v>0.31446540880503143</v>
      </c>
      <c r="C332" s="28">
        <f>A332+$E$6</f>
        <v>638</v>
      </c>
      <c r="D332" s="28">
        <f>CEILING(C332/$H$3,1)*CEILING($H$2/$H$3,1)/CEILING($H$2/$H$3,1)</f>
        <v>3</v>
      </c>
      <c r="E332" s="28">
        <f>CEILING(C332/$H$3,1)*CEILING($H$2/$H$3,1)/CEILING(C332/$H$3,1)</f>
        <v>1</v>
      </c>
      <c r="F332" s="28">
        <f>$B$5/D332/B332*E332</f>
        <v>1.431</v>
      </c>
    </row>
    <row r="333" spans="1:6" x14ac:dyDescent="0.4">
      <c r="A333" s="28">
        <f t="shared" ref="A333:A396" si="11">A332+$B$3</f>
        <v>617</v>
      </c>
      <c r="B333" s="28">
        <f t="shared" si="10"/>
        <v>0.31397174254317112</v>
      </c>
      <c r="C333" s="28">
        <f>A333+$E$6</f>
        <v>639</v>
      </c>
      <c r="D333" s="28">
        <f>CEILING(C333/$H$3,1)*CEILING($H$2/$H$3,1)/CEILING($H$2/$H$3,1)</f>
        <v>3</v>
      </c>
      <c r="E333" s="28">
        <f>CEILING(C333/$H$3,1)*CEILING($H$2/$H$3,1)/CEILING(C333/$H$3,1)</f>
        <v>1</v>
      </c>
      <c r="F333" s="28">
        <f>$B$5/D333/B333*E333</f>
        <v>1.4332499999999999</v>
      </c>
    </row>
    <row r="334" spans="1:6" x14ac:dyDescent="0.4">
      <c r="A334" s="28">
        <f t="shared" si="11"/>
        <v>618</v>
      </c>
      <c r="B334" s="28">
        <f t="shared" si="10"/>
        <v>0.31347962382445144</v>
      </c>
      <c r="C334" s="28">
        <f>A334+$E$6</f>
        <v>640</v>
      </c>
      <c r="D334" s="28">
        <f>CEILING(C334/$H$3,1)*CEILING($H$2/$H$3,1)/CEILING($H$2/$H$3,1)</f>
        <v>3</v>
      </c>
      <c r="E334" s="28">
        <f>CEILING(C334/$H$3,1)*CEILING($H$2/$H$3,1)/CEILING(C334/$H$3,1)</f>
        <v>1</v>
      </c>
      <c r="F334" s="28">
        <f>$B$5/D334/B334*E334</f>
        <v>1.4355</v>
      </c>
    </row>
    <row r="335" spans="1:6" x14ac:dyDescent="0.4">
      <c r="A335" s="28">
        <f t="shared" si="11"/>
        <v>619</v>
      </c>
      <c r="B335" s="28">
        <f t="shared" si="10"/>
        <v>0.3129890453834116</v>
      </c>
      <c r="C335" s="28">
        <f>A335+$E$6</f>
        <v>641</v>
      </c>
      <c r="D335" s="28">
        <f>CEILING(C335/$H$3,1)*CEILING($H$2/$H$3,1)/CEILING($H$2/$H$3,1)</f>
        <v>3</v>
      </c>
      <c r="E335" s="28">
        <f>CEILING(C335/$H$3,1)*CEILING($H$2/$H$3,1)/CEILING(C335/$H$3,1)</f>
        <v>1</v>
      </c>
      <c r="F335" s="28">
        <f>$B$5/D335/B335*E335</f>
        <v>1.4377499999999999</v>
      </c>
    </row>
    <row r="336" spans="1:6" x14ac:dyDescent="0.4">
      <c r="A336" s="28">
        <f t="shared" si="11"/>
        <v>620</v>
      </c>
      <c r="B336" s="28">
        <f t="shared" si="10"/>
        <v>0.3125</v>
      </c>
      <c r="C336" s="28">
        <f>A336+$E$6</f>
        <v>642</v>
      </c>
      <c r="D336" s="28">
        <f>CEILING(C336/$H$3,1)*CEILING($H$2/$H$3,1)/CEILING($H$2/$H$3,1)</f>
        <v>3</v>
      </c>
      <c r="E336" s="28">
        <f>CEILING(C336/$H$3,1)*CEILING($H$2/$H$3,1)/CEILING(C336/$H$3,1)</f>
        <v>1</v>
      </c>
      <c r="F336" s="28">
        <f>$B$5/D336/B336*E336</f>
        <v>1.44</v>
      </c>
    </row>
    <row r="337" spans="1:6" x14ac:dyDescent="0.4">
      <c r="A337" s="28">
        <f t="shared" si="11"/>
        <v>621</v>
      </c>
      <c r="B337" s="28">
        <f t="shared" si="10"/>
        <v>0.31201248049921998</v>
      </c>
      <c r="C337" s="28">
        <f>A337+$E$6</f>
        <v>643</v>
      </c>
      <c r="D337" s="28">
        <f>CEILING(C337/$H$3,1)*CEILING($H$2/$H$3,1)/CEILING($H$2/$H$3,1)</f>
        <v>3</v>
      </c>
      <c r="E337" s="28">
        <f>CEILING(C337/$H$3,1)*CEILING($H$2/$H$3,1)/CEILING(C337/$H$3,1)</f>
        <v>1</v>
      </c>
      <c r="F337" s="28">
        <f>$B$5/D337/B337*E337</f>
        <v>1.44225</v>
      </c>
    </row>
    <row r="338" spans="1:6" x14ac:dyDescent="0.4">
      <c r="A338" s="28">
        <f t="shared" si="11"/>
        <v>622</v>
      </c>
      <c r="B338" s="28">
        <f t="shared" si="10"/>
        <v>0.3115264797507788</v>
      </c>
      <c r="C338" s="28">
        <f>A338+$E$6</f>
        <v>644</v>
      </c>
      <c r="D338" s="28">
        <f>CEILING(C338/$H$3,1)*CEILING($H$2/$H$3,1)/CEILING($H$2/$H$3,1)</f>
        <v>3</v>
      </c>
      <c r="E338" s="28">
        <f>CEILING(C338/$H$3,1)*CEILING($H$2/$H$3,1)/CEILING(C338/$H$3,1)</f>
        <v>1</v>
      </c>
      <c r="F338" s="28">
        <f>$B$5/D338/B338*E338</f>
        <v>1.4445000000000001</v>
      </c>
    </row>
    <row r="339" spans="1:6" x14ac:dyDescent="0.4">
      <c r="A339" s="28">
        <f t="shared" si="11"/>
        <v>623</v>
      </c>
      <c r="B339" s="28">
        <f t="shared" si="10"/>
        <v>0.31104199066874028</v>
      </c>
      <c r="C339" s="28">
        <f>A339+$E$6</f>
        <v>645</v>
      </c>
      <c r="D339" s="28">
        <f>CEILING(C339/$H$3,1)*CEILING($H$2/$H$3,1)/CEILING($H$2/$H$3,1)</f>
        <v>3</v>
      </c>
      <c r="E339" s="28">
        <f>CEILING(C339/$H$3,1)*CEILING($H$2/$H$3,1)/CEILING(C339/$H$3,1)</f>
        <v>1</v>
      </c>
      <c r="F339" s="28">
        <f>$B$5/D339/B339*E339</f>
        <v>1.44675</v>
      </c>
    </row>
    <row r="340" spans="1:6" x14ac:dyDescent="0.4">
      <c r="A340" s="28">
        <f t="shared" si="11"/>
        <v>624</v>
      </c>
      <c r="B340" s="28">
        <f t="shared" si="10"/>
        <v>0.3105590062111801</v>
      </c>
      <c r="C340" s="28">
        <f>A340+$E$6</f>
        <v>646</v>
      </c>
      <c r="D340" s="28">
        <f>CEILING(C340/$H$3,1)*CEILING($H$2/$H$3,1)/CEILING($H$2/$H$3,1)</f>
        <v>3</v>
      </c>
      <c r="E340" s="28">
        <f>CEILING(C340/$H$3,1)*CEILING($H$2/$H$3,1)/CEILING(C340/$H$3,1)</f>
        <v>1</v>
      </c>
      <c r="F340" s="28">
        <f>$B$5/D340/B340*E340</f>
        <v>1.4490000000000001</v>
      </c>
    </row>
    <row r="341" spans="1:6" x14ac:dyDescent="0.4">
      <c r="A341" s="28">
        <f t="shared" si="11"/>
        <v>625</v>
      </c>
      <c r="B341" s="28">
        <f t="shared" si="10"/>
        <v>0.31007751937984496</v>
      </c>
      <c r="C341" s="28">
        <f>A341+$E$6</f>
        <v>647</v>
      </c>
      <c r="D341" s="28">
        <f>CEILING(C341/$H$3,1)*CEILING($H$2/$H$3,1)/CEILING($H$2/$H$3,1)</f>
        <v>3</v>
      </c>
      <c r="E341" s="28">
        <f>CEILING(C341/$H$3,1)*CEILING($H$2/$H$3,1)/CEILING(C341/$H$3,1)</f>
        <v>1</v>
      </c>
      <c r="F341" s="28">
        <f>$B$5/D341/B341*E341</f>
        <v>1.4512500000000002</v>
      </c>
    </row>
    <row r="342" spans="1:6" x14ac:dyDescent="0.4">
      <c r="A342" s="28">
        <f t="shared" si="11"/>
        <v>626</v>
      </c>
      <c r="B342" s="28">
        <f t="shared" si="10"/>
        <v>0.30959752321981426</v>
      </c>
      <c r="C342" s="28">
        <f>A342+$E$6</f>
        <v>648</v>
      </c>
      <c r="D342" s="28">
        <f>CEILING(C342/$H$3,1)*CEILING($H$2/$H$3,1)/CEILING($H$2/$H$3,1)</f>
        <v>3</v>
      </c>
      <c r="E342" s="28">
        <f>CEILING(C342/$H$3,1)*CEILING($H$2/$H$3,1)/CEILING(C342/$H$3,1)</f>
        <v>1</v>
      </c>
      <c r="F342" s="28">
        <f>$B$5/D342/B342*E342</f>
        <v>1.4535</v>
      </c>
    </row>
    <row r="343" spans="1:6" x14ac:dyDescent="0.4">
      <c r="A343" s="28">
        <f t="shared" si="11"/>
        <v>627</v>
      </c>
      <c r="B343" s="28">
        <f t="shared" si="10"/>
        <v>0.30911901081916537</v>
      </c>
      <c r="C343" s="28">
        <f>A343+$E$6</f>
        <v>649</v>
      </c>
      <c r="D343" s="28">
        <f>CEILING(C343/$H$3,1)*CEILING($H$2/$H$3,1)/CEILING($H$2/$H$3,1)</f>
        <v>3</v>
      </c>
      <c r="E343" s="28">
        <f>CEILING(C343/$H$3,1)*CEILING($H$2/$H$3,1)/CEILING(C343/$H$3,1)</f>
        <v>1</v>
      </c>
      <c r="F343" s="28">
        <f>$B$5/D343/B343*E343</f>
        <v>1.4557500000000001</v>
      </c>
    </row>
    <row r="344" spans="1:6" x14ac:dyDescent="0.4">
      <c r="A344" s="28">
        <f t="shared" si="11"/>
        <v>628</v>
      </c>
      <c r="B344" s="28">
        <f t="shared" si="10"/>
        <v>0.30864197530864196</v>
      </c>
      <c r="C344" s="28">
        <f>A344+$E$6</f>
        <v>650</v>
      </c>
      <c r="D344" s="28">
        <f>CEILING(C344/$H$3,1)*CEILING($H$2/$H$3,1)/CEILING($H$2/$H$3,1)</f>
        <v>3</v>
      </c>
      <c r="E344" s="28">
        <f>CEILING(C344/$H$3,1)*CEILING($H$2/$H$3,1)/CEILING(C344/$H$3,1)</f>
        <v>1</v>
      </c>
      <c r="F344" s="28">
        <f>$B$5/D344/B344*E344</f>
        <v>1.4580000000000002</v>
      </c>
    </row>
    <row r="345" spans="1:6" x14ac:dyDescent="0.4">
      <c r="A345" s="28">
        <f t="shared" si="11"/>
        <v>629</v>
      </c>
      <c r="B345" s="28">
        <f t="shared" si="10"/>
        <v>0.3081664098613251</v>
      </c>
      <c r="C345" s="28">
        <f>A345+$E$6</f>
        <v>651</v>
      </c>
      <c r="D345" s="28">
        <f>CEILING(C345/$H$3,1)*CEILING($H$2/$H$3,1)/CEILING($H$2/$H$3,1)</f>
        <v>3</v>
      </c>
      <c r="E345" s="28">
        <f>CEILING(C345/$H$3,1)*CEILING($H$2/$H$3,1)/CEILING(C345/$H$3,1)</f>
        <v>1</v>
      </c>
      <c r="F345" s="28">
        <f>$B$5/D345/B345*E345</f>
        <v>1.46025</v>
      </c>
    </row>
    <row r="346" spans="1:6" x14ac:dyDescent="0.4">
      <c r="A346" s="28">
        <f t="shared" si="11"/>
        <v>630</v>
      </c>
      <c r="B346" s="28">
        <f t="shared" si="10"/>
        <v>0.30769230769230771</v>
      </c>
      <c r="C346" s="28">
        <f>A346+$E$6</f>
        <v>652</v>
      </c>
      <c r="D346" s="28">
        <f>CEILING(C346/$H$3,1)*CEILING($H$2/$H$3,1)/CEILING($H$2/$H$3,1)</f>
        <v>3</v>
      </c>
      <c r="E346" s="28">
        <f>CEILING(C346/$H$3,1)*CEILING($H$2/$H$3,1)/CEILING(C346/$H$3,1)</f>
        <v>1</v>
      </c>
      <c r="F346" s="28">
        <f>$B$5/D346/B346*E346</f>
        <v>1.4624999999999999</v>
      </c>
    </row>
    <row r="347" spans="1:6" x14ac:dyDescent="0.4">
      <c r="A347" s="28">
        <f t="shared" si="11"/>
        <v>631</v>
      </c>
      <c r="B347" s="28">
        <f t="shared" si="10"/>
        <v>0.30721966205837176</v>
      </c>
      <c r="C347" s="28">
        <f>A347+$E$6</f>
        <v>653</v>
      </c>
      <c r="D347" s="28">
        <f>CEILING(C347/$H$3,1)*CEILING($H$2/$H$3,1)/CEILING($H$2/$H$3,1)</f>
        <v>3</v>
      </c>
      <c r="E347" s="28">
        <f>CEILING(C347/$H$3,1)*CEILING($H$2/$H$3,1)/CEILING(C347/$H$3,1)</f>
        <v>1</v>
      </c>
      <c r="F347" s="28">
        <f>$B$5/D347/B347*E347</f>
        <v>1.46475</v>
      </c>
    </row>
    <row r="348" spans="1:6" x14ac:dyDescent="0.4">
      <c r="A348" s="28">
        <f t="shared" si="11"/>
        <v>632</v>
      </c>
      <c r="B348" s="28">
        <f t="shared" si="10"/>
        <v>0.30674846625766872</v>
      </c>
      <c r="C348" s="28">
        <f>A348+$E$6</f>
        <v>654</v>
      </c>
      <c r="D348" s="28">
        <f>CEILING(C348/$H$3,1)*CEILING($H$2/$H$3,1)/CEILING($H$2/$H$3,1)</f>
        <v>3</v>
      </c>
      <c r="E348" s="28">
        <f>CEILING(C348/$H$3,1)*CEILING($H$2/$H$3,1)/CEILING(C348/$H$3,1)</f>
        <v>1</v>
      </c>
      <c r="F348" s="28">
        <f>$B$5/D348/B348*E348</f>
        <v>1.4670000000000001</v>
      </c>
    </row>
    <row r="349" spans="1:6" x14ac:dyDescent="0.4">
      <c r="A349" s="28">
        <f t="shared" si="11"/>
        <v>633</v>
      </c>
      <c r="B349" s="28">
        <f t="shared" si="10"/>
        <v>0.30627871362940273</v>
      </c>
      <c r="C349" s="28">
        <f>A349+$E$6</f>
        <v>655</v>
      </c>
      <c r="D349" s="28">
        <f>CEILING(C349/$H$3,1)*CEILING($H$2/$H$3,1)/CEILING($H$2/$H$3,1)</f>
        <v>3</v>
      </c>
      <c r="E349" s="28">
        <f>CEILING(C349/$H$3,1)*CEILING($H$2/$H$3,1)/CEILING(C349/$H$3,1)</f>
        <v>1</v>
      </c>
      <c r="F349" s="28">
        <f>$B$5/D349/B349*E349</f>
        <v>1.4692500000000002</v>
      </c>
    </row>
    <row r="350" spans="1:6" x14ac:dyDescent="0.4">
      <c r="A350" s="28">
        <f t="shared" si="11"/>
        <v>634</v>
      </c>
      <c r="B350" s="28">
        <f t="shared" si="10"/>
        <v>0.3058103975535168</v>
      </c>
      <c r="C350" s="28">
        <f>A350+$E$6</f>
        <v>656</v>
      </c>
      <c r="D350" s="28">
        <f>CEILING(C350/$H$3,1)*CEILING($H$2/$H$3,1)/CEILING($H$2/$H$3,1)</f>
        <v>3</v>
      </c>
      <c r="E350" s="28">
        <f>CEILING(C350/$H$3,1)*CEILING($H$2/$H$3,1)/CEILING(C350/$H$3,1)</f>
        <v>1</v>
      </c>
      <c r="F350" s="28">
        <f>$B$5/D350/B350*E350</f>
        <v>1.4715</v>
      </c>
    </row>
    <row r="351" spans="1:6" x14ac:dyDescent="0.4">
      <c r="A351" s="28">
        <f t="shared" si="11"/>
        <v>635</v>
      </c>
      <c r="B351" s="28">
        <f t="shared" si="10"/>
        <v>0.30534351145038169</v>
      </c>
      <c r="C351" s="28">
        <f>A351+$E$6</f>
        <v>657</v>
      </c>
      <c r="D351" s="28">
        <f>CEILING(C351/$H$3,1)*CEILING($H$2/$H$3,1)/CEILING($H$2/$H$3,1)</f>
        <v>3</v>
      </c>
      <c r="E351" s="28">
        <f>CEILING(C351/$H$3,1)*CEILING($H$2/$H$3,1)/CEILING(C351/$H$3,1)</f>
        <v>1</v>
      </c>
      <c r="F351" s="28">
        <f>$B$5/D351/B351*E351</f>
        <v>1.4737499999999999</v>
      </c>
    </row>
    <row r="352" spans="1:6" x14ac:dyDescent="0.4">
      <c r="A352" s="28">
        <f t="shared" si="11"/>
        <v>636</v>
      </c>
      <c r="B352" s="28">
        <f t="shared" si="10"/>
        <v>0.3048780487804878</v>
      </c>
      <c r="C352" s="28">
        <f>A352+$E$6</f>
        <v>658</v>
      </c>
      <c r="D352" s="28">
        <f>CEILING(C352/$H$3,1)*CEILING($H$2/$H$3,1)/CEILING($H$2/$H$3,1)</f>
        <v>3</v>
      </c>
      <c r="E352" s="28">
        <f>CEILING(C352/$H$3,1)*CEILING($H$2/$H$3,1)/CEILING(C352/$H$3,1)</f>
        <v>1</v>
      </c>
      <c r="F352" s="28">
        <f>$B$5/D352/B352*E352</f>
        <v>1.476</v>
      </c>
    </row>
    <row r="353" spans="1:6" x14ac:dyDescent="0.4">
      <c r="A353" s="28">
        <f t="shared" si="11"/>
        <v>637</v>
      </c>
      <c r="B353" s="28">
        <f t="shared" si="10"/>
        <v>0.30441400304414001</v>
      </c>
      <c r="C353" s="28">
        <f>A353+$E$6</f>
        <v>659</v>
      </c>
      <c r="D353" s="28">
        <f>CEILING(C353/$H$3,1)*CEILING($H$2/$H$3,1)/CEILING($H$2/$H$3,1)</f>
        <v>3</v>
      </c>
      <c r="E353" s="28">
        <f>CEILING(C353/$H$3,1)*CEILING($H$2/$H$3,1)/CEILING(C353/$H$3,1)</f>
        <v>1</v>
      </c>
      <c r="F353" s="28">
        <f>$B$5/D353/B353*E353</f>
        <v>1.4782500000000001</v>
      </c>
    </row>
    <row r="354" spans="1:6" x14ac:dyDescent="0.4">
      <c r="A354" s="28">
        <f t="shared" si="11"/>
        <v>638</v>
      </c>
      <c r="B354" s="28">
        <f t="shared" si="10"/>
        <v>0.303951367781155</v>
      </c>
      <c r="C354" s="28">
        <f>A354+$E$6</f>
        <v>660</v>
      </c>
      <c r="D354" s="28">
        <f>CEILING(C354/$H$3,1)*CEILING($H$2/$H$3,1)/CEILING($H$2/$H$3,1)</f>
        <v>3</v>
      </c>
      <c r="E354" s="28">
        <f>CEILING(C354/$H$3,1)*CEILING($H$2/$H$3,1)/CEILING(C354/$H$3,1)</f>
        <v>1</v>
      </c>
      <c r="F354" s="28">
        <f>$B$5/D354/B354*E354</f>
        <v>1.4805000000000001</v>
      </c>
    </row>
    <row r="355" spans="1:6" x14ac:dyDescent="0.4">
      <c r="A355" s="28">
        <f t="shared" si="11"/>
        <v>639</v>
      </c>
      <c r="B355" s="28">
        <f t="shared" si="10"/>
        <v>0.30349013657056145</v>
      </c>
      <c r="C355" s="28">
        <f>A355+$E$6</f>
        <v>661</v>
      </c>
      <c r="D355" s="28">
        <f>CEILING(C355/$H$3,1)*CEILING($H$2/$H$3,1)/CEILING($H$2/$H$3,1)</f>
        <v>3</v>
      </c>
      <c r="E355" s="28">
        <f>CEILING(C355/$H$3,1)*CEILING($H$2/$H$3,1)/CEILING(C355/$H$3,1)</f>
        <v>1</v>
      </c>
      <c r="F355" s="28">
        <f>$B$5/D355/B355*E355</f>
        <v>1.48275</v>
      </c>
    </row>
    <row r="356" spans="1:6" x14ac:dyDescent="0.4">
      <c r="A356" s="28">
        <f t="shared" si="11"/>
        <v>640</v>
      </c>
      <c r="B356" s="28">
        <f t="shared" si="10"/>
        <v>0.30303030303030304</v>
      </c>
      <c r="C356" s="28">
        <f>A356+$E$6</f>
        <v>662</v>
      </c>
      <c r="D356" s="28">
        <f>CEILING(C356/$H$3,1)*CEILING($H$2/$H$3,1)/CEILING($H$2/$H$3,1)</f>
        <v>3</v>
      </c>
      <c r="E356" s="28">
        <f>CEILING(C356/$H$3,1)*CEILING($H$2/$H$3,1)/CEILING(C356/$H$3,1)</f>
        <v>1</v>
      </c>
      <c r="F356" s="28">
        <f>$B$5/D356/B356*E356</f>
        <v>1.4850000000000001</v>
      </c>
    </row>
    <row r="357" spans="1:6" x14ac:dyDescent="0.4">
      <c r="A357" s="28">
        <f t="shared" si="11"/>
        <v>641</v>
      </c>
      <c r="B357" s="28">
        <f t="shared" si="10"/>
        <v>0.30257186081694404</v>
      </c>
      <c r="C357" s="28">
        <f>A357+$E$6</f>
        <v>663</v>
      </c>
      <c r="D357" s="28">
        <f>CEILING(C357/$H$3,1)*CEILING($H$2/$H$3,1)/CEILING($H$2/$H$3,1)</f>
        <v>3</v>
      </c>
      <c r="E357" s="28">
        <f>CEILING(C357/$H$3,1)*CEILING($H$2/$H$3,1)/CEILING(C357/$H$3,1)</f>
        <v>1</v>
      </c>
      <c r="F357" s="28">
        <f>$B$5/D357/B357*E357</f>
        <v>1.48725</v>
      </c>
    </row>
    <row r="358" spans="1:6" x14ac:dyDescent="0.4">
      <c r="A358" s="28">
        <f t="shared" si="11"/>
        <v>642</v>
      </c>
      <c r="B358" s="28">
        <f t="shared" si="10"/>
        <v>0.30211480362537763</v>
      </c>
      <c r="C358" s="28">
        <f>A358+$E$6</f>
        <v>664</v>
      </c>
      <c r="D358" s="28">
        <f>CEILING(C358/$H$3,1)*CEILING($H$2/$H$3,1)/CEILING($H$2/$H$3,1)</f>
        <v>3</v>
      </c>
      <c r="E358" s="28">
        <f>CEILING(C358/$H$3,1)*CEILING($H$2/$H$3,1)/CEILING(C358/$H$3,1)</f>
        <v>1</v>
      </c>
      <c r="F358" s="28">
        <f>$B$5/D358/B358*E358</f>
        <v>1.4895</v>
      </c>
    </row>
    <row r="359" spans="1:6" x14ac:dyDescent="0.4">
      <c r="A359" s="28">
        <f t="shared" si="11"/>
        <v>643</v>
      </c>
      <c r="B359" s="28">
        <f t="shared" si="10"/>
        <v>0.30165912518853694</v>
      </c>
      <c r="C359" s="28">
        <f>A359+$E$6</f>
        <v>665</v>
      </c>
      <c r="D359" s="28">
        <f>CEILING(C359/$H$3,1)*CEILING($H$2/$H$3,1)/CEILING($H$2/$H$3,1)</f>
        <v>3</v>
      </c>
      <c r="E359" s="28">
        <f>CEILING(C359/$H$3,1)*CEILING($H$2/$H$3,1)/CEILING(C359/$H$3,1)</f>
        <v>1</v>
      </c>
      <c r="F359" s="28">
        <f>$B$5/D359/B359*E359</f>
        <v>1.4917500000000001</v>
      </c>
    </row>
    <row r="360" spans="1:6" x14ac:dyDescent="0.4">
      <c r="A360" s="28">
        <f t="shared" si="11"/>
        <v>644</v>
      </c>
      <c r="B360" s="28">
        <f t="shared" si="10"/>
        <v>0.30120481927710846</v>
      </c>
      <c r="C360" s="28">
        <f>A360+$E$6</f>
        <v>666</v>
      </c>
      <c r="D360" s="28">
        <f>CEILING(C360/$H$3,1)*CEILING($H$2/$H$3,1)/CEILING($H$2/$H$3,1)</f>
        <v>3</v>
      </c>
      <c r="E360" s="28">
        <f>CEILING(C360/$H$3,1)*CEILING($H$2/$H$3,1)/CEILING(C360/$H$3,1)</f>
        <v>1</v>
      </c>
      <c r="F360" s="28">
        <f>$B$5/D360/B360*E360</f>
        <v>1.494</v>
      </c>
    </row>
    <row r="361" spans="1:6" x14ac:dyDescent="0.4">
      <c r="A361" s="28">
        <f t="shared" si="11"/>
        <v>645</v>
      </c>
      <c r="B361" s="28">
        <f t="shared" si="10"/>
        <v>0.3007518796992481</v>
      </c>
      <c r="C361" s="28">
        <f>A361+$E$6</f>
        <v>667</v>
      </c>
      <c r="D361" s="28">
        <f>CEILING(C361/$H$3,1)*CEILING($H$2/$H$3,1)/CEILING($H$2/$H$3,1)</f>
        <v>3</v>
      </c>
      <c r="E361" s="28">
        <f>CEILING(C361/$H$3,1)*CEILING($H$2/$H$3,1)/CEILING(C361/$H$3,1)</f>
        <v>1</v>
      </c>
      <c r="F361" s="28">
        <f>$B$5/D361/B361*E361</f>
        <v>1.4962500000000001</v>
      </c>
    </row>
    <row r="362" spans="1:6" x14ac:dyDescent="0.4">
      <c r="A362" s="28">
        <f t="shared" si="11"/>
        <v>646</v>
      </c>
      <c r="B362" s="28">
        <f t="shared" si="10"/>
        <v>0.3003003003003003</v>
      </c>
      <c r="C362" s="28">
        <f>A362+$E$6</f>
        <v>668</v>
      </c>
      <c r="D362" s="28">
        <f>CEILING(C362/$H$3,1)*CEILING($H$2/$H$3,1)/CEILING($H$2/$H$3,1)</f>
        <v>3</v>
      </c>
      <c r="E362" s="28">
        <f>CEILING(C362/$H$3,1)*CEILING($H$2/$H$3,1)/CEILING(C362/$H$3,1)</f>
        <v>1</v>
      </c>
      <c r="F362" s="28">
        <f>$B$5/D362/B362*E362</f>
        <v>1.4984999999999999</v>
      </c>
    </row>
    <row r="363" spans="1:6" x14ac:dyDescent="0.4">
      <c r="A363" s="28">
        <f t="shared" si="11"/>
        <v>647</v>
      </c>
      <c r="B363" s="28">
        <f t="shared" si="10"/>
        <v>0.29985007496251875</v>
      </c>
      <c r="C363" s="28">
        <f>A363+$E$6</f>
        <v>669</v>
      </c>
      <c r="D363" s="28">
        <f>CEILING(C363/$H$3,1)*CEILING($H$2/$H$3,1)/CEILING($H$2/$H$3,1)</f>
        <v>3</v>
      </c>
      <c r="E363" s="28">
        <f>CEILING(C363/$H$3,1)*CEILING($H$2/$H$3,1)/CEILING(C363/$H$3,1)</f>
        <v>1</v>
      </c>
      <c r="F363" s="28">
        <f>$B$5/D363/B363*E363</f>
        <v>1.50075</v>
      </c>
    </row>
    <row r="364" spans="1:6" x14ac:dyDescent="0.4">
      <c r="A364" s="28">
        <f t="shared" si="11"/>
        <v>648</v>
      </c>
      <c r="B364" s="28">
        <f t="shared" si="10"/>
        <v>0.29940119760479039</v>
      </c>
      <c r="C364" s="28">
        <f>A364+$E$6</f>
        <v>670</v>
      </c>
      <c r="D364" s="28">
        <f>CEILING(C364/$H$3,1)*CEILING($H$2/$H$3,1)/CEILING($H$2/$H$3,1)</f>
        <v>3</v>
      </c>
      <c r="E364" s="28">
        <f>CEILING(C364/$H$3,1)*CEILING($H$2/$H$3,1)/CEILING(C364/$H$3,1)</f>
        <v>1</v>
      </c>
      <c r="F364" s="28">
        <f>$B$5/D364/B364*E364</f>
        <v>1.5030000000000001</v>
      </c>
    </row>
    <row r="365" spans="1:6" x14ac:dyDescent="0.4">
      <c r="A365" s="28">
        <f t="shared" si="11"/>
        <v>649</v>
      </c>
      <c r="B365" s="28">
        <f t="shared" si="10"/>
        <v>0.29895366218236175</v>
      </c>
      <c r="C365" s="28">
        <f>A365+$E$6</f>
        <v>671</v>
      </c>
      <c r="D365" s="28">
        <f>CEILING(C365/$H$3,1)*CEILING($H$2/$H$3,1)/CEILING($H$2/$H$3,1)</f>
        <v>3</v>
      </c>
      <c r="E365" s="28">
        <f>CEILING(C365/$H$3,1)*CEILING($H$2/$H$3,1)/CEILING(C365/$H$3,1)</f>
        <v>1</v>
      </c>
      <c r="F365" s="28">
        <f>$B$5/D365/B365*E365</f>
        <v>1.50525</v>
      </c>
    </row>
    <row r="366" spans="1:6" x14ac:dyDescent="0.4">
      <c r="A366" s="28">
        <f t="shared" si="11"/>
        <v>650</v>
      </c>
      <c r="B366" s="28">
        <f t="shared" si="10"/>
        <v>0.29850746268656714</v>
      </c>
      <c r="C366" s="28">
        <f>A366+$E$6</f>
        <v>672</v>
      </c>
      <c r="D366" s="28">
        <f>CEILING(C366/$H$3,1)*CEILING($H$2/$H$3,1)/CEILING($H$2/$H$3,1)</f>
        <v>3</v>
      </c>
      <c r="E366" s="28">
        <f>CEILING(C366/$H$3,1)*CEILING($H$2/$H$3,1)/CEILING(C366/$H$3,1)</f>
        <v>1</v>
      </c>
      <c r="F366" s="28">
        <f>$B$5/D366/B366*E366</f>
        <v>1.5075000000000001</v>
      </c>
    </row>
    <row r="367" spans="1:6" x14ac:dyDescent="0.4">
      <c r="A367" s="28">
        <f t="shared" si="11"/>
        <v>651</v>
      </c>
      <c r="B367" s="28">
        <f t="shared" si="10"/>
        <v>0.29806259314456035</v>
      </c>
      <c r="C367" s="28">
        <f>A367+$E$6</f>
        <v>673</v>
      </c>
      <c r="D367" s="28">
        <f>CEILING(C367/$H$3,1)*CEILING($H$2/$H$3,1)/CEILING($H$2/$H$3,1)</f>
        <v>3</v>
      </c>
      <c r="E367" s="28">
        <f>CEILING(C367/$H$3,1)*CEILING($H$2/$H$3,1)/CEILING(C367/$H$3,1)</f>
        <v>1</v>
      </c>
      <c r="F367" s="28">
        <f>$B$5/D367/B367*E367</f>
        <v>1.5097500000000001</v>
      </c>
    </row>
    <row r="368" spans="1:6" x14ac:dyDescent="0.4">
      <c r="A368" s="28">
        <f t="shared" si="11"/>
        <v>652</v>
      </c>
      <c r="B368" s="28">
        <f t="shared" si="10"/>
        <v>0.29761904761904762</v>
      </c>
      <c r="C368" s="28">
        <f>A368+$E$6</f>
        <v>674</v>
      </c>
      <c r="D368" s="28">
        <f>CEILING(C368/$H$3,1)*CEILING($H$2/$H$3,1)/CEILING($H$2/$H$3,1)</f>
        <v>3</v>
      </c>
      <c r="E368" s="28">
        <f>CEILING(C368/$H$3,1)*CEILING($H$2/$H$3,1)/CEILING(C368/$H$3,1)</f>
        <v>1</v>
      </c>
      <c r="F368" s="28">
        <f>$B$5/D368/B368*E368</f>
        <v>1.512</v>
      </c>
    </row>
    <row r="369" spans="1:6" x14ac:dyDescent="0.4">
      <c r="A369" s="28">
        <f t="shared" si="11"/>
        <v>653</v>
      </c>
      <c r="B369" s="28">
        <f t="shared" si="10"/>
        <v>0.29717682020802377</v>
      </c>
      <c r="C369" s="28">
        <f>A369+$E$6</f>
        <v>675</v>
      </c>
      <c r="D369" s="28">
        <f>CEILING(C369/$H$3,1)*CEILING($H$2/$H$3,1)/CEILING($H$2/$H$3,1)</f>
        <v>3</v>
      </c>
      <c r="E369" s="28">
        <f>CEILING(C369/$H$3,1)*CEILING($H$2/$H$3,1)/CEILING(C369/$H$3,1)</f>
        <v>1</v>
      </c>
      <c r="F369" s="28">
        <f>$B$5/D369/B369*E369</f>
        <v>1.5142500000000001</v>
      </c>
    </row>
    <row r="370" spans="1:6" x14ac:dyDescent="0.4">
      <c r="A370" s="28">
        <f t="shared" si="11"/>
        <v>654</v>
      </c>
      <c r="B370" s="28">
        <f t="shared" si="10"/>
        <v>0.29673590504451036</v>
      </c>
      <c r="C370" s="28">
        <f>A370+$E$6</f>
        <v>676</v>
      </c>
      <c r="D370" s="28">
        <f>CEILING(C370/$H$3,1)*CEILING($H$2/$H$3,1)/CEILING($H$2/$H$3,1)</f>
        <v>3</v>
      </c>
      <c r="E370" s="28">
        <f>CEILING(C370/$H$3,1)*CEILING($H$2/$H$3,1)/CEILING(C370/$H$3,1)</f>
        <v>1</v>
      </c>
      <c r="F370" s="28">
        <f>$B$5/D370/B370*E370</f>
        <v>1.5165000000000002</v>
      </c>
    </row>
    <row r="371" spans="1:6" x14ac:dyDescent="0.4">
      <c r="A371" s="28">
        <f t="shared" si="11"/>
        <v>655</v>
      </c>
      <c r="B371" s="28">
        <f t="shared" si="10"/>
        <v>0.29629629629629628</v>
      </c>
      <c r="C371" s="28">
        <f>A371+$E$6</f>
        <v>677</v>
      </c>
      <c r="D371" s="28">
        <f>CEILING(C371/$H$3,1)*CEILING($H$2/$H$3,1)/CEILING($H$2/$H$3,1)</f>
        <v>3</v>
      </c>
      <c r="E371" s="28">
        <f>CEILING(C371/$H$3,1)*CEILING($H$2/$H$3,1)/CEILING(C371/$H$3,1)</f>
        <v>1</v>
      </c>
      <c r="F371" s="28">
        <f>$B$5/D371/B371*E371</f>
        <v>1.51875</v>
      </c>
    </row>
    <row r="372" spans="1:6" x14ac:dyDescent="0.4">
      <c r="A372" s="28">
        <f t="shared" si="11"/>
        <v>656</v>
      </c>
      <c r="B372" s="28">
        <f t="shared" si="10"/>
        <v>0.29585798816568049</v>
      </c>
      <c r="C372" s="28">
        <f>A372+$E$6</f>
        <v>678</v>
      </c>
      <c r="D372" s="28">
        <f>CEILING(C372/$H$3,1)*CEILING($H$2/$H$3,1)/CEILING($H$2/$H$3,1)</f>
        <v>3</v>
      </c>
      <c r="E372" s="28">
        <f>CEILING(C372/$H$3,1)*CEILING($H$2/$H$3,1)/CEILING(C372/$H$3,1)</f>
        <v>1</v>
      </c>
      <c r="F372" s="28">
        <f>$B$5/D372/B372*E372</f>
        <v>1.5209999999999999</v>
      </c>
    </row>
    <row r="373" spans="1:6" x14ac:dyDescent="0.4">
      <c r="A373" s="28">
        <f t="shared" si="11"/>
        <v>657</v>
      </c>
      <c r="B373" s="28">
        <f t="shared" si="10"/>
        <v>0.29542097488921715</v>
      </c>
      <c r="C373" s="28">
        <f>A373+$E$6</f>
        <v>679</v>
      </c>
      <c r="D373" s="28">
        <f>CEILING(C373/$H$3,1)*CEILING($H$2/$H$3,1)/CEILING($H$2/$H$3,1)</f>
        <v>3</v>
      </c>
      <c r="E373" s="28">
        <f>CEILING(C373/$H$3,1)*CEILING($H$2/$H$3,1)/CEILING(C373/$H$3,1)</f>
        <v>1</v>
      </c>
      <c r="F373" s="28">
        <f>$B$5/D373/B373*E373</f>
        <v>1.52325</v>
      </c>
    </row>
    <row r="374" spans="1:6" x14ac:dyDescent="0.4">
      <c r="A374" s="28">
        <f t="shared" si="11"/>
        <v>658</v>
      </c>
      <c r="B374" s="28">
        <f t="shared" si="10"/>
        <v>0.29498525073746312</v>
      </c>
      <c r="C374" s="28">
        <f>A374+$E$6</f>
        <v>680</v>
      </c>
      <c r="D374" s="28">
        <f>CEILING(C374/$H$3,1)*CEILING($H$2/$H$3,1)/CEILING($H$2/$H$3,1)</f>
        <v>3</v>
      </c>
      <c r="E374" s="28">
        <f>CEILING(C374/$H$3,1)*CEILING($H$2/$H$3,1)/CEILING(C374/$H$3,1)</f>
        <v>1</v>
      </c>
      <c r="F374" s="28">
        <f>$B$5/D374/B374*E374</f>
        <v>1.5255000000000001</v>
      </c>
    </row>
    <row r="375" spans="1:6" x14ac:dyDescent="0.4">
      <c r="A375" s="28">
        <f t="shared" si="11"/>
        <v>659</v>
      </c>
      <c r="B375" s="28">
        <f t="shared" si="10"/>
        <v>0.29455081001472755</v>
      </c>
      <c r="C375" s="28">
        <f>A375+$E$6</f>
        <v>681</v>
      </c>
      <c r="D375" s="28">
        <f>CEILING(C375/$H$3,1)*CEILING($H$2/$H$3,1)/CEILING($H$2/$H$3,1)</f>
        <v>3</v>
      </c>
      <c r="E375" s="28">
        <f>CEILING(C375/$H$3,1)*CEILING($H$2/$H$3,1)/CEILING(C375/$H$3,1)</f>
        <v>1</v>
      </c>
      <c r="F375" s="28">
        <f>$B$5/D375/B375*E375</f>
        <v>1.5277499999999999</v>
      </c>
    </row>
    <row r="376" spans="1:6" x14ac:dyDescent="0.4">
      <c r="A376" s="28">
        <f t="shared" si="11"/>
        <v>660</v>
      </c>
      <c r="B376" s="28">
        <f t="shared" si="10"/>
        <v>0.29411764705882354</v>
      </c>
      <c r="C376" s="28">
        <f>A376+$E$6</f>
        <v>682</v>
      </c>
      <c r="D376" s="28">
        <f>CEILING(C376/$H$3,1)*CEILING($H$2/$H$3,1)/CEILING($H$2/$H$3,1)</f>
        <v>3</v>
      </c>
      <c r="E376" s="28">
        <f>CEILING(C376/$H$3,1)*CEILING($H$2/$H$3,1)/CEILING(C376/$H$3,1)</f>
        <v>1</v>
      </c>
      <c r="F376" s="28">
        <f>$B$5/D376/B376*E376</f>
        <v>1.53</v>
      </c>
    </row>
    <row r="377" spans="1:6" x14ac:dyDescent="0.4">
      <c r="A377" s="28">
        <f t="shared" si="11"/>
        <v>661</v>
      </c>
      <c r="B377" s="28">
        <f t="shared" si="10"/>
        <v>0.29368575624082233</v>
      </c>
      <c r="C377" s="28">
        <f>A377+$E$6</f>
        <v>683</v>
      </c>
      <c r="D377" s="28">
        <f>CEILING(C377/$H$3,1)*CEILING($H$2/$H$3,1)/CEILING($H$2/$H$3,1)</f>
        <v>3</v>
      </c>
      <c r="E377" s="28">
        <f>CEILING(C377/$H$3,1)*CEILING($H$2/$H$3,1)/CEILING(C377/$H$3,1)</f>
        <v>1</v>
      </c>
      <c r="F377" s="28">
        <f>$B$5/D377/B377*E377</f>
        <v>1.5322500000000001</v>
      </c>
    </row>
    <row r="378" spans="1:6" x14ac:dyDescent="0.4">
      <c r="A378" s="28">
        <f t="shared" si="11"/>
        <v>662</v>
      </c>
      <c r="B378" s="28">
        <f t="shared" si="10"/>
        <v>0.2932551319648094</v>
      </c>
      <c r="C378" s="28">
        <f>A378+$E$6</f>
        <v>684</v>
      </c>
      <c r="D378" s="28">
        <f>CEILING(C378/$H$3,1)*CEILING($H$2/$H$3,1)/CEILING($H$2/$H$3,1)</f>
        <v>3</v>
      </c>
      <c r="E378" s="28">
        <f>CEILING(C378/$H$3,1)*CEILING($H$2/$H$3,1)/CEILING(C378/$H$3,1)</f>
        <v>1</v>
      </c>
      <c r="F378" s="28">
        <f>$B$5/D378/B378*E378</f>
        <v>1.5345</v>
      </c>
    </row>
    <row r="379" spans="1:6" x14ac:dyDescent="0.4">
      <c r="A379" s="28">
        <f t="shared" si="11"/>
        <v>663</v>
      </c>
      <c r="B379" s="28">
        <f t="shared" si="10"/>
        <v>0.29282576866764276</v>
      </c>
      <c r="C379" s="28">
        <f>A379+$E$6</f>
        <v>685</v>
      </c>
      <c r="D379" s="28">
        <f>CEILING(C379/$H$3,1)*CEILING($H$2/$H$3,1)/CEILING($H$2/$H$3,1)</f>
        <v>3</v>
      </c>
      <c r="E379" s="28">
        <f>CEILING(C379/$H$3,1)*CEILING($H$2/$H$3,1)/CEILING(C379/$H$3,1)</f>
        <v>1</v>
      </c>
      <c r="F379" s="28">
        <f>$B$5/D379/B379*E379</f>
        <v>1.5367500000000001</v>
      </c>
    </row>
    <row r="380" spans="1:6" x14ac:dyDescent="0.4">
      <c r="A380" s="28">
        <f t="shared" si="11"/>
        <v>664</v>
      </c>
      <c r="B380" s="28">
        <f t="shared" si="10"/>
        <v>0.29239766081871343</v>
      </c>
      <c r="C380" s="28">
        <f>A380+$E$6</f>
        <v>686</v>
      </c>
      <c r="D380" s="28">
        <f>CEILING(C380/$H$3,1)*CEILING($H$2/$H$3,1)/CEILING($H$2/$H$3,1)</f>
        <v>3</v>
      </c>
      <c r="E380" s="28">
        <f>CEILING(C380/$H$3,1)*CEILING($H$2/$H$3,1)/CEILING(C380/$H$3,1)</f>
        <v>1</v>
      </c>
      <c r="F380" s="28">
        <f>$B$5/D380/B380*E380</f>
        <v>1.5390000000000001</v>
      </c>
    </row>
    <row r="381" spans="1:6" x14ac:dyDescent="0.4">
      <c r="A381" s="28">
        <f t="shared" si="11"/>
        <v>665</v>
      </c>
      <c r="B381" s="28">
        <f t="shared" si="10"/>
        <v>0.29197080291970801</v>
      </c>
      <c r="C381" s="28">
        <f>A381+$E$6</f>
        <v>687</v>
      </c>
      <c r="D381" s="28">
        <f>CEILING(C381/$H$3,1)*CEILING($H$2/$H$3,1)/CEILING($H$2/$H$3,1)</f>
        <v>3</v>
      </c>
      <c r="E381" s="28">
        <f>CEILING(C381/$H$3,1)*CEILING($H$2/$H$3,1)/CEILING(C381/$H$3,1)</f>
        <v>1</v>
      </c>
      <c r="F381" s="28">
        <f>$B$5/D381/B381*E381</f>
        <v>1.5412500000000002</v>
      </c>
    </row>
    <row r="382" spans="1:6" x14ac:dyDescent="0.4">
      <c r="A382" s="28">
        <f t="shared" si="11"/>
        <v>666</v>
      </c>
      <c r="B382" s="28">
        <f t="shared" si="10"/>
        <v>0.29154518950437319</v>
      </c>
      <c r="C382" s="28">
        <f>A382+$E$6</f>
        <v>688</v>
      </c>
      <c r="D382" s="28">
        <f>CEILING(C382/$H$3,1)*CEILING($H$2/$H$3,1)/CEILING($H$2/$H$3,1)</f>
        <v>3</v>
      </c>
      <c r="E382" s="28">
        <f>CEILING(C382/$H$3,1)*CEILING($H$2/$H$3,1)/CEILING(C382/$H$3,1)</f>
        <v>1</v>
      </c>
      <c r="F382" s="28">
        <f>$B$5/D382/B382*E382</f>
        <v>1.5434999999999999</v>
      </c>
    </row>
    <row r="383" spans="1:6" x14ac:dyDescent="0.4">
      <c r="A383" s="28">
        <f t="shared" si="11"/>
        <v>667</v>
      </c>
      <c r="B383" s="28">
        <f t="shared" si="10"/>
        <v>0.29112081513828236</v>
      </c>
      <c r="C383" s="28">
        <f>A383+$E$6</f>
        <v>689</v>
      </c>
      <c r="D383" s="28">
        <f>CEILING(C383/$H$3,1)*CEILING($H$2/$H$3,1)/CEILING($H$2/$H$3,1)</f>
        <v>3</v>
      </c>
      <c r="E383" s="28">
        <f>CEILING(C383/$H$3,1)*CEILING($H$2/$H$3,1)/CEILING(C383/$H$3,1)</f>
        <v>1</v>
      </c>
      <c r="F383" s="28">
        <f>$B$5/D383/B383*E383</f>
        <v>1.5457500000000002</v>
      </c>
    </row>
    <row r="384" spans="1:6" x14ac:dyDescent="0.4">
      <c r="A384" s="28">
        <f t="shared" si="11"/>
        <v>668</v>
      </c>
      <c r="B384" s="28">
        <f t="shared" si="10"/>
        <v>0.29069767441860467</v>
      </c>
      <c r="C384" s="28">
        <f>A384+$E$6</f>
        <v>690</v>
      </c>
      <c r="D384" s="28">
        <f>CEILING(C384/$H$3,1)*CEILING($H$2/$H$3,1)/CEILING($H$2/$H$3,1)</f>
        <v>3</v>
      </c>
      <c r="E384" s="28">
        <f>CEILING(C384/$H$3,1)*CEILING($H$2/$H$3,1)/CEILING(C384/$H$3,1)</f>
        <v>1</v>
      </c>
      <c r="F384" s="28">
        <f>$B$5/D384/B384*E384</f>
        <v>1.548</v>
      </c>
    </row>
    <row r="385" spans="1:6" x14ac:dyDescent="0.4">
      <c r="A385" s="28">
        <f t="shared" si="11"/>
        <v>669</v>
      </c>
      <c r="B385" s="28">
        <f t="shared" si="10"/>
        <v>0.29027576197387517</v>
      </c>
      <c r="C385" s="28">
        <f>A385+$E$6</f>
        <v>691</v>
      </c>
      <c r="D385" s="28">
        <f>CEILING(C385/$H$3,1)*CEILING($H$2/$H$3,1)/CEILING($H$2/$H$3,1)</f>
        <v>3</v>
      </c>
      <c r="E385" s="28">
        <f>CEILING(C385/$H$3,1)*CEILING($H$2/$H$3,1)/CEILING(C385/$H$3,1)</f>
        <v>1</v>
      </c>
      <c r="F385" s="28">
        <f>$B$5/D385/B385*E385</f>
        <v>1.5502500000000001</v>
      </c>
    </row>
    <row r="386" spans="1:6" x14ac:dyDescent="0.4">
      <c r="A386" s="28">
        <f t="shared" si="11"/>
        <v>670</v>
      </c>
      <c r="B386" s="28">
        <f t="shared" si="10"/>
        <v>0.28985507246376813</v>
      </c>
      <c r="C386" s="28">
        <f>A386+$E$6</f>
        <v>692</v>
      </c>
      <c r="D386" s="28">
        <f>CEILING(C386/$H$3,1)*CEILING($H$2/$H$3,1)/CEILING($H$2/$H$3,1)</f>
        <v>3</v>
      </c>
      <c r="E386" s="28">
        <f>CEILING(C386/$H$3,1)*CEILING($H$2/$H$3,1)/CEILING(C386/$H$3,1)</f>
        <v>1</v>
      </c>
      <c r="F386" s="28">
        <f>$B$5/D386/B386*E386</f>
        <v>1.5525</v>
      </c>
    </row>
    <row r="387" spans="1:6" x14ac:dyDescent="0.4">
      <c r="A387" s="28">
        <f t="shared" si="11"/>
        <v>671</v>
      </c>
      <c r="B387" s="28">
        <f t="shared" si="10"/>
        <v>0.28943560057887119</v>
      </c>
      <c r="C387" s="28">
        <f>A387+$E$6</f>
        <v>693</v>
      </c>
      <c r="D387" s="28">
        <f>CEILING(C387/$H$3,1)*CEILING($H$2/$H$3,1)/CEILING($H$2/$H$3,1)</f>
        <v>3</v>
      </c>
      <c r="E387" s="28">
        <f>CEILING(C387/$H$3,1)*CEILING($H$2/$H$3,1)/CEILING(C387/$H$3,1)</f>
        <v>1</v>
      </c>
      <c r="F387" s="28">
        <f>$B$5/D387/B387*E387</f>
        <v>1.5547500000000001</v>
      </c>
    </row>
    <row r="388" spans="1:6" x14ac:dyDescent="0.4">
      <c r="A388" s="28">
        <f t="shared" si="11"/>
        <v>672</v>
      </c>
      <c r="B388" s="28">
        <f t="shared" si="10"/>
        <v>0.28901734104046245</v>
      </c>
      <c r="C388" s="28">
        <f>A388+$E$6</f>
        <v>694</v>
      </c>
      <c r="D388" s="28">
        <f>CEILING(C388/$H$3,1)*CEILING($H$2/$H$3,1)/CEILING($H$2/$H$3,1)</f>
        <v>3</v>
      </c>
      <c r="E388" s="28">
        <f>CEILING(C388/$H$3,1)*CEILING($H$2/$H$3,1)/CEILING(C388/$H$3,1)</f>
        <v>1</v>
      </c>
      <c r="F388" s="28">
        <f>$B$5/D388/B388*E388</f>
        <v>1.5569999999999999</v>
      </c>
    </row>
    <row r="389" spans="1:6" x14ac:dyDescent="0.4">
      <c r="A389" s="28">
        <f t="shared" si="11"/>
        <v>673</v>
      </c>
      <c r="B389" s="28">
        <f t="shared" si="10"/>
        <v>0.28860028860028858</v>
      </c>
      <c r="C389" s="28">
        <f>A389+$E$6</f>
        <v>695</v>
      </c>
      <c r="D389" s="28">
        <f>CEILING(C389/$H$3,1)*CEILING($H$2/$H$3,1)/CEILING($H$2/$H$3,1)</f>
        <v>3</v>
      </c>
      <c r="E389" s="28">
        <f>CEILING(C389/$H$3,1)*CEILING($H$2/$H$3,1)/CEILING(C389/$H$3,1)</f>
        <v>1</v>
      </c>
      <c r="F389" s="28">
        <f>$B$5/D389/B389*E389</f>
        <v>1.5592500000000002</v>
      </c>
    </row>
    <row r="390" spans="1:6" x14ac:dyDescent="0.4">
      <c r="A390" s="28">
        <f t="shared" si="11"/>
        <v>674</v>
      </c>
      <c r="B390" s="28">
        <f t="shared" si="10"/>
        <v>0.28818443804034583</v>
      </c>
      <c r="C390" s="28">
        <f>A390+$E$6</f>
        <v>696</v>
      </c>
      <c r="D390" s="28">
        <f>CEILING(C390/$H$3,1)*CEILING($H$2/$H$3,1)/CEILING($H$2/$H$3,1)</f>
        <v>3</v>
      </c>
      <c r="E390" s="28">
        <f>CEILING(C390/$H$3,1)*CEILING($H$2/$H$3,1)/CEILING(C390/$H$3,1)</f>
        <v>1</v>
      </c>
      <c r="F390" s="28">
        <f>$B$5/D390/B390*E390</f>
        <v>1.5615000000000001</v>
      </c>
    </row>
    <row r="391" spans="1:6" x14ac:dyDescent="0.4">
      <c r="A391" s="28">
        <f t="shared" si="11"/>
        <v>675</v>
      </c>
      <c r="B391" s="28">
        <f t="shared" si="10"/>
        <v>0.28776978417266186</v>
      </c>
      <c r="C391" s="28">
        <f>A391+$E$6</f>
        <v>697</v>
      </c>
      <c r="D391" s="28">
        <f>CEILING(C391/$H$3,1)*CEILING($H$2/$H$3,1)/CEILING($H$2/$H$3,1)</f>
        <v>3</v>
      </c>
      <c r="E391" s="28">
        <f>CEILING(C391/$H$3,1)*CEILING($H$2/$H$3,1)/CEILING(C391/$H$3,1)</f>
        <v>1</v>
      </c>
      <c r="F391" s="28">
        <f>$B$5/D391/B391*E391</f>
        <v>1.5637500000000002</v>
      </c>
    </row>
    <row r="392" spans="1:6" x14ac:dyDescent="0.4">
      <c r="A392" s="28">
        <f t="shared" si="11"/>
        <v>676</v>
      </c>
      <c r="B392" s="28">
        <f t="shared" si="10"/>
        <v>0.28735632183908044</v>
      </c>
      <c r="C392" s="28">
        <f>A392+$E$6</f>
        <v>698</v>
      </c>
      <c r="D392" s="28">
        <f>CEILING(C392/$H$3,1)*CEILING($H$2/$H$3,1)/CEILING($H$2/$H$3,1)</f>
        <v>3</v>
      </c>
      <c r="E392" s="28">
        <f>CEILING(C392/$H$3,1)*CEILING($H$2/$H$3,1)/CEILING(C392/$H$3,1)</f>
        <v>1</v>
      </c>
      <c r="F392" s="28">
        <f>$B$5/D392/B392*E392</f>
        <v>1.5660000000000001</v>
      </c>
    </row>
    <row r="393" spans="1:6" x14ac:dyDescent="0.4">
      <c r="A393" s="28">
        <f t="shared" si="11"/>
        <v>677</v>
      </c>
      <c r="B393" s="28">
        <f t="shared" si="10"/>
        <v>0.28694404591104733</v>
      </c>
      <c r="C393" s="28">
        <f>A393+$E$6</f>
        <v>699</v>
      </c>
      <c r="D393" s="28">
        <f>CEILING(C393/$H$3,1)*CEILING($H$2/$H$3,1)/CEILING($H$2/$H$3,1)</f>
        <v>3</v>
      </c>
      <c r="E393" s="28">
        <f>CEILING(C393/$H$3,1)*CEILING($H$2/$H$3,1)/CEILING(C393/$H$3,1)</f>
        <v>1</v>
      </c>
      <c r="F393" s="28">
        <f>$B$5/D393/B393*E393</f>
        <v>1.5682500000000001</v>
      </c>
    </row>
    <row r="394" spans="1:6" x14ac:dyDescent="0.4">
      <c r="A394" s="28">
        <f t="shared" si="11"/>
        <v>678</v>
      </c>
      <c r="B394" s="28">
        <f t="shared" si="10"/>
        <v>0.28653295128939826</v>
      </c>
      <c r="C394" s="28">
        <f>A394+$E$6</f>
        <v>700</v>
      </c>
      <c r="D394" s="28">
        <f>CEILING(C394/$H$3,1)*CEILING($H$2/$H$3,1)/CEILING($H$2/$H$3,1)</f>
        <v>3</v>
      </c>
      <c r="E394" s="28">
        <f>CEILING(C394/$H$3,1)*CEILING($H$2/$H$3,1)/CEILING(C394/$H$3,1)</f>
        <v>1</v>
      </c>
      <c r="F394" s="28">
        <f>$B$5/D394/B394*E394</f>
        <v>1.5705000000000002</v>
      </c>
    </row>
    <row r="395" spans="1:6" x14ac:dyDescent="0.4">
      <c r="A395" s="28">
        <f t="shared" si="11"/>
        <v>679</v>
      </c>
      <c r="B395" s="28">
        <f t="shared" ref="B395:B458" si="12">$B$4/8/(A395+$B$2)</f>
        <v>0.28612303290414881</v>
      </c>
      <c r="C395" s="28">
        <f>A395+$E$6</f>
        <v>701</v>
      </c>
      <c r="D395" s="28">
        <f>CEILING(C395/$H$3,1)*CEILING($H$2/$H$3,1)/CEILING($H$2/$H$3,1)</f>
        <v>3</v>
      </c>
      <c r="E395" s="28">
        <f>CEILING(C395/$H$3,1)*CEILING($H$2/$H$3,1)/CEILING(C395/$H$3,1)</f>
        <v>1</v>
      </c>
      <c r="F395" s="28">
        <f>$B$5/D395/B395*E395</f>
        <v>1.5727499999999999</v>
      </c>
    </row>
    <row r="396" spans="1:6" x14ac:dyDescent="0.4">
      <c r="A396" s="28">
        <f t="shared" si="11"/>
        <v>680</v>
      </c>
      <c r="B396" s="28">
        <f t="shared" si="12"/>
        <v>0.2857142857142857</v>
      </c>
      <c r="C396" s="28">
        <f>A396+$E$6</f>
        <v>702</v>
      </c>
      <c r="D396" s="28">
        <f>CEILING(C396/$H$3,1)*CEILING($H$2/$H$3,1)/CEILING($H$2/$H$3,1)</f>
        <v>3</v>
      </c>
      <c r="E396" s="28">
        <f>CEILING(C396/$H$3,1)*CEILING($H$2/$H$3,1)/CEILING(C396/$H$3,1)</f>
        <v>1</v>
      </c>
      <c r="F396" s="28">
        <f>$B$5/D396/B396*E396</f>
        <v>1.5750000000000002</v>
      </c>
    </row>
    <row r="397" spans="1:6" x14ac:dyDescent="0.4">
      <c r="A397" s="28">
        <f t="shared" ref="A397:A460" si="13">A396+$B$3</f>
        <v>681</v>
      </c>
      <c r="B397" s="28">
        <f t="shared" si="12"/>
        <v>0.28530670470756064</v>
      </c>
      <c r="C397" s="28">
        <f>A397+$E$6</f>
        <v>703</v>
      </c>
      <c r="D397" s="28">
        <f>CEILING(C397/$H$3,1)*CEILING($H$2/$H$3,1)/CEILING($H$2/$H$3,1)</f>
        <v>3</v>
      </c>
      <c r="E397" s="28">
        <f>CEILING(C397/$H$3,1)*CEILING($H$2/$H$3,1)/CEILING(C397/$H$3,1)</f>
        <v>1</v>
      </c>
      <c r="F397" s="28">
        <f>$B$5/D397/B397*E397</f>
        <v>1.57725</v>
      </c>
    </row>
    <row r="398" spans="1:6" x14ac:dyDescent="0.4">
      <c r="A398" s="28">
        <f t="shared" si="13"/>
        <v>682</v>
      </c>
      <c r="B398" s="28">
        <f t="shared" si="12"/>
        <v>0.28490028490028491</v>
      </c>
      <c r="C398" s="28">
        <f>A398+$E$6</f>
        <v>704</v>
      </c>
      <c r="D398" s="28">
        <f>CEILING(C398/$H$3,1)*CEILING($H$2/$H$3,1)/CEILING($H$2/$H$3,1)</f>
        <v>3</v>
      </c>
      <c r="E398" s="28">
        <f>CEILING(C398/$H$3,1)*CEILING($H$2/$H$3,1)/CEILING(C398/$H$3,1)</f>
        <v>1</v>
      </c>
      <c r="F398" s="28">
        <f>$B$5/D398/B398*E398</f>
        <v>1.5794999999999999</v>
      </c>
    </row>
    <row r="399" spans="1:6" x14ac:dyDescent="0.4">
      <c r="A399" s="28">
        <f t="shared" si="13"/>
        <v>683</v>
      </c>
      <c r="B399" s="28">
        <f t="shared" si="12"/>
        <v>0.28449502133712662</v>
      </c>
      <c r="C399" s="28">
        <f>A399+$E$6</f>
        <v>705</v>
      </c>
      <c r="D399" s="28">
        <f>CEILING(C399/$H$3,1)*CEILING($H$2/$H$3,1)/CEILING($H$2/$H$3,1)</f>
        <v>3</v>
      </c>
      <c r="E399" s="28">
        <f>CEILING(C399/$H$3,1)*CEILING($H$2/$H$3,1)/CEILING(C399/$H$3,1)</f>
        <v>1</v>
      </c>
      <c r="F399" s="28">
        <f>$B$5/D399/B399*E399</f>
        <v>1.58175</v>
      </c>
    </row>
    <row r="400" spans="1:6" x14ac:dyDescent="0.4">
      <c r="A400" s="28">
        <f t="shared" si="13"/>
        <v>684</v>
      </c>
      <c r="B400" s="28">
        <f t="shared" si="12"/>
        <v>0.28409090909090912</v>
      </c>
      <c r="C400" s="28">
        <f>A400+$E$6</f>
        <v>706</v>
      </c>
      <c r="D400" s="28">
        <f>CEILING(C400/$H$3,1)*CEILING($H$2/$H$3,1)/CEILING($H$2/$H$3,1)</f>
        <v>3</v>
      </c>
      <c r="E400" s="28">
        <f>CEILING(C400/$H$3,1)*CEILING($H$2/$H$3,1)/CEILING(C400/$H$3,1)</f>
        <v>1</v>
      </c>
      <c r="F400" s="28">
        <f>$B$5/D400/B400*E400</f>
        <v>1.5839999999999999</v>
      </c>
    </row>
    <row r="401" spans="1:6" x14ac:dyDescent="0.4">
      <c r="A401" s="28">
        <f t="shared" si="13"/>
        <v>685</v>
      </c>
      <c r="B401" s="28">
        <f t="shared" si="12"/>
        <v>0.28368794326241137</v>
      </c>
      <c r="C401" s="28">
        <f>A401+$E$6</f>
        <v>707</v>
      </c>
      <c r="D401" s="28">
        <f>CEILING(C401/$H$3,1)*CEILING($H$2/$H$3,1)/CEILING($H$2/$H$3,1)</f>
        <v>3</v>
      </c>
      <c r="E401" s="28">
        <f>CEILING(C401/$H$3,1)*CEILING($H$2/$H$3,1)/CEILING(C401/$H$3,1)</f>
        <v>1</v>
      </c>
      <c r="F401" s="28">
        <f>$B$5/D401/B401*E401</f>
        <v>1.5862499999999999</v>
      </c>
    </row>
    <row r="402" spans="1:6" x14ac:dyDescent="0.4">
      <c r="A402" s="28">
        <f t="shared" si="13"/>
        <v>686</v>
      </c>
      <c r="B402" s="28">
        <f t="shared" si="12"/>
        <v>0.28328611898016998</v>
      </c>
      <c r="C402" s="28">
        <f>A402+$E$6</f>
        <v>708</v>
      </c>
      <c r="D402" s="28">
        <f>CEILING(C402/$H$3,1)*CEILING($H$2/$H$3,1)/CEILING($H$2/$H$3,1)</f>
        <v>3</v>
      </c>
      <c r="E402" s="28">
        <f>CEILING(C402/$H$3,1)*CEILING($H$2/$H$3,1)/CEILING(C402/$H$3,1)</f>
        <v>1</v>
      </c>
      <c r="F402" s="28">
        <f>$B$5/D402/B402*E402</f>
        <v>1.5885</v>
      </c>
    </row>
    <row r="403" spans="1:6" x14ac:dyDescent="0.4">
      <c r="A403" s="28">
        <f t="shared" si="13"/>
        <v>687</v>
      </c>
      <c r="B403" s="28">
        <f t="shared" si="12"/>
        <v>0.28288543140028288</v>
      </c>
      <c r="C403" s="28">
        <f>A403+$E$6</f>
        <v>709</v>
      </c>
      <c r="D403" s="28">
        <f>CEILING(C403/$H$3,1)*CEILING($H$2/$H$3,1)/CEILING($H$2/$H$3,1)</f>
        <v>3</v>
      </c>
      <c r="E403" s="28">
        <f>CEILING(C403/$H$3,1)*CEILING($H$2/$H$3,1)/CEILING(C403/$H$3,1)</f>
        <v>1</v>
      </c>
      <c r="F403" s="28">
        <f>$B$5/D403/B403*E403</f>
        <v>1.5907500000000001</v>
      </c>
    </row>
    <row r="404" spans="1:6" x14ac:dyDescent="0.4">
      <c r="A404" s="28">
        <f t="shared" si="13"/>
        <v>688</v>
      </c>
      <c r="B404" s="28">
        <f t="shared" si="12"/>
        <v>0.2824858757062147</v>
      </c>
      <c r="C404" s="28">
        <f>A404+$E$6</f>
        <v>710</v>
      </c>
      <c r="D404" s="28">
        <f>CEILING(C404/$H$3,1)*CEILING($H$2/$H$3,1)/CEILING($H$2/$H$3,1)</f>
        <v>3</v>
      </c>
      <c r="E404" s="28">
        <f>CEILING(C404/$H$3,1)*CEILING($H$2/$H$3,1)/CEILING(C404/$H$3,1)</f>
        <v>1</v>
      </c>
      <c r="F404" s="28">
        <f>$B$5/D404/B404*E404</f>
        <v>1.593</v>
      </c>
    </row>
    <row r="405" spans="1:6" x14ac:dyDescent="0.4">
      <c r="A405" s="28">
        <f t="shared" si="13"/>
        <v>689</v>
      </c>
      <c r="B405" s="28">
        <f t="shared" si="12"/>
        <v>0.28208744710860367</v>
      </c>
      <c r="C405" s="28">
        <f>A405+$E$6</f>
        <v>711</v>
      </c>
      <c r="D405" s="28">
        <f>CEILING(C405/$H$3,1)*CEILING($H$2/$H$3,1)/CEILING($H$2/$H$3,1)</f>
        <v>3</v>
      </c>
      <c r="E405" s="28">
        <f>CEILING(C405/$H$3,1)*CEILING($H$2/$H$3,1)/CEILING(C405/$H$3,1)</f>
        <v>1</v>
      </c>
      <c r="F405" s="28">
        <f>$B$5/D405/B405*E405</f>
        <v>1.5952500000000001</v>
      </c>
    </row>
    <row r="406" spans="1:6" x14ac:dyDescent="0.4">
      <c r="A406" s="28">
        <f t="shared" si="13"/>
        <v>690</v>
      </c>
      <c r="B406" s="28">
        <f t="shared" si="12"/>
        <v>0.28169014084507044</v>
      </c>
      <c r="C406" s="28">
        <f>A406+$E$6</f>
        <v>712</v>
      </c>
      <c r="D406" s="28">
        <f>CEILING(C406/$H$3,1)*CEILING($H$2/$H$3,1)/CEILING($H$2/$H$3,1)</f>
        <v>3</v>
      </c>
      <c r="E406" s="28">
        <f>CEILING(C406/$H$3,1)*CEILING($H$2/$H$3,1)/CEILING(C406/$H$3,1)</f>
        <v>1</v>
      </c>
      <c r="F406" s="28">
        <f>$B$5/D406/B406*E406</f>
        <v>1.5974999999999999</v>
      </c>
    </row>
    <row r="407" spans="1:6" x14ac:dyDescent="0.4">
      <c r="A407" s="28">
        <f t="shared" si="13"/>
        <v>691</v>
      </c>
      <c r="B407" s="28">
        <f t="shared" si="12"/>
        <v>0.28129395218002812</v>
      </c>
      <c r="C407" s="28">
        <f>A407+$E$6</f>
        <v>713</v>
      </c>
      <c r="D407" s="28">
        <f>CEILING(C407/$H$3,1)*CEILING($H$2/$H$3,1)/CEILING($H$2/$H$3,1)</f>
        <v>3</v>
      </c>
      <c r="E407" s="28">
        <f>CEILING(C407/$H$3,1)*CEILING($H$2/$H$3,1)/CEILING(C407/$H$3,1)</f>
        <v>1</v>
      </c>
      <c r="F407" s="28">
        <f>$B$5/D407/B407*E407</f>
        <v>1.59975</v>
      </c>
    </row>
    <row r="408" spans="1:6" x14ac:dyDescent="0.4">
      <c r="A408" s="28">
        <f t="shared" si="13"/>
        <v>692</v>
      </c>
      <c r="B408" s="28">
        <f t="shared" si="12"/>
        <v>0.2808988764044944</v>
      </c>
      <c r="C408" s="28">
        <f>A408+$E$6</f>
        <v>714</v>
      </c>
      <c r="D408" s="28">
        <f>CEILING(C408/$H$3,1)*CEILING($H$2/$H$3,1)/CEILING($H$2/$H$3,1)</f>
        <v>3</v>
      </c>
      <c r="E408" s="28">
        <f>CEILING(C408/$H$3,1)*CEILING($H$2/$H$3,1)/CEILING(C408/$H$3,1)</f>
        <v>1</v>
      </c>
      <c r="F408" s="28">
        <f>$B$5/D408/B408*E408</f>
        <v>1.6019999999999999</v>
      </c>
    </row>
    <row r="409" spans="1:6" x14ac:dyDescent="0.4">
      <c r="A409" s="28">
        <f t="shared" si="13"/>
        <v>693</v>
      </c>
      <c r="B409" s="28">
        <f t="shared" si="12"/>
        <v>0.28050490883590462</v>
      </c>
      <c r="C409" s="28">
        <f>A409+$E$6</f>
        <v>715</v>
      </c>
      <c r="D409" s="28">
        <f>CEILING(C409/$H$3,1)*CEILING($H$2/$H$3,1)/CEILING($H$2/$H$3,1)</f>
        <v>3</v>
      </c>
      <c r="E409" s="28">
        <f>CEILING(C409/$H$3,1)*CEILING($H$2/$H$3,1)/CEILING(C409/$H$3,1)</f>
        <v>1</v>
      </c>
      <c r="F409" s="28">
        <f>$B$5/D409/B409*E409</f>
        <v>1.6042500000000002</v>
      </c>
    </row>
    <row r="410" spans="1:6" x14ac:dyDescent="0.4">
      <c r="A410" s="28">
        <f t="shared" si="13"/>
        <v>694</v>
      </c>
      <c r="B410" s="28">
        <f t="shared" si="12"/>
        <v>0.28011204481792717</v>
      </c>
      <c r="C410" s="28">
        <f>A410+$E$6</f>
        <v>716</v>
      </c>
      <c r="D410" s="28">
        <f>CEILING(C410/$H$3,1)*CEILING($H$2/$H$3,1)/CEILING($H$2/$H$3,1)</f>
        <v>3</v>
      </c>
      <c r="E410" s="28">
        <f>CEILING(C410/$H$3,1)*CEILING($H$2/$H$3,1)/CEILING(C410/$H$3,1)</f>
        <v>1</v>
      </c>
      <c r="F410" s="28">
        <f>$B$5/D410/B410*E410</f>
        <v>1.6065</v>
      </c>
    </row>
    <row r="411" spans="1:6" x14ac:dyDescent="0.4">
      <c r="A411" s="28">
        <f t="shared" si="13"/>
        <v>695</v>
      </c>
      <c r="B411" s="28">
        <f t="shared" si="12"/>
        <v>0.27972027972027974</v>
      </c>
      <c r="C411" s="28">
        <f>A411+$E$6</f>
        <v>717</v>
      </c>
      <c r="D411" s="28">
        <f>CEILING(C411/$H$3,1)*CEILING($H$2/$H$3,1)/CEILING($H$2/$H$3,1)</f>
        <v>3</v>
      </c>
      <c r="E411" s="28">
        <f>CEILING(C411/$H$3,1)*CEILING($H$2/$H$3,1)/CEILING(C411/$H$3,1)</f>
        <v>1</v>
      </c>
      <c r="F411" s="28">
        <f>$B$5/D411/B411*E411</f>
        <v>1.6087499999999999</v>
      </c>
    </row>
    <row r="412" spans="1:6" x14ac:dyDescent="0.4">
      <c r="A412" s="28">
        <f t="shared" si="13"/>
        <v>696</v>
      </c>
      <c r="B412" s="28">
        <f t="shared" si="12"/>
        <v>0.27932960893854747</v>
      </c>
      <c r="C412" s="28">
        <f>A412+$E$6</f>
        <v>718</v>
      </c>
      <c r="D412" s="28">
        <f>CEILING(C412/$H$3,1)*CEILING($H$2/$H$3,1)/CEILING($H$2/$H$3,1)</f>
        <v>3</v>
      </c>
      <c r="E412" s="28">
        <f>CEILING(C412/$H$3,1)*CEILING($H$2/$H$3,1)/CEILING(C412/$H$3,1)</f>
        <v>1</v>
      </c>
      <c r="F412" s="28">
        <f>$B$5/D412/B412*E412</f>
        <v>1.6110000000000002</v>
      </c>
    </row>
    <row r="413" spans="1:6" x14ac:dyDescent="0.4">
      <c r="A413" s="28">
        <f t="shared" si="13"/>
        <v>697</v>
      </c>
      <c r="B413" s="28">
        <f t="shared" si="12"/>
        <v>0.2789400278940028</v>
      </c>
      <c r="C413" s="28">
        <f>A413+$E$6</f>
        <v>719</v>
      </c>
      <c r="D413" s="28">
        <f>CEILING(C413/$H$3,1)*CEILING($H$2/$H$3,1)/CEILING($H$2/$H$3,1)</f>
        <v>3</v>
      </c>
      <c r="E413" s="28">
        <f>CEILING(C413/$H$3,1)*CEILING($H$2/$H$3,1)/CEILING(C413/$H$3,1)</f>
        <v>1</v>
      </c>
      <c r="F413" s="28">
        <f>$B$5/D413/B413*E413</f>
        <v>1.6132500000000001</v>
      </c>
    </row>
    <row r="414" spans="1:6" x14ac:dyDescent="0.4">
      <c r="A414" s="28">
        <f t="shared" si="13"/>
        <v>698</v>
      </c>
      <c r="B414" s="28">
        <f t="shared" si="12"/>
        <v>0.2785515320334262</v>
      </c>
      <c r="C414" s="28">
        <f>A414+$E$6</f>
        <v>720</v>
      </c>
      <c r="D414" s="28">
        <f>CEILING(C414/$H$3,1)*CEILING($H$2/$H$3,1)/CEILING($H$2/$H$3,1)</f>
        <v>3</v>
      </c>
      <c r="E414" s="28">
        <f>CEILING(C414/$H$3,1)*CEILING($H$2/$H$3,1)/CEILING(C414/$H$3,1)</f>
        <v>1</v>
      </c>
      <c r="F414" s="28">
        <f>$B$5/D414/B414*E414</f>
        <v>1.6154999999999999</v>
      </c>
    </row>
    <row r="415" spans="1:6" x14ac:dyDescent="0.4">
      <c r="A415" s="28">
        <f t="shared" si="13"/>
        <v>699</v>
      </c>
      <c r="B415" s="28">
        <f t="shared" si="12"/>
        <v>0.27816411682892905</v>
      </c>
      <c r="C415" s="28">
        <f>A415+$E$6</f>
        <v>721</v>
      </c>
      <c r="D415" s="28">
        <f>CEILING(C415/$H$3,1)*CEILING($H$2/$H$3,1)/CEILING($H$2/$H$3,1)</f>
        <v>3</v>
      </c>
      <c r="E415" s="28">
        <f>CEILING(C415/$H$3,1)*CEILING($H$2/$H$3,1)/CEILING(C415/$H$3,1)</f>
        <v>1</v>
      </c>
      <c r="F415" s="28">
        <f>$B$5/D415/B415*E415</f>
        <v>1.61775</v>
      </c>
    </row>
    <row r="416" spans="1:6" x14ac:dyDescent="0.4">
      <c r="A416" s="28">
        <f t="shared" si="13"/>
        <v>700</v>
      </c>
      <c r="B416" s="28">
        <f t="shared" si="12"/>
        <v>0.27777777777777779</v>
      </c>
      <c r="C416" s="28">
        <f>A416+$E$6</f>
        <v>722</v>
      </c>
      <c r="D416" s="28">
        <f>CEILING(C416/$H$3,1)*CEILING($H$2/$H$3,1)/CEILING($H$2/$H$3,1)</f>
        <v>3</v>
      </c>
      <c r="E416" s="28">
        <f>CEILING(C416/$H$3,1)*CEILING($H$2/$H$3,1)/CEILING(C416/$H$3,1)</f>
        <v>1</v>
      </c>
      <c r="F416" s="28">
        <f>$B$5/D416/B416*E416</f>
        <v>1.6199999999999999</v>
      </c>
    </row>
    <row r="417" spans="1:6" x14ac:dyDescent="0.4">
      <c r="A417" s="28">
        <f t="shared" si="13"/>
        <v>701</v>
      </c>
      <c r="B417" s="28">
        <f t="shared" si="12"/>
        <v>0.27739251040221913</v>
      </c>
      <c r="C417" s="28">
        <f>A417+$E$6</f>
        <v>723</v>
      </c>
      <c r="D417" s="28">
        <f>CEILING(C417/$H$3,1)*CEILING($H$2/$H$3,1)/CEILING($H$2/$H$3,1)</f>
        <v>3</v>
      </c>
      <c r="E417" s="28">
        <f>CEILING(C417/$H$3,1)*CEILING($H$2/$H$3,1)/CEILING(C417/$H$3,1)</f>
        <v>1</v>
      </c>
      <c r="F417" s="28">
        <f>$B$5/D417/B417*E417</f>
        <v>1.6222500000000002</v>
      </c>
    </row>
    <row r="418" spans="1:6" x14ac:dyDescent="0.4">
      <c r="A418" s="28">
        <f t="shared" si="13"/>
        <v>702</v>
      </c>
      <c r="B418" s="28">
        <f t="shared" si="12"/>
        <v>0.2770083102493075</v>
      </c>
      <c r="C418" s="28">
        <f>A418+$E$6</f>
        <v>724</v>
      </c>
      <c r="D418" s="28">
        <f>CEILING(C418/$H$3,1)*CEILING($H$2/$H$3,1)/CEILING($H$2/$H$3,1)</f>
        <v>3</v>
      </c>
      <c r="E418" s="28">
        <f>CEILING(C418/$H$3,1)*CEILING($H$2/$H$3,1)/CEILING(C418/$H$3,1)</f>
        <v>1</v>
      </c>
      <c r="F418" s="28">
        <f>$B$5/D418/B418*E418</f>
        <v>1.6244999999999998</v>
      </c>
    </row>
    <row r="419" spans="1:6" x14ac:dyDescent="0.4">
      <c r="A419" s="28">
        <f t="shared" si="13"/>
        <v>703</v>
      </c>
      <c r="B419" s="28">
        <f t="shared" si="12"/>
        <v>0.27662517289073307</v>
      </c>
      <c r="C419" s="28">
        <f>A419+$E$6</f>
        <v>725</v>
      </c>
      <c r="D419" s="28">
        <f>CEILING(C419/$H$3,1)*CEILING($H$2/$H$3,1)/CEILING($H$2/$H$3,1)</f>
        <v>3</v>
      </c>
      <c r="E419" s="28">
        <f>CEILING(C419/$H$3,1)*CEILING($H$2/$H$3,1)/CEILING(C419/$H$3,1)</f>
        <v>1</v>
      </c>
      <c r="F419" s="28">
        <f>$B$5/D419/B419*E419</f>
        <v>1.6267499999999999</v>
      </c>
    </row>
    <row r="420" spans="1:6" x14ac:dyDescent="0.4">
      <c r="A420" s="28">
        <f t="shared" si="13"/>
        <v>704</v>
      </c>
      <c r="B420" s="28">
        <f t="shared" si="12"/>
        <v>0.27624309392265195</v>
      </c>
      <c r="C420" s="28">
        <f>A420+$E$6</f>
        <v>726</v>
      </c>
      <c r="D420" s="28">
        <f>CEILING(C420/$H$3,1)*CEILING($H$2/$H$3,1)/CEILING($H$2/$H$3,1)</f>
        <v>3</v>
      </c>
      <c r="E420" s="28">
        <f>CEILING(C420/$H$3,1)*CEILING($H$2/$H$3,1)/CEILING(C420/$H$3,1)</f>
        <v>1</v>
      </c>
      <c r="F420" s="28">
        <f>$B$5/D420/B420*E420</f>
        <v>1.629</v>
      </c>
    </row>
    <row r="421" spans="1:6" x14ac:dyDescent="0.4">
      <c r="A421" s="28">
        <f t="shared" si="13"/>
        <v>705</v>
      </c>
      <c r="B421" s="28">
        <f t="shared" si="12"/>
        <v>0.27586206896551724</v>
      </c>
      <c r="C421" s="28">
        <f>A421+$E$6</f>
        <v>727</v>
      </c>
      <c r="D421" s="28">
        <f>CEILING(C421/$H$3,1)*CEILING($H$2/$H$3,1)/CEILING($H$2/$H$3,1)</f>
        <v>3</v>
      </c>
      <c r="E421" s="28">
        <f>CEILING(C421/$H$3,1)*CEILING($H$2/$H$3,1)/CEILING(C421/$H$3,1)</f>
        <v>1</v>
      </c>
      <c r="F421" s="28">
        <f>$B$5/D421/B421*E421</f>
        <v>1.6312500000000001</v>
      </c>
    </row>
    <row r="422" spans="1:6" x14ac:dyDescent="0.4">
      <c r="A422" s="28">
        <f t="shared" si="13"/>
        <v>706</v>
      </c>
      <c r="B422" s="28">
        <f t="shared" si="12"/>
        <v>0.27548209366391185</v>
      </c>
      <c r="C422" s="28">
        <f>A422+$E$6</f>
        <v>728</v>
      </c>
      <c r="D422" s="28">
        <f>CEILING(C422/$H$3,1)*CEILING($H$2/$H$3,1)/CEILING($H$2/$H$3,1)</f>
        <v>3</v>
      </c>
      <c r="E422" s="28">
        <f>CEILING(C422/$H$3,1)*CEILING($H$2/$H$3,1)/CEILING(C422/$H$3,1)</f>
        <v>1</v>
      </c>
      <c r="F422" s="28">
        <f>$B$5/D422/B422*E422</f>
        <v>1.6335</v>
      </c>
    </row>
    <row r="423" spans="1:6" x14ac:dyDescent="0.4">
      <c r="A423" s="28">
        <f t="shared" si="13"/>
        <v>707</v>
      </c>
      <c r="B423" s="28">
        <f t="shared" si="12"/>
        <v>0.27510316368638238</v>
      </c>
      <c r="C423" s="28">
        <f>A423+$E$6</f>
        <v>729</v>
      </c>
      <c r="D423" s="28">
        <f>CEILING(C423/$H$3,1)*CEILING($H$2/$H$3,1)/CEILING($H$2/$H$3,1)</f>
        <v>3</v>
      </c>
      <c r="E423" s="28">
        <f>CEILING(C423/$H$3,1)*CEILING($H$2/$H$3,1)/CEILING(C423/$H$3,1)</f>
        <v>1</v>
      </c>
      <c r="F423" s="28">
        <f>$B$5/D423/B423*E423</f>
        <v>1.63575</v>
      </c>
    </row>
    <row r="424" spans="1:6" x14ac:dyDescent="0.4">
      <c r="A424" s="28">
        <f t="shared" si="13"/>
        <v>708</v>
      </c>
      <c r="B424" s="28">
        <f t="shared" si="12"/>
        <v>0.27472527472527475</v>
      </c>
      <c r="C424" s="28">
        <f>A424+$E$6</f>
        <v>730</v>
      </c>
      <c r="D424" s="28">
        <f>CEILING(C424/$H$3,1)*CEILING($H$2/$H$3,1)/CEILING($H$2/$H$3,1)</f>
        <v>3</v>
      </c>
      <c r="E424" s="28">
        <f>CEILING(C424/$H$3,1)*CEILING($H$2/$H$3,1)/CEILING(C424/$H$3,1)</f>
        <v>1</v>
      </c>
      <c r="F424" s="28">
        <f>$B$5/D424/B424*E424</f>
        <v>1.6379999999999999</v>
      </c>
    </row>
    <row r="425" spans="1:6" x14ac:dyDescent="0.4">
      <c r="A425" s="28">
        <f t="shared" si="13"/>
        <v>709</v>
      </c>
      <c r="B425" s="28">
        <f t="shared" si="12"/>
        <v>0.27434842249657065</v>
      </c>
      <c r="C425" s="28">
        <f>A425+$E$6</f>
        <v>731</v>
      </c>
      <c r="D425" s="28">
        <f>CEILING(C425/$H$3,1)*CEILING($H$2/$H$3,1)/CEILING($H$2/$H$3,1)</f>
        <v>3</v>
      </c>
      <c r="E425" s="28">
        <f>CEILING(C425/$H$3,1)*CEILING($H$2/$H$3,1)/CEILING(C425/$H$3,1)</f>
        <v>1</v>
      </c>
      <c r="F425" s="28">
        <f>$B$5/D425/B425*E425</f>
        <v>1.64025</v>
      </c>
    </row>
    <row r="426" spans="1:6" x14ac:dyDescent="0.4">
      <c r="A426" s="28">
        <f t="shared" si="13"/>
        <v>710</v>
      </c>
      <c r="B426" s="28">
        <f t="shared" si="12"/>
        <v>0.27397260273972601</v>
      </c>
      <c r="C426" s="28">
        <f>A426+$E$6</f>
        <v>732</v>
      </c>
      <c r="D426" s="28">
        <f>CEILING(C426/$H$3,1)*CEILING($H$2/$H$3,1)/CEILING($H$2/$H$3,1)</f>
        <v>3</v>
      </c>
      <c r="E426" s="28">
        <f>CEILING(C426/$H$3,1)*CEILING($H$2/$H$3,1)/CEILING(C426/$H$3,1)</f>
        <v>1</v>
      </c>
      <c r="F426" s="28">
        <f>$B$5/D426/B426*E426</f>
        <v>1.6425000000000001</v>
      </c>
    </row>
    <row r="427" spans="1:6" x14ac:dyDescent="0.4">
      <c r="A427" s="28">
        <f t="shared" si="13"/>
        <v>711</v>
      </c>
      <c r="B427" s="28">
        <f t="shared" si="12"/>
        <v>0.27359781121751026</v>
      </c>
      <c r="C427" s="28">
        <f>A427+$E$6</f>
        <v>733</v>
      </c>
      <c r="D427" s="28">
        <f>CEILING(C427/$H$3,1)*CEILING($H$2/$H$3,1)/CEILING($H$2/$H$3,1)</f>
        <v>3</v>
      </c>
      <c r="E427" s="28">
        <f>CEILING(C427/$H$3,1)*CEILING($H$2/$H$3,1)/CEILING(C427/$H$3,1)</f>
        <v>1</v>
      </c>
      <c r="F427" s="28">
        <f>$B$5/D427/B427*E427</f>
        <v>1.6447500000000002</v>
      </c>
    </row>
    <row r="428" spans="1:6" x14ac:dyDescent="0.4">
      <c r="A428" s="28">
        <f t="shared" si="13"/>
        <v>712</v>
      </c>
      <c r="B428" s="28">
        <f t="shared" si="12"/>
        <v>0.27322404371584702</v>
      </c>
      <c r="C428" s="28">
        <f>A428+$E$6</f>
        <v>734</v>
      </c>
      <c r="D428" s="28">
        <f>CEILING(C428/$H$3,1)*CEILING($H$2/$H$3,1)/CEILING($H$2/$H$3,1)</f>
        <v>3</v>
      </c>
      <c r="E428" s="28">
        <f>CEILING(C428/$H$3,1)*CEILING($H$2/$H$3,1)/CEILING(C428/$H$3,1)</f>
        <v>1</v>
      </c>
      <c r="F428" s="28">
        <f>$B$5/D428/B428*E428</f>
        <v>1.6469999999999998</v>
      </c>
    </row>
    <row r="429" spans="1:6" x14ac:dyDescent="0.4">
      <c r="A429" s="28">
        <f t="shared" si="13"/>
        <v>713</v>
      </c>
      <c r="B429" s="28">
        <f t="shared" si="12"/>
        <v>0.27285129604365621</v>
      </c>
      <c r="C429" s="28">
        <f>A429+$E$6</f>
        <v>735</v>
      </c>
      <c r="D429" s="28">
        <f>CEILING(C429/$H$3,1)*CEILING($H$2/$H$3,1)/CEILING($H$2/$H$3,1)</f>
        <v>3</v>
      </c>
      <c r="E429" s="28">
        <f>CEILING(C429/$H$3,1)*CEILING($H$2/$H$3,1)/CEILING(C429/$H$3,1)</f>
        <v>1</v>
      </c>
      <c r="F429" s="28">
        <f>$B$5/D429/B429*E429</f>
        <v>1.6492500000000001</v>
      </c>
    </row>
    <row r="430" spans="1:6" x14ac:dyDescent="0.4">
      <c r="A430" s="28">
        <f t="shared" si="13"/>
        <v>714</v>
      </c>
      <c r="B430" s="28">
        <f t="shared" si="12"/>
        <v>0.27247956403269757</v>
      </c>
      <c r="C430" s="28">
        <f>A430+$E$6</f>
        <v>736</v>
      </c>
      <c r="D430" s="28">
        <f>CEILING(C430/$H$3,1)*CEILING($H$2/$H$3,1)/CEILING($H$2/$H$3,1)</f>
        <v>3</v>
      </c>
      <c r="E430" s="28">
        <f>CEILING(C430/$H$3,1)*CEILING($H$2/$H$3,1)/CEILING(C430/$H$3,1)</f>
        <v>1</v>
      </c>
      <c r="F430" s="28">
        <f>$B$5/D430/B430*E430</f>
        <v>1.6515</v>
      </c>
    </row>
    <row r="431" spans="1:6" x14ac:dyDescent="0.4">
      <c r="A431" s="28">
        <f t="shared" si="13"/>
        <v>715</v>
      </c>
      <c r="B431" s="28">
        <f t="shared" si="12"/>
        <v>0.27210884353741499</v>
      </c>
      <c r="C431" s="28">
        <f>A431+$E$6</f>
        <v>737</v>
      </c>
      <c r="D431" s="28">
        <f>CEILING(C431/$H$3,1)*CEILING($H$2/$H$3,1)/CEILING($H$2/$H$3,1)</f>
        <v>3</v>
      </c>
      <c r="E431" s="28">
        <f>CEILING(C431/$H$3,1)*CEILING($H$2/$H$3,1)/CEILING(C431/$H$3,1)</f>
        <v>1</v>
      </c>
      <c r="F431" s="28">
        <f>$B$5/D431/B431*E431</f>
        <v>1.6537499999999998</v>
      </c>
    </row>
    <row r="432" spans="1:6" x14ac:dyDescent="0.4">
      <c r="A432" s="28">
        <f t="shared" si="13"/>
        <v>716</v>
      </c>
      <c r="B432" s="28">
        <f t="shared" si="12"/>
        <v>0.27173913043478259</v>
      </c>
      <c r="C432" s="28">
        <f>A432+$E$6</f>
        <v>738</v>
      </c>
      <c r="D432" s="28">
        <f>CEILING(C432/$H$3,1)*CEILING($H$2/$H$3,1)/CEILING($H$2/$H$3,1)</f>
        <v>3</v>
      </c>
      <c r="E432" s="28">
        <f>CEILING(C432/$H$3,1)*CEILING($H$2/$H$3,1)/CEILING(C432/$H$3,1)</f>
        <v>1</v>
      </c>
      <c r="F432" s="28">
        <f>$B$5/D432/B432*E432</f>
        <v>1.6560000000000001</v>
      </c>
    </row>
    <row r="433" spans="1:6" x14ac:dyDescent="0.4">
      <c r="A433" s="28">
        <f t="shared" si="13"/>
        <v>717</v>
      </c>
      <c r="B433" s="28">
        <f t="shared" si="12"/>
        <v>0.27137042062415195</v>
      </c>
      <c r="C433" s="28">
        <f>A433+$E$6</f>
        <v>739</v>
      </c>
      <c r="D433" s="28">
        <f>CEILING(C433/$H$3,1)*CEILING($H$2/$H$3,1)/CEILING($H$2/$H$3,1)</f>
        <v>3</v>
      </c>
      <c r="E433" s="28">
        <f>CEILING(C433/$H$3,1)*CEILING($H$2/$H$3,1)/CEILING(C433/$H$3,1)</f>
        <v>1</v>
      </c>
      <c r="F433" s="28">
        <f>$B$5/D433/B433*E433</f>
        <v>1.6582500000000002</v>
      </c>
    </row>
    <row r="434" spans="1:6" x14ac:dyDescent="0.4">
      <c r="A434" s="28">
        <f t="shared" si="13"/>
        <v>718</v>
      </c>
      <c r="B434" s="28">
        <f t="shared" si="12"/>
        <v>0.27100271002710025</v>
      </c>
      <c r="C434" s="28">
        <f>A434+$E$6</f>
        <v>740</v>
      </c>
      <c r="D434" s="28">
        <f>CEILING(C434/$H$3,1)*CEILING($H$2/$H$3,1)/CEILING($H$2/$H$3,1)</f>
        <v>3</v>
      </c>
      <c r="E434" s="28">
        <f>CEILING(C434/$H$3,1)*CEILING($H$2/$H$3,1)/CEILING(C434/$H$3,1)</f>
        <v>1</v>
      </c>
      <c r="F434" s="28">
        <f>$B$5/D434/B434*E434</f>
        <v>1.6605000000000001</v>
      </c>
    </row>
    <row r="435" spans="1:6" x14ac:dyDescent="0.4">
      <c r="A435" s="28">
        <f t="shared" si="13"/>
        <v>719</v>
      </c>
      <c r="B435" s="28">
        <f t="shared" si="12"/>
        <v>0.2706359945872801</v>
      </c>
      <c r="C435" s="28">
        <f>A435+$E$6</f>
        <v>741</v>
      </c>
      <c r="D435" s="28">
        <f>CEILING(C435/$H$3,1)*CEILING($H$2/$H$3,1)/CEILING($H$2/$H$3,1)</f>
        <v>3</v>
      </c>
      <c r="E435" s="28">
        <f>CEILING(C435/$H$3,1)*CEILING($H$2/$H$3,1)/CEILING(C435/$H$3,1)</f>
        <v>1</v>
      </c>
      <c r="F435" s="28">
        <f>$B$5/D435/B435*E435</f>
        <v>1.6627500000000002</v>
      </c>
    </row>
    <row r="436" spans="1:6" x14ac:dyDescent="0.4">
      <c r="A436" s="28">
        <f t="shared" si="13"/>
        <v>720</v>
      </c>
      <c r="B436" s="28">
        <f t="shared" si="12"/>
        <v>0.27027027027027029</v>
      </c>
      <c r="C436" s="28">
        <f>A436+$E$6</f>
        <v>742</v>
      </c>
      <c r="D436" s="28">
        <f>CEILING(C436/$H$3,1)*CEILING($H$2/$H$3,1)/CEILING($H$2/$H$3,1)</f>
        <v>3</v>
      </c>
      <c r="E436" s="28">
        <f>CEILING(C436/$H$3,1)*CEILING($H$2/$H$3,1)/CEILING(C436/$H$3,1)</f>
        <v>1</v>
      </c>
      <c r="F436" s="28">
        <f>$B$5/D436/B436*E436</f>
        <v>1.665</v>
      </c>
    </row>
    <row r="437" spans="1:6" x14ac:dyDescent="0.4">
      <c r="A437" s="28">
        <f t="shared" si="13"/>
        <v>721</v>
      </c>
      <c r="B437" s="28">
        <f t="shared" si="12"/>
        <v>0.26990553306342779</v>
      </c>
      <c r="C437" s="28">
        <f>A437+$E$6</f>
        <v>743</v>
      </c>
      <c r="D437" s="28">
        <f>CEILING(C437/$H$3,1)*CEILING($H$2/$H$3,1)/CEILING($H$2/$H$3,1)</f>
        <v>3</v>
      </c>
      <c r="E437" s="28">
        <f>CEILING(C437/$H$3,1)*CEILING($H$2/$H$3,1)/CEILING(C437/$H$3,1)</f>
        <v>1</v>
      </c>
      <c r="F437" s="28">
        <f>$B$5/D437/B437*E437</f>
        <v>1.6672500000000001</v>
      </c>
    </row>
    <row r="438" spans="1:6" x14ac:dyDescent="0.4">
      <c r="A438" s="28">
        <f t="shared" si="13"/>
        <v>722</v>
      </c>
      <c r="B438" s="28">
        <f t="shared" si="12"/>
        <v>0.26954177897574122</v>
      </c>
      <c r="C438" s="28">
        <f>A438+$E$6</f>
        <v>744</v>
      </c>
      <c r="D438" s="28">
        <f>CEILING(C438/$H$3,1)*CEILING($H$2/$H$3,1)/CEILING($H$2/$H$3,1)</f>
        <v>3</v>
      </c>
      <c r="E438" s="28">
        <f>CEILING(C438/$H$3,1)*CEILING($H$2/$H$3,1)/CEILING(C438/$H$3,1)</f>
        <v>1</v>
      </c>
      <c r="F438" s="28">
        <f>$B$5/D438/B438*E438</f>
        <v>1.6695000000000002</v>
      </c>
    </row>
    <row r="439" spans="1:6" x14ac:dyDescent="0.4">
      <c r="A439" s="28">
        <f t="shared" si="13"/>
        <v>723</v>
      </c>
      <c r="B439" s="28">
        <f t="shared" si="12"/>
        <v>0.26917900403768508</v>
      </c>
      <c r="C439" s="28">
        <f>A439+$E$6</f>
        <v>745</v>
      </c>
      <c r="D439" s="28">
        <f>CEILING(C439/$H$3,1)*CEILING($H$2/$H$3,1)/CEILING($H$2/$H$3,1)</f>
        <v>3</v>
      </c>
      <c r="E439" s="28">
        <f>CEILING(C439/$H$3,1)*CEILING($H$2/$H$3,1)/CEILING(C439/$H$3,1)</f>
        <v>1</v>
      </c>
      <c r="F439" s="28">
        <f>$B$5/D439/B439*E439</f>
        <v>1.6717499999999998</v>
      </c>
    </row>
    <row r="440" spans="1:6" x14ac:dyDescent="0.4">
      <c r="A440" s="28">
        <f t="shared" si="13"/>
        <v>724</v>
      </c>
      <c r="B440" s="28">
        <f t="shared" si="12"/>
        <v>0.26881720430107525</v>
      </c>
      <c r="C440" s="28">
        <f>A440+$E$6</f>
        <v>746</v>
      </c>
      <c r="D440" s="28">
        <f>CEILING(C440/$H$3,1)*CEILING($H$2/$H$3,1)/CEILING($H$2/$H$3,1)</f>
        <v>3</v>
      </c>
      <c r="E440" s="28">
        <f>CEILING(C440/$H$3,1)*CEILING($H$2/$H$3,1)/CEILING(C440/$H$3,1)</f>
        <v>1</v>
      </c>
      <c r="F440" s="28">
        <f>$B$5/D440/B440*E440</f>
        <v>1.6740000000000002</v>
      </c>
    </row>
    <row r="441" spans="1:6" x14ac:dyDescent="0.4">
      <c r="A441" s="28">
        <f t="shared" si="13"/>
        <v>725</v>
      </c>
      <c r="B441" s="28">
        <f t="shared" si="12"/>
        <v>0.26845637583892618</v>
      </c>
      <c r="C441" s="28">
        <f>A441+$E$6</f>
        <v>747</v>
      </c>
      <c r="D441" s="28">
        <f>CEILING(C441/$H$3,1)*CEILING($H$2/$H$3,1)/CEILING($H$2/$H$3,1)</f>
        <v>3</v>
      </c>
      <c r="E441" s="28">
        <f>CEILING(C441/$H$3,1)*CEILING($H$2/$H$3,1)/CEILING(C441/$H$3,1)</f>
        <v>1</v>
      </c>
      <c r="F441" s="28">
        <f>$B$5/D441/B441*E441</f>
        <v>1.67625</v>
      </c>
    </row>
    <row r="442" spans="1:6" x14ac:dyDescent="0.4">
      <c r="A442" s="28">
        <f t="shared" si="13"/>
        <v>726</v>
      </c>
      <c r="B442" s="28">
        <f t="shared" si="12"/>
        <v>0.26809651474530832</v>
      </c>
      <c r="C442" s="28">
        <f>A442+$E$6</f>
        <v>748</v>
      </c>
      <c r="D442" s="28">
        <f>CEILING(C442/$H$3,1)*CEILING($H$2/$H$3,1)/CEILING($H$2/$H$3,1)</f>
        <v>3</v>
      </c>
      <c r="E442" s="28">
        <f>CEILING(C442/$H$3,1)*CEILING($H$2/$H$3,1)/CEILING(C442/$H$3,1)</f>
        <v>1</v>
      </c>
      <c r="F442" s="28">
        <f>$B$5/D442/B442*E442</f>
        <v>1.6784999999999999</v>
      </c>
    </row>
    <row r="443" spans="1:6" x14ac:dyDescent="0.4">
      <c r="A443" s="28">
        <f t="shared" si="13"/>
        <v>727</v>
      </c>
      <c r="B443" s="28">
        <f t="shared" si="12"/>
        <v>0.2677376171352075</v>
      </c>
      <c r="C443" s="28">
        <f>A443+$E$6</f>
        <v>749</v>
      </c>
      <c r="D443" s="28">
        <f>CEILING(C443/$H$3,1)*CEILING($H$2/$H$3,1)/CEILING($H$2/$H$3,1)</f>
        <v>3</v>
      </c>
      <c r="E443" s="28">
        <f>CEILING(C443/$H$3,1)*CEILING($H$2/$H$3,1)/CEILING(C443/$H$3,1)</f>
        <v>1</v>
      </c>
      <c r="F443" s="28">
        <f>$B$5/D443/B443*E443</f>
        <v>1.68075</v>
      </c>
    </row>
    <row r="444" spans="1:6" x14ac:dyDescent="0.4">
      <c r="A444" s="28">
        <f t="shared" si="13"/>
        <v>728</v>
      </c>
      <c r="B444" s="28">
        <f t="shared" si="12"/>
        <v>0.26737967914438504</v>
      </c>
      <c r="C444" s="28">
        <f>A444+$E$6</f>
        <v>750</v>
      </c>
      <c r="D444" s="28">
        <f>CEILING(C444/$H$3,1)*CEILING($H$2/$H$3,1)/CEILING($H$2/$H$3,1)</f>
        <v>3</v>
      </c>
      <c r="E444" s="28">
        <f>CEILING(C444/$H$3,1)*CEILING($H$2/$H$3,1)/CEILING(C444/$H$3,1)</f>
        <v>1</v>
      </c>
      <c r="F444" s="28">
        <f>$B$5/D444/B444*E444</f>
        <v>1.6830000000000001</v>
      </c>
    </row>
    <row r="445" spans="1:6" x14ac:dyDescent="0.4">
      <c r="A445" s="28">
        <f t="shared" si="13"/>
        <v>729</v>
      </c>
      <c r="B445" s="28">
        <f t="shared" si="12"/>
        <v>0.26702269692923897</v>
      </c>
      <c r="C445" s="28">
        <f>A445+$E$6</f>
        <v>751</v>
      </c>
      <c r="D445" s="28">
        <f>CEILING(C445/$H$3,1)*CEILING($H$2/$H$3,1)/CEILING($H$2/$H$3,1)</f>
        <v>3</v>
      </c>
      <c r="E445" s="28">
        <f>CEILING(C445/$H$3,1)*CEILING($H$2/$H$3,1)/CEILING(C445/$H$3,1)</f>
        <v>1</v>
      </c>
      <c r="F445" s="28">
        <f>$B$5/D445/B445*E445</f>
        <v>1.6852500000000001</v>
      </c>
    </row>
    <row r="446" spans="1:6" x14ac:dyDescent="0.4">
      <c r="A446" s="28">
        <f t="shared" si="13"/>
        <v>730</v>
      </c>
      <c r="B446" s="28">
        <f t="shared" si="12"/>
        <v>0.26666666666666666</v>
      </c>
      <c r="C446" s="28">
        <f>A446+$E$6</f>
        <v>752</v>
      </c>
      <c r="D446" s="28">
        <f>CEILING(C446/$H$3,1)*CEILING($H$2/$H$3,1)/CEILING($H$2/$H$3,1)</f>
        <v>3</v>
      </c>
      <c r="E446" s="28">
        <f>CEILING(C446/$H$3,1)*CEILING($H$2/$H$3,1)/CEILING(C446/$H$3,1)</f>
        <v>1</v>
      </c>
      <c r="F446" s="28">
        <f>$B$5/D446/B446*E446</f>
        <v>1.6875</v>
      </c>
    </row>
    <row r="447" spans="1:6" x14ac:dyDescent="0.4">
      <c r="A447" s="28">
        <f t="shared" si="13"/>
        <v>731</v>
      </c>
      <c r="B447" s="28">
        <f t="shared" si="12"/>
        <v>0.26631158455392812</v>
      </c>
      <c r="C447" s="28">
        <f>A447+$E$6</f>
        <v>753</v>
      </c>
      <c r="D447" s="28">
        <f>CEILING(C447/$H$3,1)*CEILING($H$2/$H$3,1)/CEILING($H$2/$H$3,1)</f>
        <v>3</v>
      </c>
      <c r="E447" s="28">
        <f>CEILING(C447/$H$3,1)*CEILING($H$2/$H$3,1)/CEILING(C447/$H$3,1)</f>
        <v>1</v>
      </c>
      <c r="F447" s="28">
        <f>$B$5/D447/B447*E447</f>
        <v>1.6897499999999999</v>
      </c>
    </row>
    <row r="448" spans="1:6" x14ac:dyDescent="0.4">
      <c r="A448" s="28">
        <f t="shared" si="13"/>
        <v>732</v>
      </c>
      <c r="B448" s="28">
        <f t="shared" si="12"/>
        <v>0.26595744680851063</v>
      </c>
      <c r="C448" s="28">
        <f>A448+$E$6</f>
        <v>754</v>
      </c>
      <c r="D448" s="28">
        <f>CEILING(C448/$H$3,1)*CEILING($H$2/$H$3,1)/CEILING($H$2/$H$3,1)</f>
        <v>3</v>
      </c>
      <c r="E448" s="28">
        <f>CEILING(C448/$H$3,1)*CEILING($H$2/$H$3,1)/CEILING(C448/$H$3,1)</f>
        <v>1</v>
      </c>
      <c r="F448" s="28">
        <f>$B$5/D448/B448*E448</f>
        <v>1.6920000000000002</v>
      </c>
    </row>
    <row r="449" spans="1:6" x14ac:dyDescent="0.4">
      <c r="A449" s="28">
        <f t="shared" si="13"/>
        <v>733</v>
      </c>
      <c r="B449" s="28">
        <f t="shared" si="12"/>
        <v>0.26560424966799467</v>
      </c>
      <c r="C449" s="28">
        <f>A449+$E$6</f>
        <v>755</v>
      </c>
      <c r="D449" s="28">
        <f>CEILING(C449/$H$3,1)*CEILING($H$2/$H$3,1)/CEILING($H$2/$H$3,1)</f>
        <v>3</v>
      </c>
      <c r="E449" s="28">
        <f>CEILING(C449/$H$3,1)*CEILING($H$2/$H$3,1)/CEILING(C449/$H$3,1)</f>
        <v>1</v>
      </c>
      <c r="F449" s="28">
        <f>$B$5/D449/B449*E449</f>
        <v>1.69425</v>
      </c>
    </row>
    <row r="450" spans="1:6" x14ac:dyDescent="0.4">
      <c r="A450" s="28">
        <f t="shared" si="13"/>
        <v>734</v>
      </c>
      <c r="B450" s="28">
        <f t="shared" si="12"/>
        <v>0.26525198938992045</v>
      </c>
      <c r="C450" s="28">
        <f>A450+$E$6</f>
        <v>756</v>
      </c>
      <c r="D450" s="28">
        <f>CEILING(C450/$H$3,1)*CEILING($H$2/$H$3,1)/CEILING($H$2/$H$3,1)</f>
        <v>3</v>
      </c>
      <c r="E450" s="28">
        <f>CEILING(C450/$H$3,1)*CEILING($H$2/$H$3,1)/CEILING(C450/$H$3,1)</f>
        <v>1</v>
      </c>
      <c r="F450" s="28">
        <f>$B$5/D450/B450*E450</f>
        <v>1.6964999999999999</v>
      </c>
    </row>
    <row r="451" spans="1:6" x14ac:dyDescent="0.4">
      <c r="A451" s="28">
        <f t="shared" si="13"/>
        <v>735</v>
      </c>
      <c r="B451" s="28">
        <f t="shared" si="12"/>
        <v>0.26490066225165565</v>
      </c>
      <c r="C451" s="28">
        <f>A451+$E$6</f>
        <v>757</v>
      </c>
      <c r="D451" s="28">
        <f>CEILING(C451/$H$3,1)*CEILING($H$2/$H$3,1)/CEILING($H$2/$H$3,1)</f>
        <v>3</v>
      </c>
      <c r="E451" s="28">
        <f>CEILING(C451/$H$3,1)*CEILING($H$2/$H$3,1)/CEILING(C451/$H$3,1)</f>
        <v>1</v>
      </c>
      <c r="F451" s="28">
        <f>$B$5/D451/B451*E451</f>
        <v>1.69875</v>
      </c>
    </row>
    <row r="452" spans="1:6" x14ac:dyDescent="0.4">
      <c r="A452" s="28">
        <f t="shared" si="13"/>
        <v>736</v>
      </c>
      <c r="B452" s="28">
        <f t="shared" si="12"/>
        <v>0.26455026455026454</v>
      </c>
      <c r="C452" s="28">
        <f>A452+$E$6</f>
        <v>758</v>
      </c>
      <c r="D452" s="28">
        <f>CEILING(C452/$H$3,1)*CEILING($H$2/$H$3,1)/CEILING($H$2/$H$3,1)</f>
        <v>3</v>
      </c>
      <c r="E452" s="28">
        <f>CEILING(C452/$H$3,1)*CEILING($H$2/$H$3,1)/CEILING(C452/$H$3,1)</f>
        <v>1</v>
      </c>
      <c r="F452" s="28">
        <f>$B$5/D452/B452*E452</f>
        <v>1.7010000000000001</v>
      </c>
    </row>
    <row r="453" spans="1:6" x14ac:dyDescent="0.4">
      <c r="A453" s="28">
        <f t="shared" si="13"/>
        <v>737</v>
      </c>
      <c r="B453" s="28">
        <f t="shared" si="12"/>
        <v>0.26420079260237783</v>
      </c>
      <c r="C453" s="28">
        <f>A453+$E$6</f>
        <v>759</v>
      </c>
      <c r="D453" s="28">
        <f>CEILING(C453/$H$3,1)*CEILING($H$2/$H$3,1)/CEILING($H$2/$H$3,1)</f>
        <v>3</v>
      </c>
      <c r="E453" s="28">
        <f>CEILING(C453/$H$3,1)*CEILING($H$2/$H$3,1)/CEILING(C453/$H$3,1)</f>
        <v>1</v>
      </c>
      <c r="F453" s="28">
        <f>$B$5/D453/B453*E453</f>
        <v>1.7032499999999999</v>
      </c>
    </row>
    <row r="454" spans="1:6" x14ac:dyDescent="0.4">
      <c r="A454" s="28">
        <f t="shared" si="13"/>
        <v>738</v>
      </c>
      <c r="B454" s="28">
        <f t="shared" si="12"/>
        <v>0.26385224274406333</v>
      </c>
      <c r="C454" s="28">
        <f>A454+$E$6</f>
        <v>760</v>
      </c>
      <c r="D454" s="28">
        <f>CEILING(C454/$H$3,1)*CEILING($H$2/$H$3,1)/CEILING($H$2/$H$3,1)</f>
        <v>3</v>
      </c>
      <c r="E454" s="28">
        <f>CEILING(C454/$H$3,1)*CEILING($H$2/$H$3,1)/CEILING(C454/$H$3,1)</f>
        <v>1</v>
      </c>
      <c r="F454" s="28">
        <f>$B$5/D454/B454*E454</f>
        <v>1.7055</v>
      </c>
    </row>
    <row r="455" spans="1:6" x14ac:dyDescent="0.4">
      <c r="A455" s="28">
        <f t="shared" si="13"/>
        <v>739</v>
      </c>
      <c r="B455" s="28">
        <f t="shared" si="12"/>
        <v>0.2635046113306983</v>
      </c>
      <c r="C455" s="28">
        <f>A455+$E$6</f>
        <v>761</v>
      </c>
      <c r="D455" s="28">
        <f>CEILING(C455/$H$3,1)*CEILING($H$2/$H$3,1)/CEILING($H$2/$H$3,1)</f>
        <v>3</v>
      </c>
      <c r="E455" s="28">
        <f>CEILING(C455/$H$3,1)*CEILING($H$2/$H$3,1)/CEILING(C455/$H$3,1)</f>
        <v>1</v>
      </c>
      <c r="F455" s="28">
        <f>$B$5/D455/B455*E455</f>
        <v>1.7077499999999999</v>
      </c>
    </row>
    <row r="456" spans="1:6" x14ac:dyDescent="0.4">
      <c r="A456" s="28">
        <f t="shared" si="13"/>
        <v>740</v>
      </c>
      <c r="B456" s="28">
        <f t="shared" si="12"/>
        <v>0.26315789473684209</v>
      </c>
      <c r="C456" s="28">
        <f>A456+$E$6</f>
        <v>762</v>
      </c>
      <c r="D456" s="28">
        <f>CEILING(C456/$H$3,1)*CEILING($H$2/$H$3,1)/CEILING($H$2/$H$3,1)</f>
        <v>3</v>
      </c>
      <c r="E456" s="28">
        <f>CEILING(C456/$H$3,1)*CEILING($H$2/$H$3,1)/CEILING(C456/$H$3,1)</f>
        <v>1</v>
      </c>
      <c r="F456" s="28">
        <f>$B$5/D456/B456*E456</f>
        <v>1.7100000000000002</v>
      </c>
    </row>
    <row r="457" spans="1:6" x14ac:dyDescent="0.4">
      <c r="A457" s="28">
        <f t="shared" si="13"/>
        <v>741</v>
      </c>
      <c r="B457" s="28">
        <f t="shared" si="12"/>
        <v>0.26281208935611039</v>
      </c>
      <c r="C457" s="28">
        <f>A457+$E$6</f>
        <v>763</v>
      </c>
      <c r="D457" s="28">
        <f>CEILING(C457/$H$3,1)*CEILING($H$2/$H$3,1)/CEILING($H$2/$H$3,1)</f>
        <v>3</v>
      </c>
      <c r="E457" s="28">
        <f>CEILING(C457/$H$3,1)*CEILING($H$2/$H$3,1)/CEILING(C457/$H$3,1)</f>
        <v>1</v>
      </c>
      <c r="F457" s="28">
        <f>$B$5/D457/B457*E457</f>
        <v>1.71225</v>
      </c>
    </row>
    <row r="458" spans="1:6" x14ac:dyDescent="0.4">
      <c r="A458" s="28">
        <f t="shared" si="13"/>
        <v>742</v>
      </c>
      <c r="B458" s="28">
        <f t="shared" si="12"/>
        <v>0.26246719160104987</v>
      </c>
      <c r="C458" s="28">
        <f>A458+$E$6</f>
        <v>764</v>
      </c>
      <c r="D458" s="28">
        <f>CEILING(C458/$H$3,1)*CEILING($H$2/$H$3,1)/CEILING($H$2/$H$3,1)</f>
        <v>3</v>
      </c>
      <c r="E458" s="28">
        <f>CEILING(C458/$H$3,1)*CEILING($H$2/$H$3,1)/CEILING(C458/$H$3,1)</f>
        <v>1</v>
      </c>
      <c r="F458" s="28">
        <f>$B$5/D458/B458*E458</f>
        <v>1.7145000000000001</v>
      </c>
    </row>
    <row r="459" spans="1:6" x14ac:dyDescent="0.4">
      <c r="A459" s="28">
        <f t="shared" si="13"/>
        <v>743</v>
      </c>
      <c r="B459" s="28">
        <f t="shared" ref="B459:B522" si="14">$B$4/8/(A459+$B$2)</f>
        <v>0.26212319790301442</v>
      </c>
      <c r="C459" s="28">
        <f>A459+$E$6</f>
        <v>765</v>
      </c>
      <c r="D459" s="28">
        <f>CEILING(C459/$H$3,1)*CEILING($H$2/$H$3,1)/CEILING($H$2/$H$3,1)</f>
        <v>3</v>
      </c>
      <c r="E459" s="28">
        <f>CEILING(C459/$H$3,1)*CEILING($H$2/$H$3,1)/CEILING(C459/$H$3,1)</f>
        <v>1</v>
      </c>
      <c r="F459" s="28">
        <f>$B$5/D459/B459*E459</f>
        <v>1.71675</v>
      </c>
    </row>
    <row r="460" spans="1:6" x14ac:dyDescent="0.4">
      <c r="A460" s="28">
        <f t="shared" si="13"/>
        <v>744</v>
      </c>
      <c r="B460" s="28">
        <f t="shared" si="14"/>
        <v>0.26178010471204188</v>
      </c>
      <c r="C460" s="28">
        <f>A460+$E$6</f>
        <v>766</v>
      </c>
      <c r="D460" s="28">
        <f>CEILING(C460/$H$3,1)*CEILING($H$2/$H$3,1)/CEILING($H$2/$H$3,1)</f>
        <v>3</v>
      </c>
      <c r="E460" s="28">
        <f>CEILING(C460/$H$3,1)*CEILING($H$2/$H$3,1)/CEILING(C460/$H$3,1)</f>
        <v>1</v>
      </c>
      <c r="F460" s="28">
        <f>$B$5/D460/B460*E460</f>
        <v>1.7190000000000001</v>
      </c>
    </row>
    <row r="461" spans="1:6" x14ac:dyDescent="0.4">
      <c r="A461" s="28">
        <f t="shared" ref="A461:A524" si="15">A460+$B$3</f>
        <v>745</v>
      </c>
      <c r="B461" s="28">
        <f t="shared" si="14"/>
        <v>0.26143790849673204</v>
      </c>
      <c r="C461" s="28">
        <f>A461+$E$6</f>
        <v>767</v>
      </c>
      <c r="D461" s="28">
        <f>CEILING(C461/$H$3,1)*CEILING($H$2/$H$3,1)/CEILING($H$2/$H$3,1)</f>
        <v>3</v>
      </c>
      <c r="E461" s="28">
        <f>CEILING(C461/$H$3,1)*CEILING($H$2/$H$3,1)/CEILING(C461/$H$3,1)</f>
        <v>1</v>
      </c>
      <c r="F461" s="28">
        <f>$B$5/D461/B461*E461</f>
        <v>1.7212499999999999</v>
      </c>
    </row>
    <row r="462" spans="1:6" x14ac:dyDescent="0.4">
      <c r="A462" s="28">
        <f t="shared" si="15"/>
        <v>746</v>
      </c>
      <c r="B462" s="28">
        <f t="shared" si="14"/>
        <v>0.26109660574412535</v>
      </c>
      <c r="C462" s="28">
        <f>A462+$E$6</f>
        <v>768</v>
      </c>
      <c r="D462" s="28">
        <f>CEILING(C462/$H$3,1)*CEILING($H$2/$H$3,1)/CEILING($H$2/$H$3,1)</f>
        <v>3</v>
      </c>
      <c r="E462" s="28">
        <f>CEILING(C462/$H$3,1)*CEILING($H$2/$H$3,1)/CEILING(C462/$H$3,1)</f>
        <v>1</v>
      </c>
      <c r="F462" s="28">
        <f>$B$5/D462/B462*E462</f>
        <v>1.7234999999999998</v>
      </c>
    </row>
    <row r="463" spans="1:6" x14ac:dyDescent="0.4">
      <c r="A463" s="28">
        <f t="shared" si="15"/>
        <v>747</v>
      </c>
      <c r="B463" s="28">
        <f t="shared" si="14"/>
        <v>0.2607561929595828</v>
      </c>
      <c r="C463" s="28">
        <f>A463+$E$6</f>
        <v>769</v>
      </c>
      <c r="D463" s="28">
        <f>CEILING(C463/$H$3,1)*CEILING($H$2/$H$3,1)/CEILING($H$2/$H$3,1)</f>
        <v>4</v>
      </c>
      <c r="E463" s="28">
        <f>CEILING(C463/$H$3,1)*CEILING($H$2/$H$3,1)/CEILING(C463/$H$3,1)</f>
        <v>1</v>
      </c>
      <c r="F463" s="28">
        <f>$B$5/D463/B463*E463</f>
        <v>1.2943125</v>
      </c>
    </row>
    <row r="464" spans="1:6" x14ac:dyDescent="0.4">
      <c r="A464" s="28">
        <f t="shared" si="15"/>
        <v>748</v>
      </c>
      <c r="B464" s="28">
        <f t="shared" si="14"/>
        <v>0.26041666666666669</v>
      </c>
      <c r="C464" s="28">
        <f>A464+$E$6</f>
        <v>770</v>
      </c>
      <c r="D464" s="28">
        <f>CEILING(C464/$H$3,1)*CEILING($H$2/$H$3,1)/CEILING($H$2/$H$3,1)</f>
        <v>4</v>
      </c>
      <c r="E464" s="28">
        <f>CEILING(C464/$H$3,1)*CEILING($H$2/$H$3,1)/CEILING(C464/$H$3,1)</f>
        <v>1</v>
      </c>
      <c r="F464" s="28">
        <f>$B$5/D464/B464*E464</f>
        <v>1.296</v>
      </c>
    </row>
    <row r="465" spans="1:6" x14ac:dyDescent="0.4">
      <c r="A465" s="28">
        <f t="shared" si="15"/>
        <v>749</v>
      </c>
      <c r="B465" s="28">
        <f t="shared" si="14"/>
        <v>0.26007802340702213</v>
      </c>
      <c r="C465" s="28">
        <f>A465+$E$6</f>
        <v>771</v>
      </c>
      <c r="D465" s="28">
        <f>CEILING(C465/$H$3,1)*CEILING($H$2/$H$3,1)/CEILING($H$2/$H$3,1)</f>
        <v>4</v>
      </c>
      <c r="E465" s="28">
        <f>CEILING(C465/$H$3,1)*CEILING($H$2/$H$3,1)/CEILING(C465/$H$3,1)</f>
        <v>1</v>
      </c>
      <c r="F465" s="28">
        <f>$B$5/D465/B465*E465</f>
        <v>1.2976874999999999</v>
      </c>
    </row>
    <row r="466" spans="1:6" x14ac:dyDescent="0.4">
      <c r="A466" s="28">
        <f t="shared" si="15"/>
        <v>750</v>
      </c>
      <c r="B466" s="28">
        <f t="shared" si="14"/>
        <v>0.25974025974025972</v>
      </c>
      <c r="C466" s="28">
        <f>A466+$E$6</f>
        <v>772</v>
      </c>
      <c r="D466" s="28">
        <f>CEILING(C466/$H$3,1)*CEILING($H$2/$H$3,1)/CEILING($H$2/$H$3,1)</f>
        <v>4</v>
      </c>
      <c r="E466" s="28">
        <f>CEILING(C466/$H$3,1)*CEILING($H$2/$H$3,1)/CEILING(C466/$H$3,1)</f>
        <v>1</v>
      </c>
      <c r="F466" s="28">
        <f>$B$5/D466/B466*E466</f>
        <v>1.2993750000000002</v>
      </c>
    </row>
    <row r="467" spans="1:6" x14ac:dyDescent="0.4">
      <c r="A467" s="28">
        <f t="shared" si="15"/>
        <v>751</v>
      </c>
      <c r="B467" s="28">
        <f t="shared" si="14"/>
        <v>0.25940337224383919</v>
      </c>
      <c r="C467" s="28">
        <f>A467+$E$6</f>
        <v>773</v>
      </c>
      <c r="D467" s="28">
        <f>CEILING(C467/$H$3,1)*CEILING($H$2/$H$3,1)/CEILING($H$2/$H$3,1)</f>
        <v>4</v>
      </c>
      <c r="E467" s="28">
        <f>CEILING(C467/$H$3,1)*CEILING($H$2/$H$3,1)/CEILING(C467/$H$3,1)</f>
        <v>1</v>
      </c>
      <c r="F467" s="28">
        <f>$B$5/D467/B467*E467</f>
        <v>1.3010625</v>
      </c>
    </row>
    <row r="468" spans="1:6" x14ac:dyDescent="0.4">
      <c r="A468" s="28">
        <f t="shared" si="15"/>
        <v>752</v>
      </c>
      <c r="B468" s="28">
        <f t="shared" si="14"/>
        <v>0.25906735751295334</v>
      </c>
      <c r="C468" s="28">
        <f>A468+$E$6</f>
        <v>774</v>
      </c>
      <c r="D468" s="28">
        <f>CEILING(C468/$H$3,1)*CEILING($H$2/$H$3,1)/CEILING($H$2/$H$3,1)</f>
        <v>4</v>
      </c>
      <c r="E468" s="28">
        <f>CEILING(C468/$H$3,1)*CEILING($H$2/$H$3,1)/CEILING(C468/$H$3,1)</f>
        <v>1</v>
      </c>
      <c r="F468" s="28">
        <f>$B$5/D468/B468*E468</f>
        <v>1.3027500000000003</v>
      </c>
    </row>
    <row r="469" spans="1:6" x14ac:dyDescent="0.4">
      <c r="A469" s="28">
        <f t="shared" si="15"/>
        <v>753</v>
      </c>
      <c r="B469" s="28">
        <f t="shared" si="14"/>
        <v>0.25873221216041398</v>
      </c>
      <c r="C469" s="28">
        <f>A469+$E$6</f>
        <v>775</v>
      </c>
      <c r="D469" s="28">
        <f>CEILING(C469/$H$3,1)*CEILING($H$2/$H$3,1)/CEILING($H$2/$H$3,1)</f>
        <v>4</v>
      </c>
      <c r="E469" s="28">
        <f>CEILING(C469/$H$3,1)*CEILING($H$2/$H$3,1)/CEILING(C469/$H$3,1)</f>
        <v>1</v>
      </c>
      <c r="F469" s="28">
        <f>$B$5/D469/B469*E469</f>
        <v>1.3044375000000001</v>
      </c>
    </row>
    <row r="470" spans="1:6" x14ac:dyDescent="0.4">
      <c r="A470" s="28">
        <f t="shared" si="15"/>
        <v>754</v>
      </c>
      <c r="B470" s="28">
        <f t="shared" si="14"/>
        <v>0.25839793281653745</v>
      </c>
      <c r="C470" s="28">
        <f>A470+$E$6</f>
        <v>776</v>
      </c>
      <c r="D470" s="28">
        <f>CEILING(C470/$H$3,1)*CEILING($H$2/$H$3,1)/CEILING($H$2/$H$3,1)</f>
        <v>4</v>
      </c>
      <c r="E470" s="28">
        <f>CEILING(C470/$H$3,1)*CEILING($H$2/$H$3,1)/CEILING(C470/$H$3,1)</f>
        <v>1</v>
      </c>
      <c r="F470" s="28">
        <f>$B$5/D470/B470*E470</f>
        <v>1.3061250000000002</v>
      </c>
    </row>
    <row r="471" spans="1:6" x14ac:dyDescent="0.4">
      <c r="A471" s="28">
        <f t="shared" si="15"/>
        <v>755</v>
      </c>
      <c r="B471" s="28">
        <f t="shared" si="14"/>
        <v>0.25806451612903225</v>
      </c>
      <c r="C471" s="28">
        <f>A471+$E$6</f>
        <v>777</v>
      </c>
      <c r="D471" s="28">
        <f>CEILING(C471/$H$3,1)*CEILING($H$2/$H$3,1)/CEILING($H$2/$H$3,1)</f>
        <v>4</v>
      </c>
      <c r="E471" s="28">
        <f>CEILING(C471/$H$3,1)*CEILING($H$2/$H$3,1)/CEILING(C471/$H$3,1)</f>
        <v>1</v>
      </c>
      <c r="F471" s="28">
        <f>$B$5/D471/B471*E471</f>
        <v>1.3078125</v>
      </c>
    </row>
    <row r="472" spans="1:6" x14ac:dyDescent="0.4">
      <c r="A472" s="28">
        <f t="shared" si="15"/>
        <v>756</v>
      </c>
      <c r="B472" s="28">
        <f t="shared" si="14"/>
        <v>0.25773195876288657</v>
      </c>
      <c r="C472" s="28">
        <f>A472+$E$6</f>
        <v>778</v>
      </c>
      <c r="D472" s="28">
        <f>CEILING(C472/$H$3,1)*CEILING($H$2/$H$3,1)/CEILING($H$2/$H$3,1)</f>
        <v>4</v>
      </c>
      <c r="E472" s="28">
        <f>CEILING(C472/$H$3,1)*CEILING($H$2/$H$3,1)/CEILING(C472/$H$3,1)</f>
        <v>1</v>
      </c>
      <c r="F472" s="28">
        <f>$B$5/D472/B472*E472</f>
        <v>1.3095000000000003</v>
      </c>
    </row>
    <row r="473" spans="1:6" x14ac:dyDescent="0.4">
      <c r="A473" s="28">
        <f t="shared" si="15"/>
        <v>757</v>
      </c>
      <c r="B473" s="28">
        <f t="shared" si="14"/>
        <v>0.2574002574002574</v>
      </c>
      <c r="C473" s="28">
        <f>A473+$E$6</f>
        <v>779</v>
      </c>
      <c r="D473" s="28">
        <f>CEILING(C473/$H$3,1)*CEILING($H$2/$H$3,1)/CEILING($H$2/$H$3,1)</f>
        <v>4</v>
      </c>
      <c r="E473" s="28">
        <f>CEILING(C473/$H$3,1)*CEILING($H$2/$H$3,1)/CEILING(C473/$H$3,1)</f>
        <v>1</v>
      </c>
      <c r="F473" s="28">
        <f>$B$5/D473/B473*E473</f>
        <v>1.3111875000000002</v>
      </c>
    </row>
    <row r="474" spans="1:6" x14ac:dyDescent="0.4">
      <c r="A474" s="28">
        <f t="shared" si="15"/>
        <v>758</v>
      </c>
      <c r="B474" s="28">
        <f t="shared" si="14"/>
        <v>0.25706940874035988</v>
      </c>
      <c r="C474" s="28">
        <f>A474+$E$6</f>
        <v>780</v>
      </c>
      <c r="D474" s="28">
        <f>CEILING(C474/$H$3,1)*CEILING($H$2/$H$3,1)/CEILING($H$2/$H$3,1)</f>
        <v>4</v>
      </c>
      <c r="E474" s="28">
        <f>CEILING(C474/$H$3,1)*CEILING($H$2/$H$3,1)/CEILING(C474/$H$3,1)</f>
        <v>1</v>
      </c>
      <c r="F474" s="28">
        <f>$B$5/D474/B474*E474</f>
        <v>1.3128750000000002</v>
      </c>
    </row>
    <row r="475" spans="1:6" x14ac:dyDescent="0.4">
      <c r="A475" s="28">
        <f t="shared" si="15"/>
        <v>759</v>
      </c>
      <c r="B475" s="28">
        <f t="shared" si="14"/>
        <v>0.25673940949935814</v>
      </c>
      <c r="C475" s="28">
        <f>A475+$E$6</f>
        <v>781</v>
      </c>
      <c r="D475" s="28">
        <f>CEILING(C475/$H$3,1)*CEILING($H$2/$H$3,1)/CEILING($H$2/$H$3,1)</f>
        <v>4</v>
      </c>
      <c r="E475" s="28">
        <f>CEILING(C475/$H$3,1)*CEILING($H$2/$H$3,1)/CEILING(C475/$H$3,1)</f>
        <v>1</v>
      </c>
      <c r="F475" s="28">
        <f>$B$5/D475/B475*E475</f>
        <v>1.3145625000000001</v>
      </c>
    </row>
    <row r="476" spans="1:6" x14ac:dyDescent="0.4">
      <c r="A476" s="28">
        <f t="shared" si="15"/>
        <v>760</v>
      </c>
      <c r="B476" s="28">
        <f t="shared" si="14"/>
        <v>0.25641025641025639</v>
      </c>
      <c r="C476" s="28">
        <f>A476+$E$6</f>
        <v>782</v>
      </c>
      <c r="D476" s="28">
        <f>CEILING(C476/$H$3,1)*CEILING($H$2/$H$3,1)/CEILING($H$2/$H$3,1)</f>
        <v>4</v>
      </c>
      <c r="E476" s="28">
        <f>CEILING(C476/$H$3,1)*CEILING($H$2/$H$3,1)/CEILING(C476/$H$3,1)</f>
        <v>1</v>
      </c>
      <c r="F476" s="28">
        <f>$B$5/D476/B476*E476</f>
        <v>1.3162500000000001</v>
      </c>
    </row>
    <row r="477" spans="1:6" x14ac:dyDescent="0.4">
      <c r="A477" s="28">
        <f t="shared" si="15"/>
        <v>761</v>
      </c>
      <c r="B477" s="28">
        <f t="shared" si="14"/>
        <v>0.25608194622279129</v>
      </c>
      <c r="C477" s="28">
        <f>A477+$E$6</f>
        <v>783</v>
      </c>
      <c r="D477" s="28">
        <f>CEILING(C477/$H$3,1)*CEILING($H$2/$H$3,1)/CEILING($H$2/$H$3,1)</f>
        <v>4</v>
      </c>
      <c r="E477" s="28">
        <f>CEILING(C477/$H$3,1)*CEILING($H$2/$H$3,1)/CEILING(C477/$H$3,1)</f>
        <v>1</v>
      </c>
      <c r="F477" s="28">
        <f>$B$5/D477/B477*E477</f>
        <v>1.3179375000000002</v>
      </c>
    </row>
    <row r="478" spans="1:6" x14ac:dyDescent="0.4">
      <c r="A478" s="28">
        <f t="shared" si="15"/>
        <v>762</v>
      </c>
      <c r="B478" s="28">
        <f t="shared" si="14"/>
        <v>0.25575447570332482</v>
      </c>
      <c r="C478" s="28">
        <f>A478+$E$6</f>
        <v>784</v>
      </c>
      <c r="D478" s="28">
        <f>CEILING(C478/$H$3,1)*CEILING($H$2/$H$3,1)/CEILING($H$2/$H$3,1)</f>
        <v>4</v>
      </c>
      <c r="E478" s="28">
        <f>CEILING(C478/$H$3,1)*CEILING($H$2/$H$3,1)/CEILING(C478/$H$3,1)</f>
        <v>1</v>
      </c>
      <c r="F478" s="28">
        <f>$B$5/D478/B478*E478</f>
        <v>1.319625</v>
      </c>
    </row>
    <row r="479" spans="1:6" x14ac:dyDescent="0.4">
      <c r="A479" s="28">
        <f t="shared" si="15"/>
        <v>763</v>
      </c>
      <c r="B479" s="28">
        <f t="shared" si="14"/>
        <v>0.2554278416347382</v>
      </c>
      <c r="C479" s="28">
        <f>A479+$E$6</f>
        <v>785</v>
      </c>
      <c r="D479" s="28">
        <f>CEILING(C479/$H$3,1)*CEILING($H$2/$H$3,1)/CEILING($H$2/$H$3,1)</f>
        <v>4</v>
      </c>
      <c r="E479" s="28">
        <f>CEILING(C479/$H$3,1)*CEILING($H$2/$H$3,1)/CEILING(C479/$H$3,1)</f>
        <v>1</v>
      </c>
      <c r="F479" s="28">
        <f>$B$5/D479/B479*E479</f>
        <v>1.3213125000000001</v>
      </c>
    </row>
    <row r="480" spans="1:6" x14ac:dyDescent="0.4">
      <c r="A480" s="28">
        <f t="shared" si="15"/>
        <v>764</v>
      </c>
      <c r="B480" s="28">
        <f t="shared" si="14"/>
        <v>0.25510204081632654</v>
      </c>
      <c r="C480" s="28">
        <f>A480+$E$6</f>
        <v>786</v>
      </c>
      <c r="D480" s="28">
        <f>CEILING(C480/$H$3,1)*CEILING($H$2/$H$3,1)/CEILING($H$2/$H$3,1)</f>
        <v>4</v>
      </c>
      <c r="E480" s="28">
        <f>CEILING(C480/$H$3,1)*CEILING($H$2/$H$3,1)/CEILING(C480/$H$3,1)</f>
        <v>1</v>
      </c>
      <c r="F480" s="28">
        <f>$B$5/D480/B480*E480</f>
        <v>1.323</v>
      </c>
    </row>
    <row r="481" spans="1:6" x14ac:dyDescent="0.4">
      <c r="A481" s="28">
        <f t="shared" si="15"/>
        <v>765</v>
      </c>
      <c r="B481" s="28">
        <f t="shared" si="14"/>
        <v>0.25477707006369427</v>
      </c>
      <c r="C481" s="28">
        <f>A481+$E$6</f>
        <v>787</v>
      </c>
      <c r="D481" s="28">
        <f>CEILING(C481/$H$3,1)*CEILING($H$2/$H$3,1)/CEILING($H$2/$H$3,1)</f>
        <v>4</v>
      </c>
      <c r="E481" s="28">
        <f>CEILING(C481/$H$3,1)*CEILING($H$2/$H$3,1)/CEILING(C481/$H$3,1)</f>
        <v>1</v>
      </c>
      <c r="F481" s="28">
        <f>$B$5/D481/B481*E481</f>
        <v>1.3246875</v>
      </c>
    </row>
    <row r="482" spans="1:6" x14ac:dyDescent="0.4">
      <c r="A482" s="28">
        <f t="shared" si="15"/>
        <v>766</v>
      </c>
      <c r="B482" s="28">
        <f t="shared" si="14"/>
        <v>0.2544529262086514</v>
      </c>
      <c r="C482" s="28">
        <f>A482+$E$6</f>
        <v>788</v>
      </c>
      <c r="D482" s="28">
        <f>CEILING(C482/$H$3,1)*CEILING($H$2/$H$3,1)/CEILING($H$2/$H$3,1)</f>
        <v>4</v>
      </c>
      <c r="E482" s="28">
        <f>CEILING(C482/$H$3,1)*CEILING($H$2/$H$3,1)/CEILING(C482/$H$3,1)</f>
        <v>1</v>
      </c>
      <c r="F482" s="28">
        <f>$B$5/D482/B482*E482</f>
        <v>1.3263750000000001</v>
      </c>
    </row>
    <row r="483" spans="1:6" x14ac:dyDescent="0.4">
      <c r="A483" s="28">
        <f t="shared" si="15"/>
        <v>767</v>
      </c>
      <c r="B483" s="28">
        <f t="shared" si="14"/>
        <v>0.25412960609911056</v>
      </c>
      <c r="C483" s="28">
        <f>A483+$E$6</f>
        <v>789</v>
      </c>
      <c r="D483" s="28">
        <f>CEILING(C483/$H$3,1)*CEILING($H$2/$H$3,1)/CEILING($H$2/$H$3,1)</f>
        <v>4</v>
      </c>
      <c r="E483" s="28">
        <f>CEILING(C483/$H$3,1)*CEILING($H$2/$H$3,1)/CEILING(C483/$H$3,1)</f>
        <v>1</v>
      </c>
      <c r="F483" s="28">
        <f>$B$5/D483/B483*E483</f>
        <v>1.3280624999999999</v>
      </c>
    </row>
    <row r="484" spans="1:6" x14ac:dyDescent="0.4">
      <c r="A484" s="28">
        <f t="shared" si="15"/>
        <v>768</v>
      </c>
      <c r="B484" s="28">
        <f t="shared" si="14"/>
        <v>0.25380710659898476</v>
      </c>
      <c r="C484" s="28">
        <f>A484+$E$6</f>
        <v>790</v>
      </c>
      <c r="D484" s="28">
        <f>CEILING(C484/$H$3,1)*CEILING($H$2/$H$3,1)/CEILING($H$2/$H$3,1)</f>
        <v>4</v>
      </c>
      <c r="E484" s="28">
        <f>CEILING(C484/$H$3,1)*CEILING($H$2/$H$3,1)/CEILING(C484/$H$3,1)</f>
        <v>1</v>
      </c>
      <c r="F484" s="28">
        <f>$B$5/D484/B484*E484</f>
        <v>1.3297500000000002</v>
      </c>
    </row>
    <row r="485" spans="1:6" x14ac:dyDescent="0.4">
      <c r="A485" s="28">
        <f t="shared" si="15"/>
        <v>769</v>
      </c>
      <c r="B485" s="28">
        <f t="shared" si="14"/>
        <v>0.25348542458808621</v>
      </c>
      <c r="C485" s="28">
        <f>A485+$E$6</f>
        <v>791</v>
      </c>
      <c r="D485" s="28">
        <f>CEILING(C485/$H$3,1)*CEILING($H$2/$H$3,1)/CEILING($H$2/$H$3,1)</f>
        <v>4</v>
      </c>
      <c r="E485" s="28">
        <f>CEILING(C485/$H$3,1)*CEILING($H$2/$H$3,1)/CEILING(C485/$H$3,1)</f>
        <v>1</v>
      </c>
      <c r="F485" s="28">
        <f>$B$5/D485/B485*E485</f>
        <v>1.3314375000000001</v>
      </c>
    </row>
    <row r="486" spans="1:6" x14ac:dyDescent="0.4">
      <c r="A486" s="28">
        <f t="shared" si="15"/>
        <v>770</v>
      </c>
      <c r="B486" s="28">
        <f t="shared" si="14"/>
        <v>0.25316455696202533</v>
      </c>
      <c r="C486" s="28">
        <f>A486+$E$6</f>
        <v>792</v>
      </c>
      <c r="D486" s="28">
        <f>CEILING(C486/$H$3,1)*CEILING($H$2/$H$3,1)/CEILING($H$2/$H$3,1)</f>
        <v>4</v>
      </c>
      <c r="E486" s="28">
        <f>CEILING(C486/$H$3,1)*CEILING($H$2/$H$3,1)/CEILING(C486/$H$3,1)</f>
        <v>1</v>
      </c>
      <c r="F486" s="28">
        <f>$B$5/D486/B486*E486</f>
        <v>1.3331249999999999</v>
      </c>
    </row>
    <row r="487" spans="1:6" x14ac:dyDescent="0.4">
      <c r="A487" s="28">
        <f t="shared" si="15"/>
        <v>771</v>
      </c>
      <c r="B487" s="28">
        <f t="shared" si="14"/>
        <v>0.25284450063211122</v>
      </c>
      <c r="C487" s="28">
        <f>A487+$E$6</f>
        <v>793</v>
      </c>
      <c r="D487" s="28">
        <f>CEILING(C487/$H$3,1)*CEILING($H$2/$H$3,1)/CEILING($H$2/$H$3,1)</f>
        <v>4</v>
      </c>
      <c r="E487" s="28">
        <f>CEILING(C487/$H$3,1)*CEILING($H$2/$H$3,1)/CEILING(C487/$H$3,1)</f>
        <v>1</v>
      </c>
      <c r="F487" s="28">
        <f>$B$5/D487/B487*E487</f>
        <v>1.3348125000000002</v>
      </c>
    </row>
    <row r="488" spans="1:6" x14ac:dyDescent="0.4">
      <c r="A488" s="28">
        <f t="shared" si="15"/>
        <v>772</v>
      </c>
      <c r="B488" s="28">
        <f t="shared" si="14"/>
        <v>0.25252525252525254</v>
      </c>
      <c r="C488" s="28">
        <f>A488+$E$6</f>
        <v>794</v>
      </c>
      <c r="D488" s="28">
        <f>CEILING(C488/$H$3,1)*CEILING($H$2/$H$3,1)/CEILING($H$2/$H$3,1)</f>
        <v>4</v>
      </c>
      <c r="E488" s="28">
        <f>CEILING(C488/$H$3,1)*CEILING($H$2/$H$3,1)/CEILING(C488/$H$3,1)</f>
        <v>1</v>
      </c>
      <c r="F488" s="28">
        <f>$B$5/D488/B488*E488</f>
        <v>1.3365</v>
      </c>
    </row>
    <row r="489" spans="1:6" x14ac:dyDescent="0.4">
      <c r="A489" s="28">
        <f t="shared" si="15"/>
        <v>773</v>
      </c>
      <c r="B489" s="28">
        <f t="shared" si="14"/>
        <v>0.25220680958385877</v>
      </c>
      <c r="C489" s="28">
        <f>A489+$E$6</f>
        <v>795</v>
      </c>
      <c r="D489" s="28">
        <f>CEILING(C489/$H$3,1)*CEILING($H$2/$H$3,1)/CEILING($H$2/$H$3,1)</f>
        <v>4</v>
      </c>
      <c r="E489" s="28">
        <f>CEILING(C489/$H$3,1)*CEILING($H$2/$H$3,1)/CEILING(C489/$H$3,1)</f>
        <v>1</v>
      </c>
      <c r="F489" s="28">
        <f>$B$5/D489/B489*E489</f>
        <v>1.3381875000000001</v>
      </c>
    </row>
    <row r="490" spans="1:6" x14ac:dyDescent="0.4">
      <c r="A490" s="28">
        <f t="shared" si="15"/>
        <v>774</v>
      </c>
      <c r="B490" s="28">
        <f t="shared" si="14"/>
        <v>0.25188916876574308</v>
      </c>
      <c r="C490" s="28">
        <f>A490+$E$6</f>
        <v>796</v>
      </c>
      <c r="D490" s="28">
        <f>CEILING(C490/$H$3,1)*CEILING($H$2/$H$3,1)/CEILING($H$2/$H$3,1)</f>
        <v>4</v>
      </c>
      <c r="E490" s="28">
        <f>CEILING(C490/$H$3,1)*CEILING($H$2/$H$3,1)/CEILING(C490/$H$3,1)</f>
        <v>1</v>
      </c>
      <c r="F490" s="28">
        <f>$B$5/D490/B490*E490</f>
        <v>1.3398750000000001</v>
      </c>
    </row>
    <row r="491" spans="1:6" x14ac:dyDescent="0.4">
      <c r="A491" s="28">
        <f t="shared" si="15"/>
        <v>775</v>
      </c>
      <c r="B491" s="28">
        <f t="shared" si="14"/>
        <v>0.25157232704402516</v>
      </c>
      <c r="C491" s="28">
        <f>A491+$E$6</f>
        <v>797</v>
      </c>
      <c r="D491" s="28">
        <f>CEILING(C491/$H$3,1)*CEILING($H$2/$H$3,1)/CEILING($H$2/$H$3,1)</f>
        <v>4</v>
      </c>
      <c r="E491" s="28">
        <f>CEILING(C491/$H$3,1)*CEILING($H$2/$H$3,1)/CEILING(C491/$H$3,1)</f>
        <v>1</v>
      </c>
      <c r="F491" s="28">
        <f>$B$5/D491/B491*E491</f>
        <v>1.3415625</v>
      </c>
    </row>
    <row r="492" spans="1:6" x14ac:dyDescent="0.4">
      <c r="A492" s="28">
        <f t="shared" si="15"/>
        <v>776</v>
      </c>
      <c r="B492" s="28">
        <f t="shared" si="14"/>
        <v>0.25125628140703515</v>
      </c>
      <c r="C492" s="28">
        <f>A492+$E$6</f>
        <v>798</v>
      </c>
      <c r="D492" s="28">
        <f>CEILING(C492/$H$3,1)*CEILING($H$2/$H$3,1)/CEILING($H$2/$H$3,1)</f>
        <v>4</v>
      </c>
      <c r="E492" s="28">
        <f>CEILING(C492/$H$3,1)*CEILING($H$2/$H$3,1)/CEILING(C492/$H$3,1)</f>
        <v>1</v>
      </c>
      <c r="F492" s="28">
        <f>$B$5/D492/B492*E492</f>
        <v>1.3432500000000003</v>
      </c>
    </row>
    <row r="493" spans="1:6" x14ac:dyDescent="0.4">
      <c r="A493" s="28">
        <f t="shared" si="15"/>
        <v>777</v>
      </c>
      <c r="B493" s="28">
        <f t="shared" si="14"/>
        <v>0.25094102885821834</v>
      </c>
      <c r="C493" s="28">
        <f>A493+$E$6</f>
        <v>799</v>
      </c>
      <c r="D493" s="28">
        <f>CEILING(C493/$H$3,1)*CEILING($H$2/$H$3,1)/CEILING($H$2/$H$3,1)</f>
        <v>4</v>
      </c>
      <c r="E493" s="28">
        <f>CEILING(C493/$H$3,1)*CEILING($H$2/$H$3,1)/CEILING(C493/$H$3,1)</f>
        <v>1</v>
      </c>
      <c r="F493" s="28">
        <f>$B$5/D493/B493*E493</f>
        <v>1.3449374999999999</v>
      </c>
    </row>
    <row r="494" spans="1:6" x14ac:dyDescent="0.4">
      <c r="A494" s="28">
        <f t="shared" si="15"/>
        <v>778</v>
      </c>
      <c r="B494" s="28">
        <f t="shared" si="14"/>
        <v>0.25062656641604009</v>
      </c>
      <c r="C494" s="28">
        <f>A494+$E$6</f>
        <v>800</v>
      </c>
      <c r="D494" s="28">
        <f>CEILING(C494/$H$3,1)*CEILING($H$2/$H$3,1)/CEILING($H$2/$H$3,1)</f>
        <v>4</v>
      </c>
      <c r="E494" s="28">
        <f>CEILING(C494/$H$3,1)*CEILING($H$2/$H$3,1)/CEILING(C494/$H$3,1)</f>
        <v>1</v>
      </c>
      <c r="F494" s="28">
        <f>$B$5/D494/B494*E494</f>
        <v>1.3466250000000002</v>
      </c>
    </row>
    <row r="495" spans="1:6" x14ac:dyDescent="0.4">
      <c r="A495" s="28">
        <f t="shared" si="15"/>
        <v>779</v>
      </c>
      <c r="B495" s="28">
        <f t="shared" si="14"/>
        <v>0.25031289111389238</v>
      </c>
      <c r="C495" s="28">
        <f>A495+$E$6</f>
        <v>801</v>
      </c>
      <c r="D495" s="28">
        <f>CEILING(C495/$H$3,1)*CEILING($H$2/$H$3,1)/CEILING($H$2/$H$3,1)</f>
        <v>4</v>
      </c>
      <c r="E495" s="28">
        <f>CEILING(C495/$H$3,1)*CEILING($H$2/$H$3,1)/CEILING(C495/$H$3,1)</f>
        <v>1</v>
      </c>
      <c r="F495" s="28">
        <f>$B$5/D495/B495*E495</f>
        <v>1.3483125</v>
      </c>
    </row>
    <row r="496" spans="1:6" x14ac:dyDescent="0.4">
      <c r="A496" s="28">
        <f t="shared" si="15"/>
        <v>780</v>
      </c>
      <c r="B496" s="28">
        <f t="shared" si="14"/>
        <v>0.25</v>
      </c>
      <c r="C496" s="28">
        <f>A496+$E$6</f>
        <v>802</v>
      </c>
      <c r="D496" s="28">
        <f>CEILING(C496/$H$3,1)*CEILING($H$2/$H$3,1)/CEILING($H$2/$H$3,1)</f>
        <v>4</v>
      </c>
      <c r="E496" s="28">
        <f>CEILING(C496/$H$3,1)*CEILING($H$2/$H$3,1)/CEILING(C496/$H$3,1)</f>
        <v>1</v>
      </c>
      <c r="F496" s="28">
        <f>$B$5/D496/B496*E496</f>
        <v>1.35</v>
      </c>
    </row>
    <row r="497" spans="1:6" x14ac:dyDescent="0.4">
      <c r="A497" s="28">
        <f t="shared" si="15"/>
        <v>781</v>
      </c>
      <c r="B497" s="28">
        <f t="shared" si="14"/>
        <v>0.24968789013732834</v>
      </c>
      <c r="C497" s="28">
        <f>A497+$E$6</f>
        <v>803</v>
      </c>
      <c r="D497" s="28">
        <f>CEILING(C497/$H$3,1)*CEILING($H$2/$H$3,1)/CEILING($H$2/$H$3,1)</f>
        <v>4</v>
      </c>
      <c r="E497" s="28">
        <f>CEILING(C497/$H$3,1)*CEILING($H$2/$H$3,1)/CEILING(C497/$H$3,1)</f>
        <v>1</v>
      </c>
      <c r="F497" s="28">
        <f>$B$5/D497/B497*E497</f>
        <v>1.3516875000000002</v>
      </c>
    </row>
    <row r="498" spans="1:6" x14ac:dyDescent="0.4">
      <c r="A498" s="28">
        <f t="shared" si="15"/>
        <v>782</v>
      </c>
      <c r="B498" s="28">
        <f t="shared" si="14"/>
        <v>0.24937655860349128</v>
      </c>
      <c r="C498" s="28">
        <f>A498+$E$6</f>
        <v>804</v>
      </c>
      <c r="D498" s="28">
        <f>CEILING(C498/$H$3,1)*CEILING($H$2/$H$3,1)/CEILING($H$2/$H$3,1)</f>
        <v>4</v>
      </c>
      <c r="E498" s="28">
        <f>CEILING(C498/$H$3,1)*CEILING($H$2/$H$3,1)/CEILING(C498/$H$3,1)</f>
        <v>1</v>
      </c>
      <c r="F498" s="28">
        <f>$B$5/D498/B498*E498</f>
        <v>1.353375</v>
      </c>
    </row>
    <row r="499" spans="1:6" x14ac:dyDescent="0.4">
      <c r="A499" s="28">
        <f t="shared" si="15"/>
        <v>783</v>
      </c>
      <c r="B499" s="28">
        <f t="shared" si="14"/>
        <v>0.24906600249066002</v>
      </c>
      <c r="C499" s="28">
        <f>A499+$E$6</f>
        <v>805</v>
      </c>
      <c r="D499" s="28">
        <f>CEILING(C499/$H$3,1)*CEILING($H$2/$H$3,1)/CEILING($H$2/$H$3,1)</f>
        <v>4</v>
      </c>
      <c r="E499" s="28">
        <f>CEILING(C499/$H$3,1)*CEILING($H$2/$H$3,1)/CEILING(C499/$H$3,1)</f>
        <v>1</v>
      </c>
      <c r="F499" s="28">
        <f>$B$5/D499/B499*E499</f>
        <v>1.3550625000000001</v>
      </c>
    </row>
    <row r="500" spans="1:6" x14ac:dyDescent="0.4">
      <c r="A500" s="28">
        <f t="shared" si="15"/>
        <v>784</v>
      </c>
      <c r="B500" s="28">
        <f t="shared" si="14"/>
        <v>0.24875621890547264</v>
      </c>
      <c r="C500" s="28">
        <f>A500+$E$6</f>
        <v>806</v>
      </c>
      <c r="D500" s="28">
        <f>CEILING(C500/$H$3,1)*CEILING($H$2/$H$3,1)/CEILING($H$2/$H$3,1)</f>
        <v>4</v>
      </c>
      <c r="E500" s="28">
        <f>CEILING(C500/$H$3,1)*CEILING($H$2/$H$3,1)/CEILING(C500/$H$3,1)</f>
        <v>1</v>
      </c>
      <c r="F500" s="28">
        <f>$B$5/D500/B500*E500</f>
        <v>1.3567500000000001</v>
      </c>
    </row>
    <row r="501" spans="1:6" x14ac:dyDescent="0.4">
      <c r="A501" s="28">
        <f t="shared" si="15"/>
        <v>785</v>
      </c>
      <c r="B501" s="28">
        <f t="shared" si="14"/>
        <v>0.2484472049689441</v>
      </c>
      <c r="C501" s="28">
        <f>A501+$E$6</f>
        <v>807</v>
      </c>
      <c r="D501" s="28">
        <f>CEILING(C501/$H$3,1)*CEILING($H$2/$H$3,1)/CEILING($H$2/$H$3,1)</f>
        <v>4</v>
      </c>
      <c r="E501" s="28">
        <f>CEILING(C501/$H$3,1)*CEILING($H$2/$H$3,1)/CEILING(C501/$H$3,1)</f>
        <v>1</v>
      </c>
      <c r="F501" s="28">
        <f>$B$5/D501/B501*E501</f>
        <v>1.3584375000000002</v>
      </c>
    </row>
    <row r="502" spans="1:6" x14ac:dyDescent="0.4">
      <c r="A502" s="28">
        <f t="shared" si="15"/>
        <v>786</v>
      </c>
      <c r="B502" s="28">
        <f t="shared" si="14"/>
        <v>0.24813895781637718</v>
      </c>
      <c r="C502" s="28">
        <f>A502+$E$6</f>
        <v>808</v>
      </c>
      <c r="D502" s="28">
        <f>CEILING(C502/$H$3,1)*CEILING($H$2/$H$3,1)/CEILING($H$2/$H$3,1)</f>
        <v>4</v>
      </c>
      <c r="E502" s="28">
        <f>CEILING(C502/$H$3,1)*CEILING($H$2/$H$3,1)/CEILING(C502/$H$3,1)</f>
        <v>1</v>
      </c>
      <c r="F502" s="28">
        <f>$B$5/D502/B502*E502</f>
        <v>1.360125</v>
      </c>
    </row>
    <row r="503" spans="1:6" x14ac:dyDescent="0.4">
      <c r="A503" s="28">
        <f t="shared" si="15"/>
        <v>787</v>
      </c>
      <c r="B503" s="28">
        <f t="shared" si="14"/>
        <v>0.24783147459727387</v>
      </c>
      <c r="C503" s="28">
        <f>A503+$E$6</f>
        <v>809</v>
      </c>
      <c r="D503" s="28">
        <f>CEILING(C503/$H$3,1)*CEILING($H$2/$H$3,1)/CEILING($H$2/$H$3,1)</f>
        <v>4</v>
      </c>
      <c r="E503" s="28">
        <f>CEILING(C503/$H$3,1)*CEILING($H$2/$H$3,1)/CEILING(C503/$H$3,1)</f>
        <v>1</v>
      </c>
      <c r="F503" s="28">
        <f>$B$5/D503/B503*E503</f>
        <v>1.3618125000000001</v>
      </c>
    </row>
    <row r="504" spans="1:6" x14ac:dyDescent="0.4">
      <c r="A504" s="28">
        <f t="shared" si="15"/>
        <v>788</v>
      </c>
      <c r="B504" s="28">
        <f t="shared" si="14"/>
        <v>0.24752475247524752</v>
      </c>
      <c r="C504" s="28">
        <f>A504+$E$6</f>
        <v>810</v>
      </c>
      <c r="D504" s="28">
        <f>CEILING(C504/$H$3,1)*CEILING($H$2/$H$3,1)/CEILING($H$2/$H$3,1)</f>
        <v>4</v>
      </c>
      <c r="E504" s="28">
        <f>CEILING(C504/$H$3,1)*CEILING($H$2/$H$3,1)/CEILING(C504/$H$3,1)</f>
        <v>1</v>
      </c>
      <c r="F504" s="28">
        <f>$B$5/D504/B504*E504</f>
        <v>1.3635000000000002</v>
      </c>
    </row>
    <row r="505" spans="1:6" x14ac:dyDescent="0.4">
      <c r="A505" s="28">
        <f t="shared" si="15"/>
        <v>789</v>
      </c>
      <c r="B505" s="28">
        <f t="shared" si="14"/>
        <v>0.24721878862793573</v>
      </c>
      <c r="C505" s="28">
        <f>A505+$E$6</f>
        <v>811</v>
      </c>
      <c r="D505" s="28">
        <f>CEILING(C505/$H$3,1)*CEILING($H$2/$H$3,1)/CEILING($H$2/$H$3,1)</f>
        <v>4</v>
      </c>
      <c r="E505" s="28">
        <f>CEILING(C505/$H$3,1)*CEILING($H$2/$H$3,1)/CEILING(C505/$H$3,1)</f>
        <v>1</v>
      </c>
      <c r="F505" s="28">
        <f>$B$5/D505/B505*E505</f>
        <v>1.3651875</v>
      </c>
    </row>
    <row r="506" spans="1:6" x14ac:dyDescent="0.4">
      <c r="A506" s="28">
        <f t="shared" si="15"/>
        <v>790</v>
      </c>
      <c r="B506" s="28">
        <f t="shared" si="14"/>
        <v>0.24691358024691357</v>
      </c>
      <c r="C506" s="28">
        <f>A506+$E$6</f>
        <v>812</v>
      </c>
      <c r="D506" s="28">
        <f>CEILING(C506/$H$3,1)*CEILING($H$2/$H$3,1)/CEILING($H$2/$H$3,1)</f>
        <v>4</v>
      </c>
      <c r="E506" s="28">
        <f>CEILING(C506/$H$3,1)*CEILING($H$2/$H$3,1)/CEILING(C506/$H$3,1)</f>
        <v>1</v>
      </c>
      <c r="F506" s="28">
        <f>$B$5/D506/B506*E506</f>
        <v>1.3668750000000001</v>
      </c>
    </row>
    <row r="507" spans="1:6" x14ac:dyDescent="0.4">
      <c r="A507" s="28">
        <f t="shared" si="15"/>
        <v>791</v>
      </c>
      <c r="B507" s="28">
        <f t="shared" si="14"/>
        <v>0.24660912453760789</v>
      </c>
      <c r="C507" s="28">
        <f>A507+$E$6</f>
        <v>813</v>
      </c>
      <c r="D507" s="28">
        <f>CEILING(C507/$H$3,1)*CEILING($H$2/$H$3,1)/CEILING($H$2/$H$3,1)</f>
        <v>4</v>
      </c>
      <c r="E507" s="28">
        <f>CEILING(C507/$H$3,1)*CEILING($H$2/$H$3,1)/CEILING(C507/$H$3,1)</f>
        <v>1</v>
      </c>
      <c r="F507" s="28">
        <f>$B$5/D507/B507*E507</f>
        <v>1.3685625000000001</v>
      </c>
    </row>
    <row r="508" spans="1:6" x14ac:dyDescent="0.4">
      <c r="A508" s="28">
        <f t="shared" si="15"/>
        <v>792</v>
      </c>
      <c r="B508" s="28">
        <f t="shared" si="14"/>
        <v>0.24630541871921183</v>
      </c>
      <c r="C508" s="28">
        <f>A508+$E$6</f>
        <v>814</v>
      </c>
      <c r="D508" s="28">
        <f>CEILING(C508/$H$3,1)*CEILING($H$2/$H$3,1)/CEILING($H$2/$H$3,1)</f>
        <v>4</v>
      </c>
      <c r="E508" s="28">
        <f>CEILING(C508/$H$3,1)*CEILING($H$2/$H$3,1)/CEILING(C508/$H$3,1)</f>
        <v>1</v>
      </c>
      <c r="F508" s="28">
        <f>$B$5/D508/B508*E508</f>
        <v>1.37025</v>
      </c>
    </row>
    <row r="509" spans="1:6" x14ac:dyDescent="0.4">
      <c r="A509" s="28">
        <f t="shared" si="15"/>
        <v>793</v>
      </c>
      <c r="B509" s="28">
        <f t="shared" si="14"/>
        <v>0.24600246002460024</v>
      </c>
      <c r="C509" s="28">
        <f>A509+$E$6</f>
        <v>815</v>
      </c>
      <c r="D509" s="28">
        <f>CEILING(C509/$H$3,1)*CEILING($H$2/$H$3,1)/CEILING($H$2/$H$3,1)</f>
        <v>4</v>
      </c>
      <c r="E509" s="28">
        <f>CEILING(C509/$H$3,1)*CEILING($H$2/$H$3,1)/CEILING(C509/$H$3,1)</f>
        <v>1</v>
      </c>
      <c r="F509" s="28">
        <f>$B$5/D509/B509*E509</f>
        <v>1.3719375</v>
      </c>
    </row>
    <row r="510" spans="1:6" x14ac:dyDescent="0.4">
      <c r="A510" s="28">
        <f t="shared" si="15"/>
        <v>794</v>
      </c>
      <c r="B510" s="28">
        <f t="shared" si="14"/>
        <v>0.24570024570024571</v>
      </c>
      <c r="C510" s="28">
        <f>A510+$E$6</f>
        <v>816</v>
      </c>
      <c r="D510" s="28">
        <f>CEILING(C510/$H$3,1)*CEILING($H$2/$H$3,1)/CEILING($H$2/$H$3,1)</f>
        <v>4</v>
      </c>
      <c r="E510" s="28">
        <f>CEILING(C510/$H$3,1)*CEILING($H$2/$H$3,1)/CEILING(C510/$H$3,1)</f>
        <v>1</v>
      </c>
      <c r="F510" s="28">
        <f>$B$5/D510/B510*E510</f>
        <v>1.3736250000000001</v>
      </c>
    </row>
    <row r="511" spans="1:6" x14ac:dyDescent="0.4">
      <c r="A511" s="28">
        <f t="shared" si="15"/>
        <v>795</v>
      </c>
      <c r="B511" s="28">
        <f t="shared" si="14"/>
        <v>0.24539877300613497</v>
      </c>
      <c r="C511" s="28">
        <f>A511+$E$6</f>
        <v>817</v>
      </c>
      <c r="D511" s="28">
        <f>CEILING(C511/$H$3,1)*CEILING($H$2/$H$3,1)/CEILING($H$2/$H$3,1)</f>
        <v>4</v>
      </c>
      <c r="E511" s="28">
        <f>CEILING(C511/$H$3,1)*CEILING($H$2/$H$3,1)/CEILING(C511/$H$3,1)</f>
        <v>1</v>
      </c>
      <c r="F511" s="28">
        <f>$B$5/D511/B511*E511</f>
        <v>1.3753125000000002</v>
      </c>
    </row>
    <row r="512" spans="1:6" x14ac:dyDescent="0.4">
      <c r="A512" s="28">
        <f t="shared" si="15"/>
        <v>796</v>
      </c>
      <c r="B512" s="28">
        <f t="shared" si="14"/>
        <v>0.24509803921568626</v>
      </c>
      <c r="C512" s="28">
        <f>A512+$E$6</f>
        <v>818</v>
      </c>
      <c r="D512" s="28">
        <f>CEILING(C512/$H$3,1)*CEILING($H$2/$H$3,1)/CEILING($H$2/$H$3,1)</f>
        <v>4</v>
      </c>
      <c r="E512" s="28">
        <f>CEILING(C512/$H$3,1)*CEILING($H$2/$H$3,1)/CEILING(C512/$H$3,1)</f>
        <v>1</v>
      </c>
      <c r="F512" s="28">
        <f>$B$5/D512/B512*E512</f>
        <v>1.3770000000000002</v>
      </c>
    </row>
    <row r="513" spans="1:6" x14ac:dyDescent="0.4">
      <c r="A513" s="28">
        <f t="shared" si="15"/>
        <v>797</v>
      </c>
      <c r="B513" s="28">
        <f t="shared" si="14"/>
        <v>0.24479804161566707</v>
      </c>
      <c r="C513" s="28">
        <f>A513+$E$6</f>
        <v>819</v>
      </c>
      <c r="D513" s="28">
        <f>CEILING(C513/$H$3,1)*CEILING($H$2/$H$3,1)/CEILING($H$2/$H$3,1)</f>
        <v>4</v>
      </c>
      <c r="E513" s="28">
        <f>CEILING(C513/$H$3,1)*CEILING($H$2/$H$3,1)/CEILING(C513/$H$3,1)</f>
        <v>1</v>
      </c>
      <c r="F513" s="28">
        <f>$B$5/D513/B513*E513</f>
        <v>1.3786875000000001</v>
      </c>
    </row>
    <row r="514" spans="1:6" x14ac:dyDescent="0.4">
      <c r="A514" s="28">
        <f t="shared" si="15"/>
        <v>798</v>
      </c>
      <c r="B514" s="28">
        <f t="shared" si="14"/>
        <v>0.24449877750611246</v>
      </c>
      <c r="C514" s="28">
        <f>A514+$E$6</f>
        <v>820</v>
      </c>
      <c r="D514" s="28">
        <f>CEILING(C514/$H$3,1)*CEILING($H$2/$H$3,1)/CEILING($H$2/$H$3,1)</f>
        <v>4</v>
      </c>
      <c r="E514" s="28">
        <f>CEILING(C514/$H$3,1)*CEILING($H$2/$H$3,1)/CEILING(C514/$H$3,1)</f>
        <v>1</v>
      </c>
      <c r="F514" s="28">
        <f>$B$5/D514/B514*E514</f>
        <v>1.3803750000000001</v>
      </c>
    </row>
    <row r="515" spans="1:6" x14ac:dyDescent="0.4">
      <c r="A515" s="28">
        <f t="shared" si="15"/>
        <v>799</v>
      </c>
      <c r="B515" s="28">
        <f t="shared" si="14"/>
        <v>0.24420024420024419</v>
      </c>
      <c r="C515" s="28">
        <f>A515+$E$6</f>
        <v>821</v>
      </c>
      <c r="D515" s="28">
        <f>CEILING(C515/$H$3,1)*CEILING($H$2/$H$3,1)/CEILING($H$2/$H$3,1)</f>
        <v>4</v>
      </c>
      <c r="E515" s="28">
        <f>CEILING(C515/$H$3,1)*CEILING($H$2/$H$3,1)/CEILING(C515/$H$3,1)</f>
        <v>1</v>
      </c>
      <c r="F515" s="28">
        <f>$B$5/D515/B515*E515</f>
        <v>1.3820625000000002</v>
      </c>
    </row>
    <row r="516" spans="1:6" x14ac:dyDescent="0.4">
      <c r="A516" s="28">
        <f t="shared" si="15"/>
        <v>800</v>
      </c>
      <c r="B516" s="28">
        <f t="shared" si="14"/>
        <v>0.24390243902439024</v>
      </c>
      <c r="C516" s="28">
        <f>A516+$E$6</f>
        <v>822</v>
      </c>
      <c r="D516" s="28">
        <f>CEILING(C516/$H$3,1)*CEILING($H$2/$H$3,1)/CEILING($H$2/$H$3,1)</f>
        <v>4</v>
      </c>
      <c r="E516" s="28">
        <f>CEILING(C516/$H$3,1)*CEILING($H$2/$H$3,1)/CEILING(C516/$H$3,1)</f>
        <v>1</v>
      </c>
      <c r="F516" s="28">
        <f>$B$5/D516/B516*E516</f>
        <v>1.38375</v>
      </c>
    </row>
    <row r="517" spans="1:6" x14ac:dyDescent="0.4">
      <c r="A517" s="28">
        <f t="shared" si="15"/>
        <v>801</v>
      </c>
      <c r="B517" s="28">
        <f t="shared" si="14"/>
        <v>0.243605359317905</v>
      </c>
      <c r="C517" s="28">
        <f>A517+$E$6</f>
        <v>823</v>
      </c>
      <c r="D517" s="28">
        <f>CEILING(C517/$H$3,1)*CEILING($H$2/$H$3,1)/CEILING($H$2/$H$3,1)</f>
        <v>4</v>
      </c>
      <c r="E517" s="28">
        <f>CEILING(C517/$H$3,1)*CEILING($H$2/$H$3,1)/CEILING(C517/$H$3,1)</f>
        <v>1</v>
      </c>
      <c r="F517" s="28">
        <f>$B$5/D517/B517*E517</f>
        <v>1.3854375000000001</v>
      </c>
    </row>
    <row r="518" spans="1:6" x14ac:dyDescent="0.4">
      <c r="A518" s="28">
        <f t="shared" si="15"/>
        <v>802</v>
      </c>
      <c r="B518" s="28">
        <f t="shared" si="14"/>
        <v>0.24330900243309003</v>
      </c>
      <c r="C518" s="28">
        <f>A518+$E$6</f>
        <v>824</v>
      </c>
      <c r="D518" s="28">
        <f>CEILING(C518/$H$3,1)*CEILING($H$2/$H$3,1)/CEILING($H$2/$H$3,1)</f>
        <v>4</v>
      </c>
      <c r="E518" s="28">
        <f>CEILING(C518/$H$3,1)*CEILING($H$2/$H$3,1)/CEILING(C518/$H$3,1)</f>
        <v>1</v>
      </c>
      <c r="F518" s="28">
        <f>$B$5/D518/B518*E518</f>
        <v>1.3871249999999999</v>
      </c>
    </row>
    <row r="519" spans="1:6" x14ac:dyDescent="0.4">
      <c r="A519" s="28">
        <f t="shared" si="15"/>
        <v>803</v>
      </c>
      <c r="B519" s="28">
        <f t="shared" si="14"/>
        <v>0.24301336573511542</v>
      </c>
      <c r="C519" s="28">
        <f>A519+$E$6</f>
        <v>825</v>
      </c>
      <c r="D519" s="28">
        <f>CEILING(C519/$H$3,1)*CEILING($H$2/$H$3,1)/CEILING($H$2/$H$3,1)</f>
        <v>4</v>
      </c>
      <c r="E519" s="28">
        <f>CEILING(C519/$H$3,1)*CEILING($H$2/$H$3,1)/CEILING(C519/$H$3,1)</f>
        <v>1</v>
      </c>
      <c r="F519" s="28">
        <f>$B$5/D519/B519*E519</f>
        <v>1.3888125000000002</v>
      </c>
    </row>
    <row r="520" spans="1:6" x14ac:dyDescent="0.4">
      <c r="A520" s="28">
        <f t="shared" si="15"/>
        <v>804</v>
      </c>
      <c r="B520" s="28">
        <f t="shared" si="14"/>
        <v>0.24271844660194175</v>
      </c>
      <c r="C520" s="28">
        <f>A520+$E$6</f>
        <v>826</v>
      </c>
      <c r="D520" s="28">
        <f>CEILING(C520/$H$3,1)*CEILING($H$2/$H$3,1)/CEILING($H$2/$H$3,1)</f>
        <v>4</v>
      </c>
      <c r="E520" s="28">
        <f>CEILING(C520/$H$3,1)*CEILING($H$2/$H$3,1)/CEILING(C520/$H$3,1)</f>
        <v>1</v>
      </c>
      <c r="F520" s="28">
        <f>$B$5/D520/B520*E520</f>
        <v>1.3905000000000001</v>
      </c>
    </row>
    <row r="521" spans="1:6" x14ac:dyDescent="0.4">
      <c r="A521" s="28">
        <f t="shared" si="15"/>
        <v>805</v>
      </c>
      <c r="B521" s="28">
        <f t="shared" si="14"/>
        <v>0.24242424242424243</v>
      </c>
      <c r="C521" s="28">
        <f>A521+$E$6</f>
        <v>827</v>
      </c>
      <c r="D521" s="28">
        <f>CEILING(C521/$H$3,1)*CEILING($H$2/$H$3,1)/CEILING($H$2/$H$3,1)</f>
        <v>4</v>
      </c>
      <c r="E521" s="28">
        <f>CEILING(C521/$H$3,1)*CEILING($H$2/$H$3,1)/CEILING(C521/$H$3,1)</f>
        <v>1</v>
      </c>
      <c r="F521" s="28">
        <f>$B$5/D521/B521*E521</f>
        <v>1.3921875000000001</v>
      </c>
    </row>
    <row r="522" spans="1:6" x14ac:dyDescent="0.4">
      <c r="A522" s="28">
        <f t="shared" si="15"/>
        <v>806</v>
      </c>
      <c r="B522" s="28">
        <f t="shared" si="14"/>
        <v>0.24213075060532688</v>
      </c>
      <c r="C522" s="28">
        <f>A522+$E$6</f>
        <v>828</v>
      </c>
      <c r="D522" s="28">
        <f>CEILING(C522/$H$3,1)*CEILING($H$2/$H$3,1)/CEILING($H$2/$H$3,1)</f>
        <v>4</v>
      </c>
      <c r="E522" s="28">
        <f>CEILING(C522/$H$3,1)*CEILING($H$2/$H$3,1)/CEILING(C522/$H$3,1)</f>
        <v>1</v>
      </c>
      <c r="F522" s="28">
        <f>$B$5/D522/B522*E522</f>
        <v>1.393875</v>
      </c>
    </row>
    <row r="523" spans="1:6" x14ac:dyDescent="0.4">
      <c r="A523" s="28">
        <f t="shared" si="15"/>
        <v>807</v>
      </c>
      <c r="B523" s="28">
        <f t="shared" ref="B523:B586" si="16">$B$4/8/(A523+$B$2)</f>
        <v>0.2418379685610641</v>
      </c>
      <c r="C523" s="28">
        <f>A523+$E$6</f>
        <v>829</v>
      </c>
      <c r="D523" s="28">
        <f>CEILING(C523/$H$3,1)*CEILING($H$2/$H$3,1)/CEILING($H$2/$H$3,1)</f>
        <v>4</v>
      </c>
      <c r="E523" s="28">
        <f>CEILING(C523/$H$3,1)*CEILING($H$2/$H$3,1)/CEILING(C523/$H$3,1)</f>
        <v>1</v>
      </c>
      <c r="F523" s="28">
        <f>$B$5/D523/B523*E523</f>
        <v>1.3955625</v>
      </c>
    </row>
    <row r="524" spans="1:6" x14ac:dyDescent="0.4">
      <c r="A524" s="28">
        <f t="shared" si="15"/>
        <v>808</v>
      </c>
      <c r="B524" s="28">
        <f t="shared" si="16"/>
        <v>0.24154589371980675</v>
      </c>
      <c r="C524" s="28">
        <f>A524+$E$6</f>
        <v>830</v>
      </c>
      <c r="D524" s="28">
        <f>CEILING(C524/$H$3,1)*CEILING($H$2/$H$3,1)/CEILING($H$2/$H$3,1)</f>
        <v>4</v>
      </c>
      <c r="E524" s="28">
        <f>CEILING(C524/$H$3,1)*CEILING($H$2/$H$3,1)/CEILING(C524/$H$3,1)</f>
        <v>1</v>
      </c>
      <c r="F524" s="28">
        <f>$B$5/D524/B524*E524</f>
        <v>1.3972500000000001</v>
      </c>
    </row>
    <row r="525" spans="1:6" x14ac:dyDescent="0.4">
      <c r="A525" s="28">
        <f t="shared" ref="A525:A588" si="17">A524+$B$3</f>
        <v>809</v>
      </c>
      <c r="B525" s="28">
        <f t="shared" si="16"/>
        <v>0.24125452352231605</v>
      </c>
      <c r="C525" s="28">
        <f>A525+$E$6</f>
        <v>831</v>
      </c>
      <c r="D525" s="28">
        <f>CEILING(C525/$H$3,1)*CEILING($H$2/$H$3,1)/CEILING($H$2/$H$3,1)</f>
        <v>4</v>
      </c>
      <c r="E525" s="28">
        <f>CEILING(C525/$H$3,1)*CEILING($H$2/$H$3,1)/CEILING(C525/$H$3,1)</f>
        <v>1</v>
      </c>
      <c r="F525" s="28">
        <f>$B$5/D525/B525*E525</f>
        <v>1.3989374999999999</v>
      </c>
    </row>
    <row r="526" spans="1:6" x14ac:dyDescent="0.4">
      <c r="A526" s="28">
        <f t="shared" si="17"/>
        <v>810</v>
      </c>
      <c r="B526" s="28">
        <f t="shared" si="16"/>
        <v>0.24096385542168675</v>
      </c>
      <c r="C526" s="28">
        <f>A526+$E$6</f>
        <v>832</v>
      </c>
      <c r="D526" s="28">
        <f>CEILING(C526/$H$3,1)*CEILING($H$2/$H$3,1)/CEILING($H$2/$H$3,1)</f>
        <v>4</v>
      </c>
      <c r="E526" s="28">
        <f>CEILING(C526/$H$3,1)*CEILING($H$2/$H$3,1)/CEILING(C526/$H$3,1)</f>
        <v>1</v>
      </c>
      <c r="F526" s="28">
        <f>$B$5/D526/B526*E526</f>
        <v>1.400625</v>
      </c>
    </row>
    <row r="527" spans="1:6" x14ac:dyDescent="0.4">
      <c r="A527" s="28">
        <f t="shared" si="17"/>
        <v>811</v>
      </c>
      <c r="B527" s="28">
        <f t="shared" si="16"/>
        <v>0.24067388688327315</v>
      </c>
      <c r="C527" s="28">
        <f>A527+$E$6</f>
        <v>833</v>
      </c>
      <c r="D527" s="28">
        <f>CEILING(C527/$H$3,1)*CEILING($H$2/$H$3,1)/CEILING($H$2/$H$3,1)</f>
        <v>4</v>
      </c>
      <c r="E527" s="28">
        <f>CEILING(C527/$H$3,1)*CEILING($H$2/$H$3,1)/CEILING(C527/$H$3,1)</f>
        <v>1</v>
      </c>
      <c r="F527" s="28">
        <f>$B$5/D527/B527*E527</f>
        <v>1.4023125000000001</v>
      </c>
    </row>
    <row r="528" spans="1:6" x14ac:dyDescent="0.4">
      <c r="A528" s="28">
        <f t="shared" si="17"/>
        <v>812</v>
      </c>
      <c r="B528" s="28">
        <f t="shared" si="16"/>
        <v>0.24038461538461539</v>
      </c>
      <c r="C528" s="28">
        <f>A528+$E$6</f>
        <v>834</v>
      </c>
      <c r="D528" s="28">
        <f>CEILING(C528/$H$3,1)*CEILING($H$2/$H$3,1)/CEILING($H$2/$H$3,1)</f>
        <v>4</v>
      </c>
      <c r="E528" s="28">
        <f>CEILING(C528/$H$3,1)*CEILING($H$2/$H$3,1)/CEILING(C528/$H$3,1)</f>
        <v>1</v>
      </c>
      <c r="F528" s="28">
        <f>$B$5/D528/B528*E528</f>
        <v>1.4040000000000001</v>
      </c>
    </row>
    <row r="529" spans="1:6" x14ac:dyDescent="0.4">
      <c r="A529" s="28">
        <f t="shared" si="17"/>
        <v>813</v>
      </c>
      <c r="B529" s="28">
        <f t="shared" si="16"/>
        <v>0.24009603841536614</v>
      </c>
      <c r="C529" s="28">
        <f>A529+$E$6</f>
        <v>835</v>
      </c>
      <c r="D529" s="28">
        <f>CEILING(C529/$H$3,1)*CEILING($H$2/$H$3,1)/CEILING($H$2/$H$3,1)</f>
        <v>4</v>
      </c>
      <c r="E529" s="28">
        <f>CEILING(C529/$H$3,1)*CEILING($H$2/$H$3,1)/CEILING(C529/$H$3,1)</f>
        <v>1</v>
      </c>
      <c r="F529" s="28">
        <f>$B$5/D529/B529*E529</f>
        <v>1.4056875000000002</v>
      </c>
    </row>
    <row r="530" spans="1:6" x14ac:dyDescent="0.4">
      <c r="A530" s="28">
        <f t="shared" si="17"/>
        <v>814</v>
      </c>
      <c r="B530" s="28">
        <f t="shared" si="16"/>
        <v>0.23980815347721823</v>
      </c>
      <c r="C530" s="28">
        <f>A530+$E$6</f>
        <v>836</v>
      </c>
      <c r="D530" s="28">
        <f>CEILING(C530/$H$3,1)*CEILING($H$2/$H$3,1)/CEILING($H$2/$H$3,1)</f>
        <v>4</v>
      </c>
      <c r="E530" s="28">
        <f>CEILING(C530/$H$3,1)*CEILING($H$2/$H$3,1)/CEILING(C530/$H$3,1)</f>
        <v>1</v>
      </c>
      <c r="F530" s="28">
        <f>$B$5/D530/B530*E530</f>
        <v>1.407375</v>
      </c>
    </row>
    <row r="531" spans="1:6" x14ac:dyDescent="0.4">
      <c r="A531" s="28">
        <f t="shared" si="17"/>
        <v>815</v>
      </c>
      <c r="B531" s="28">
        <f t="shared" si="16"/>
        <v>0.23952095808383234</v>
      </c>
      <c r="C531" s="28">
        <f>A531+$E$6</f>
        <v>837</v>
      </c>
      <c r="D531" s="28">
        <f>CEILING(C531/$H$3,1)*CEILING($H$2/$H$3,1)/CEILING($H$2/$H$3,1)</f>
        <v>4</v>
      </c>
      <c r="E531" s="28">
        <f>CEILING(C531/$H$3,1)*CEILING($H$2/$H$3,1)/CEILING(C531/$H$3,1)</f>
        <v>1</v>
      </c>
      <c r="F531" s="28">
        <f>$B$5/D531/B531*E531</f>
        <v>1.4090625000000001</v>
      </c>
    </row>
    <row r="532" spans="1:6" x14ac:dyDescent="0.4">
      <c r="A532" s="28">
        <f t="shared" si="17"/>
        <v>816</v>
      </c>
      <c r="B532" s="28">
        <f t="shared" si="16"/>
        <v>0.23923444976076555</v>
      </c>
      <c r="C532" s="28">
        <f>A532+$E$6</f>
        <v>838</v>
      </c>
      <c r="D532" s="28">
        <f>CEILING(C532/$H$3,1)*CEILING($H$2/$H$3,1)/CEILING($H$2/$H$3,1)</f>
        <v>4</v>
      </c>
      <c r="E532" s="28">
        <f>CEILING(C532/$H$3,1)*CEILING($H$2/$H$3,1)/CEILING(C532/$H$3,1)</f>
        <v>1</v>
      </c>
      <c r="F532" s="28">
        <f>$B$5/D532/B532*E532</f>
        <v>1.4107500000000002</v>
      </c>
    </row>
    <row r="533" spans="1:6" x14ac:dyDescent="0.4">
      <c r="A533" s="28">
        <f t="shared" si="17"/>
        <v>817</v>
      </c>
      <c r="B533" s="28">
        <f t="shared" si="16"/>
        <v>0.23894862604540024</v>
      </c>
      <c r="C533" s="28">
        <f>A533+$E$6</f>
        <v>839</v>
      </c>
      <c r="D533" s="28">
        <f>CEILING(C533/$H$3,1)*CEILING($H$2/$H$3,1)/CEILING($H$2/$H$3,1)</f>
        <v>4</v>
      </c>
      <c r="E533" s="28">
        <f>CEILING(C533/$H$3,1)*CEILING($H$2/$H$3,1)/CEILING(C533/$H$3,1)</f>
        <v>1</v>
      </c>
      <c r="F533" s="28">
        <f>$B$5/D533/B533*E533</f>
        <v>1.4124375</v>
      </c>
    </row>
    <row r="534" spans="1:6" x14ac:dyDescent="0.4">
      <c r="A534" s="28">
        <f t="shared" si="17"/>
        <v>818</v>
      </c>
      <c r="B534" s="28">
        <f t="shared" si="16"/>
        <v>0.2386634844868735</v>
      </c>
      <c r="C534" s="28">
        <f>A534+$E$6</f>
        <v>840</v>
      </c>
      <c r="D534" s="28">
        <f>CEILING(C534/$H$3,1)*CEILING($H$2/$H$3,1)/CEILING($H$2/$H$3,1)</f>
        <v>4</v>
      </c>
      <c r="E534" s="28">
        <f>CEILING(C534/$H$3,1)*CEILING($H$2/$H$3,1)/CEILING(C534/$H$3,1)</f>
        <v>1</v>
      </c>
      <c r="F534" s="28">
        <f>$B$5/D534/B534*E534</f>
        <v>1.4141250000000001</v>
      </c>
    </row>
    <row r="535" spans="1:6" x14ac:dyDescent="0.4">
      <c r="A535" s="28">
        <f t="shared" si="17"/>
        <v>819</v>
      </c>
      <c r="B535" s="28">
        <f t="shared" si="16"/>
        <v>0.23837902264600716</v>
      </c>
      <c r="C535" s="28">
        <f>A535+$E$6</f>
        <v>841</v>
      </c>
      <c r="D535" s="28">
        <f>CEILING(C535/$H$3,1)*CEILING($H$2/$H$3,1)/CEILING($H$2/$H$3,1)</f>
        <v>4</v>
      </c>
      <c r="E535" s="28">
        <f>CEILING(C535/$H$3,1)*CEILING($H$2/$H$3,1)/CEILING(C535/$H$3,1)</f>
        <v>1</v>
      </c>
      <c r="F535" s="28">
        <f>$B$5/D535/B535*E535</f>
        <v>1.4158125000000001</v>
      </c>
    </row>
    <row r="536" spans="1:6" x14ac:dyDescent="0.4">
      <c r="A536" s="28">
        <f t="shared" si="17"/>
        <v>820</v>
      </c>
      <c r="B536" s="28">
        <f t="shared" si="16"/>
        <v>0.23809523809523808</v>
      </c>
      <c r="C536" s="28">
        <f>A536+$E$6</f>
        <v>842</v>
      </c>
      <c r="D536" s="28">
        <f>CEILING(C536/$H$3,1)*CEILING($H$2/$H$3,1)/CEILING($H$2/$H$3,1)</f>
        <v>4</v>
      </c>
      <c r="E536" s="28">
        <f>CEILING(C536/$H$3,1)*CEILING($H$2/$H$3,1)/CEILING(C536/$H$3,1)</f>
        <v>1</v>
      </c>
      <c r="F536" s="28">
        <f>$B$5/D536/B536*E536</f>
        <v>1.4175000000000002</v>
      </c>
    </row>
    <row r="537" spans="1:6" x14ac:dyDescent="0.4">
      <c r="A537" s="28">
        <f t="shared" si="17"/>
        <v>821</v>
      </c>
      <c r="B537" s="28">
        <f t="shared" si="16"/>
        <v>0.23781212841854935</v>
      </c>
      <c r="C537" s="28">
        <f>A537+$E$6</f>
        <v>843</v>
      </c>
      <c r="D537" s="28">
        <f>CEILING(C537/$H$3,1)*CEILING($H$2/$H$3,1)/CEILING($H$2/$H$3,1)</f>
        <v>4</v>
      </c>
      <c r="E537" s="28">
        <f>CEILING(C537/$H$3,1)*CEILING($H$2/$H$3,1)/CEILING(C537/$H$3,1)</f>
        <v>1</v>
      </c>
      <c r="F537" s="28">
        <f>$B$5/D537/B537*E537</f>
        <v>1.4191875</v>
      </c>
    </row>
    <row r="538" spans="1:6" x14ac:dyDescent="0.4">
      <c r="A538" s="28">
        <f t="shared" si="17"/>
        <v>822</v>
      </c>
      <c r="B538" s="28">
        <f t="shared" si="16"/>
        <v>0.23752969121140141</v>
      </c>
      <c r="C538" s="28">
        <f>A538+$E$6</f>
        <v>844</v>
      </c>
      <c r="D538" s="28">
        <f>CEILING(C538/$H$3,1)*CEILING($H$2/$H$3,1)/CEILING($H$2/$H$3,1)</f>
        <v>4</v>
      </c>
      <c r="E538" s="28">
        <f>CEILING(C538/$H$3,1)*CEILING($H$2/$H$3,1)/CEILING(C538/$H$3,1)</f>
        <v>1</v>
      </c>
      <c r="F538" s="28">
        <f>$B$5/D538/B538*E538</f>
        <v>1.4208750000000001</v>
      </c>
    </row>
    <row r="539" spans="1:6" x14ac:dyDescent="0.4">
      <c r="A539" s="28">
        <f t="shared" si="17"/>
        <v>823</v>
      </c>
      <c r="B539" s="28">
        <f t="shared" si="16"/>
        <v>0.23724792408066431</v>
      </c>
      <c r="C539" s="28">
        <f>A539+$E$6</f>
        <v>845</v>
      </c>
      <c r="D539" s="28">
        <f>CEILING(C539/$H$3,1)*CEILING($H$2/$H$3,1)/CEILING($H$2/$H$3,1)</f>
        <v>4</v>
      </c>
      <c r="E539" s="28">
        <f>CEILING(C539/$H$3,1)*CEILING($H$2/$H$3,1)/CEILING(C539/$H$3,1)</f>
        <v>1</v>
      </c>
      <c r="F539" s="28">
        <f>$B$5/D539/B539*E539</f>
        <v>1.4225625</v>
      </c>
    </row>
    <row r="540" spans="1:6" x14ac:dyDescent="0.4">
      <c r="A540" s="28">
        <f t="shared" si="17"/>
        <v>824</v>
      </c>
      <c r="B540" s="28">
        <f t="shared" si="16"/>
        <v>0.23696682464454977</v>
      </c>
      <c r="C540" s="28">
        <f>A540+$E$6</f>
        <v>846</v>
      </c>
      <c r="D540" s="28">
        <f>CEILING(C540/$H$3,1)*CEILING($H$2/$H$3,1)/CEILING($H$2/$H$3,1)</f>
        <v>4</v>
      </c>
      <c r="E540" s="28">
        <f>CEILING(C540/$H$3,1)*CEILING($H$2/$H$3,1)/CEILING(C540/$H$3,1)</f>
        <v>1</v>
      </c>
      <c r="F540" s="28">
        <f>$B$5/D540/B540*E540</f>
        <v>1.42425</v>
      </c>
    </row>
    <row r="541" spans="1:6" x14ac:dyDescent="0.4">
      <c r="A541" s="28">
        <f t="shared" si="17"/>
        <v>825</v>
      </c>
      <c r="B541" s="28">
        <f t="shared" si="16"/>
        <v>0.23668639053254437</v>
      </c>
      <c r="C541" s="28">
        <f>A541+$E$6</f>
        <v>847</v>
      </c>
      <c r="D541" s="28">
        <f>CEILING(C541/$H$3,1)*CEILING($H$2/$H$3,1)/CEILING($H$2/$H$3,1)</f>
        <v>4</v>
      </c>
      <c r="E541" s="28">
        <f>CEILING(C541/$H$3,1)*CEILING($H$2/$H$3,1)/CEILING(C541/$H$3,1)</f>
        <v>1</v>
      </c>
      <c r="F541" s="28">
        <f>$B$5/D541/B541*E541</f>
        <v>1.4259375000000001</v>
      </c>
    </row>
    <row r="542" spans="1:6" x14ac:dyDescent="0.4">
      <c r="A542" s="28">
        <f t="shared" si="17"/>
        <v>826</v>
      </c>
      <c r="B542" s="28">
        <f t="shared" si="16"/>
        <v>0.2364066193853428</v>
      </c>
      <c r="C542" s="28">
        <f>A542+$E$6</f>
        <v>848</v>
      </c>
      <c r="D542" s="28">
        <f>CEILING(C542/$H$3,1)*CEILING($H$2/$H$3,1)/CEILING($H$2/$H$3,1)</f>
        <v>4</v>
      </c>
      <c r="E542" s="28">
        <f>CEILING(C542/$H$3,1)*CEILING($H$2/$H$3,1)/CEILING(C542/$H$3,1)</f>
        <v>1</v>
      </c>
      <c r="F542" s="28">
        <f>$B$5/D542/B542*E542</f>
        <v>1.4276250000000001</v>
      </c>
    </row>
    <row r="543" spans="1:6" x14ac:dyDescent="0.4">
      <c r="A543" s="28">
        <f t="shared" si="17"/>
        <v>827</v>
      </c>
      <c r="B543" s="28">
        <f t="shared" si="16"/>
        <v>0.23612750885478159</v>
      </c>
      <c r="C543" s="28">
        <f>A543+$E$6</f>
        <v>849</v>
      </c>
      <c r="D543" s="28">
        <f>CEILING(C543/$H$3,1)*CEILING($H$2/$H$3,1)/CEILING($H$2/$H$3,1)</f>
        <v>4</v>
      </c>
      <c r="E543" s="28">
        <f>CEILING(C543/$H$3,1)*CEILING($H$2/$H$3,1)/CEILING(C543/$H$3,1)</f>
        <v>1</v>
      </c>
      <c r="F543" s="28">
        <f>$B$5/D543/B543*E543</f>
        <v>1.4293125</v>
      </c>
    </row>
    <row r="544" spans="1:6" x14ac:dyDescent="0.4">
      <c r="A544" s="28">
        <f t="shared" si="17"/>
        <v>828</v>
      </c>
      <c r="B544" s="28">
        <f t="shared" si="16"/>
        <v>0.23584905660377359</v>
      </c>
      <c r="C544" s="28">
        <f>A544+$E$6</f>
        <v>850</v>
      </c>
      <c r="D544" s="28">
        <f>CEILING(C544/$H$3,1)*CEILING($H$2/$H$3,1)/CEILING($H$2/$H$3,1)</f>
        <v>4</v>
      </c>
      <c r="E544" s="28">
        <f>CEILING(C544/$H$3,1)*CEILING($H$2/$H$3,1)/CEILING(C544/$H$3,1)</f>
        <v>1</v>
      </c>
      <c r="F544" s="28">
        <f>$B$5/D544/B544*E544</f>
        <v>1.431</v>
      </c>
    </row>
    <row r="545" spans="1:6" x14ac:dyDescent="0.4">
      <c r="A545" s="28">
        <f t="shared" si="17"/>
        <v>829</v>
      </c>
      <c r="B545" s="28">
        <f t="shared" si="16"/>
        <v>0.23557126030624265</v>
      </c>
      <c r="C545" s="28">
        <f>A545+$E$6</f>
        <v>851</v>
      </c>
      <c r="D545" s="28">
        <f>CEILING(C545/$H$3,1)*CEILING($H$2/$H$3,1)/CEILING($H$2/$H$3,1)</f>
        <v>4</v>
      </c>
      <c r="E545" s="28">
        <f>CEILING(C545/$H$3,1)*CEILING($H$2/$H$3,1)/CEILING(C545/$H$3,1)</f>
        <v>1</v>
      </c>
      <c r="F545" s="28">
        <f>$B$5/D545/B545*E545</f>
        <v>1.4326875000000001</v>
      </c>
    </row>
    <row r="546" spans="1:6" x14ac:dyDescent="0.4">
      <c r="A546" s="28">
        <f t="shared" si="17"/>
        <v>830</v>
      </c>
      <c r="B546" s="28">
        <f t="shared" si="16"/>
        <v>0.23529411764705882</v>
      </c>
      <c r="C546" s="28">
        <f>A546+$E$6</f>
        <v>852</v>
      </c>
      <c r="D546" s="28">
        <f>CEILING(C546/$H$3,1)*CEILING($H$2/$H$3,1)/CEILING($H$2/$H$3,1)</f>
        <v>4</v>
      </c>
      <c r="E546" s="28">
        <f>CEILING(C546/$H$3,1)*CEILING($H$2/$H$3,1)/CEILING(C546/$H$3,1)</f>
        <v>1</v>
      </c>
      <c r="F546" s="28">
        <f>$B$5/D546/B546*E546</f>
        <v>1.4343750000000002</v>
      </c>
    </row>
    <row r="547" spans="1:6" x14ac:dyDescent="0.4">
      <c r="A547" s="28">
        <f t="shared" si="17"/>
        <v>831</v>
      </c>
      <c r="B547" s="28">
        <f t="shared" si="16"/>
        <v>0.23501762632197415</v>
      </c>
      <c r="C547" s="28">
        <f>A547+$E$6</f>
        <v>853</v>
      </c>
      <c r="D547" s="28">
        <f>CEILING(C547/$H$3,1)*CEILING($H$2/$H$3,1)/CEILING($H$2/$H$3,1)</f>
        <v>4</v>
      </c>
      <c r="E547" s="28">
        <f>CEILING(C547/$H$3,1)*CEILING($H$2/$H$3,1)/CEILING(C547/$H$3,1)</f>
        <v>1</v>
      </c>
      <c r="F547" s="28">
        <f>$B$5/D547/B547*E547</f>
        <v>1.4360625</v>
      </c>
    </row>
    <row r="548" spans="1:6" x14ac:dyDescent="0.4">
      <c r="A548" s="28">
        <f t="shared" si="17"/>
        <v>832</v>
      </c>
      <c r="B548" s="28">
        <f t="shared" si="16"/>
        <v>0.23474178403755869</v>
      </c>
      <c r="C548" s="28">
        <f>A548+$E$6</f>
        <v>854</v>
      </c>
      <c r="D548" s="28">
        <f>CEILING(C548/$H$3,1)*CEILING($H$2/$H$3,1)/CEILING($H$2/$H$3,1)</f>
        <v>4</v>
      </c>
      <c r="E548" s="28">
        <f>CEILING(C548/$H$3,1)*CEILING($H$2/$H$3,1)/CEILING(C548/$H$3,1)</f>
        <v>1</v>
      </c>
      <c r="F548" s="28">
        <f>$B$5/D548/B548*E548</f>
        <v>1.4377500000000001</v>
      </c>
    </row>
    <row r="549" spans="1:6" x14ac:dyDescent="0.4">
      <c r="A549" s="28">
        <f t="shared" si="17"/>
        <v>833</v>
      </c>
      <c r="B549" s="28">
        <f t="shared" si="16"/>
        <v>0.23446658851113716</v>
      </c>
      <c r="C549" s="28">
        <f>A549+$E$6</f>
        <v>855</v>
      </c>
      <c r="D549" s="28">
        <f>CEILING(C549/$H$3,1)*CEILING($H$2/$H$3,1)/CEILING($H$2/$H$3,1)</f>
        <v>4</v>
      </c>
      <c r="E549" s="28">
        <f>CEILING(C549/$H$3,1)*CEILING($H$2/$H$3,1)/CEILING(C549/$H$3,1)</f>
        <v>1</v>
      </c>
      <c r="F549" s="28">
        <f>$B$5/D549/B549*E549</f>
        <v>1.4394375000000001</v>
      </c>
    </row>
    <row r="550" spans="1:6" x14ac:dyDescent="0.4">
      <c r="A550" s="28">
        <f t="shared" si="17"/>
        <v>834</v>
      </c>
      <c r="B550" s="28">
        <f t="shared" si="16"/>
        <v>0.23419203747072601</v>
      </c>
      <c r="C550" s="28">
        <f>A550+$E$6</f>
        <v>856</v>
      </c>
      <c r="D550" s="28">
        <f>CEILING(C550/$H$3,1)*CEILING($H$2/$H$3,1)/CEILING($H$2/$H$3,1)</f>
        <v>4</v>
      </c>
      <c r="E550" s="28">
        <f>CEILING(C550/$H$3,1)*CEILING($H$2/$H$3,1)/CEILING(C550/$H$3,1)</f>
        <v>1</v>
      </c>
      <c r="F550" s="28">
        <f>$B$5/D550/B550*E550</f>
        <v>1.441125</v>
      </c>
    </row>
    <row r="551" spans="1:6" x14ac:dyDescent="0.4">
      <c r="A551" s="28">
        <f t="shared" si="17"/>
        <v>835</v>
      </c>
      <c r="B551" s="28">
        <f t="shared" si="16"/>
        <v>0.23391812865497075</v>
      </c>
      <c r="C551" s="28">
        <f>A551+$E$6</f>
        <v>857</v>
      </c>
      <c r="D551" s="28">
        <f>CEILING(C551/$H$3,1)*CEILING($H$2/$H$3,1)/CEILING($H$2/$H$3,1)</f>
        <v>4</v>
      </c>
      <c r="E551" s="28">
        <f>CEILING(C551/$H$3,1)*CEILING($H$2/$H$3,1)/CEILING(C551/$H$3,1)</f>
        <v>1</v>
      </c>
      <c r="F551" s="28">
        <f>$B$5/D551/B551*E551</f>
        <v>1.4428125000000003</v>
      </c>
    </row>
    <row r="552" spans="1:6" x14ac:dyDescent="0.4">
      <c r="A552" s="28">
        <f t="shared" si="17"/>
        <v>836</v>
      </c>
      <c r="B552" s="28">
        <f t="shared" si="16"/>
        <v>0.23364485981308411</v>
      </c>
      <c r="C552" s="28">
        <f>A552+$E$6</f>
        <v>858</v>
      </c>
      <c r="D552" s="28">
        <f>CEILING(C552/$H$3,1)*CEILING($H$2/$H$3,1)/CEILING($H$2/$H$3,1)</f>
        <v>4</v>
      </c>
      <c r="E552" s="28">
        <f>CEILING(C552/$H$3,1)*CEILING($H$2/$H$3,1)/CEILING(C552/$H$3,1)</f>
        <v>1</v>
      </c>
      <c r="F552" s="28">
        <f>$B$5/D552/B552*E552</f>
        <v>1.4445000000000001</v>
      </c>
    </row>
    <row r="553" spans="1:6" x14ac:dyDescent="0.4">
      <c r="A553" s="28">
        <f t="shared" si="17"/>
        <v>837</v>
      </c>
      <c r="B553" s="28">
        <f t="shared" si="16"/>
        <v>0.23337222870478413</v>
      </c>
      <c r="C553" s="28">
        <f>A553+$E$6</f>
        <v>859</v>
      </c>
      <c r="D553" s="28">
        <f>CEILING(C553/$H$3,1)*CEILING($H$2/$H$3,1)/CEILING($H$2/$H$3,1)</f>
        <v>4</v>
      </c>
      <c r="E553" s="28">
        <f>CEILING(C553/$H$3,1)*CEILING($H$2/$H$3,1)/CEILING(C553/$H$3,1)</f>
        <v>1</v>
      </c>
      <c r="F553" s="28">
        <f>$B$5/D553/B553*E553</f>
        <v>1.4461875</v>
      </c>
    </row>
    <row r="554" spans="1:6" x14ac:dyDescent="0.4">
      <c r="A554" s="28">
        <f t="shared" si="17"/>
        <v>838</v>
      </c>
      <c r="B554" s="28">
        <f t="shared" si="16"/>
        <v>0.23310023310023309</v>
      </c>
      <c r="C554" s="28">
        <f>A554+$E$6</f>
        <v>860</v>
      </c>
      <c r="D554" s="28">
        <f>CEILING(C554/$H$3,1)*CEILING($H$2/$H$3,1)/CEILING($H$2/$H$3,1)</f>
        <v>4</v>
      </c>
      <c r="E554" s="28">
        <f>CEILING(C554/$H$3,1)*CEILING($H$2/$H$3,1)/CEILING(C554/$H$3,1)</f>
        <v>1</v>
      </c>
      <c r="F554" s="28">
        <f>$B$5/D554/B554*E554</f>
        <v>1.4478750000000002</v>
      </c>
    </row>
    <row r="555" spans="1:6" x14ac:dyDescent="0.4">
      <c r="A555" s="28">
        <f t="shared" si="17"/>
        <v>839</v>
      </c>
      <c r="B555" s="28">
        <f t="shared" si="16"/>
        <v>0.23282887077997672</v>
      </c>
      <c r="C555" s="28">
        <f>A555+$E$6</f>
        <v>861</v>
      </c>
      <c r="D555" s="28">
        <f>CEILING(C555/$H$3,1)*CEILING($H$2/$H$3,1)/CEILING($H$2/$H$3,1)</f>
        <v>4</v>
      </c>
      <c r="E555" s="28">
        <f>CEILING(C555/$H$3,1)*CEILING($H$2/$H$3,1)/CEILING(C555/$H$3,1)</f>
        <v>1</v>
      </c>
      <c r="F555" s="28">
        <f>$B$5/D555/B555*E555</f>
        <v>1.4495625000000001</v>
      </c>
    </row>
    <row r="556" spans="1:6" x14ac:dyDescent="0.4">
      <c r="A556" s="28">
        <f t="shared" si="17"/>
        <v>840</v>
      </c>
      <c r="B556" s="28">
        <f t="shared" si="16"/>
        <v>0.23255813953488372</v>
      </c>
      <c r="C556" s="28">
        <f>A556+$E$6</f>
        <v>862</v>
      </c>
      <c r="D556" s="28">
        <f>CEILING(C556/$H$3,1)*CEILING($H$2/$H$3,1)/CEILING($H$2/$H$3,1)</f>
        <v>4</v>
      </c>
      <c r="E556" s="28">
        <f>CEILING(C556/$H$3,1)*CEILING($H$2/$H$3,1)/CEILING(C556/$H$3,1)</f>
        <v>1</v>
      </c>
      <c r="F556" s="28">
        <f>$B$5/D556/B556*E556</f>
        <v>1.4512500000000002</v>
      </c>
    </row>
    <row r="557" spans="1:6" x14ac:dyDescent="0.4">
      <c r="A557" s="28">
        <f t="shared" si="17"/>
        <v>841</v>
      </c>
      <c r="B557" s="28">
        <f t="shared" si="16"/>
        <v>0.23228803716608595</v>
      </c>
      <c r="C557" s="28">
        <f>A557+$E$6</f>
        <v>863</v>
      </c>
      <c r="D557" s="28">
        <f>CEILING(C557/$H$3,1)*CEILING($H$2/$H$3,1)/CEILING($H$2/$H$3,1)</f>
        <v>4</v>
      </c>
      <c r="E557" s="28">
        <f>CEILING(C557/$H$3,1)*CEILING($H$2/$H$3,1)/CEILING(C557/$H$3,1)</f>
        <v>1</v>
      </c>
      <c r="F557" s="28">
        <f>$B$5/D557/B557*E557</f>
        <v>1.4529375</v>
      </c>
    </row>
    <row r="558" spans="1:6" x14ac:dyDescent="0.4">
      <c r="A558" s="28">
        <f t="shared" si="17"/>
        <v>842</v>
      </c>
      <c r="B558" s="28">
        <f t="shared" si="16"/>
        <v>0.23201856148491878</v>
      </c>
      <c r="C558" s="28">
        <f>A558+$E$6</f>
        <v>864</v>
      </c>
      <c r="D558" s="28">
        <f>CEILING(C558/$H$3,1)*CEILING($H$2/$H$3,1)/CEILING($H$2/$H$3,1)</f>
        <v>4</v>
      </c>
      <c r="E558" s="28">
        <f>CEILING(C558/$H$3,1)*CEILING($H$2/$H$3,1)/CEILING(C558/$H$3,1)</f>
        <v>1</v>
      </c>
      <c r="F558" s="28">
        <f>$B$5/D558/B558*E558</f>
        <v>1.4546250000000001</v>
      </c>
    </row>
    <row r="559" spans="1:6" x14ac:dyDescent="0.4">
      <c r="A559" s="28">
        <f t="shared" si="17"/>
        <v>843</v>
      </c>
      <c r="B559" s="28">
        <f t="shared" si="16"/>
        <v>0.23174971031286212</v>
      </c>
      <c r="C559" s="28">
        <f>A559+$E$6</f>
        <v>865</v>
      </c>
      <c r="D559" s="28">
        <f>CEILING(C559/$H$3,1)*CEILING($H$2/$H$3,1)/CEILING($H$2/$H$3,1)</f>
        <v>4</v>
      </c>
      <c r="E559" s="28">
        <f>CEILING(C559/$H$3,1)*CEILING($H$2/$H$3,1)/CEILING(C559/$H$3,1)</f>
        <v>1</v>
      </c>
      <c r="F559" s="28">
        <f>$B$5/D559/B559*E559</f>
        <v>1.4563124999999999</v>
      </c>
    </row>
    <row r="560" spans="1:6" x14ac:dyDescent="0.4">
      <c r="A560" s="28">
        <f t="shared" si="17"/>
        <v>844</v>
      </c>
      <c r="B560" s="28">
        <f t="shared" si="16"/>
        <v>0.23148148148148148</v>
      </c>
      <c r="C560" s="28">
        <f>A560+$E$6</f>
        <v>866</v>
      </c>
      <c r="D560" s="28">
        <f>CEILING(C560/$H$3,1)*CEILING($H$2/$H$3,1)/CEILING($H$2/$H$3,1)</f>
        <v>4</v>
      </c>
      <c r="E560" s="28">
        <f>CEILING(C560/$H$3,1)*CEILING($H$2/$H$3,1)/CEILING(C560/$H$3,1)</f>
        <v>1</v>
      </c>
      <c r="F560" s="28">
        <f>$B$5/D560/B560*E560</f>
        <v>1.4580000000000002</v>
      </c>
    </row>
    <row r="561" spans="1:6" x14ac:dyDescent="0.4">
      <c r="A561" s="28">
        <f t="shared" si="17"/>
        <v>845</v>
      </c>
      <c r="B561" s="28">
        <f t="shared" si="16"/>
        <v>0.23121387283236994</v>
      </c>
      <c r="C561" s="28">
        <f>A561+$E$6</f>
        <v>867</v>
      </c>
      <c r="D561" s="28">
        <f>CEILING(C561/$H$3,1)*CEILING($H$2/$H$3,1)/CEILING($H$2/$H$3,1)</f>
        <v>4</v>
      </c>
      <c r="E561" s="28">
        <f>CEILING(C561/$H$3,1)*CEILING($H$2/$H$3,1)/CEILING(C561/$H$3,1)</f>
        <v>1</v>
      </c>
      <c r="F561" s="28">
        <f>$B$5/D561/B561*E561</f>
        <v>1.4596875</v>
      </c>
    </row>
    <row r="562" spans="1:6" x14ac:dyDescent="0.4">
      <c r="A562" s="28">
        <f t="shared" si="17"/>
        <v>846</v>
      </c>
      <c r="B562" s="28">
        <f t="shared" si="16"/>
        <v>0.23094688221709006</v>
      </c>
      <c r="C562" s="28">
        <f>A562+$E$6</f>
        <v>868</v>
      </c>
      <c r="D562" s="28">
        <f>CEILING(C562/$H$3,1)*CEILING($H$2/$H$3,1)/CEILING($H$2/$H$3,1)</f>
        <v>4</v>
      </c>
      <c r="E562" s="28">
        <f>CEILING(C562/$H$3,1)*CEILING($H$2/$H$3,1)/CEILING(C562/$H$3,1)</f>
        <v>1</v>
      </c>
      <c r="F562" s="28">
        <f>$B$5/D562/B562*E562</f>
        <v>1.4613750000000001</v>
      </c>
    </row>
    <row r="563" spans="1:6" x14ac:dyDescent="0.4">
      <c r="A563" s="28">
        <f t="shared" si="17"/>
        <v>847</v>
      </c>
      <c r="B563" s="28">
        <f t="shared" si="16"/>
        <v>0.23068050749711649</v>
      </c>
      <c r="C563" s="28">
        <f>A563+$E$6</f>
        <v>869</v>
      </c>
      <c r="D563" s="28">
        <f>CEILING(C563/$H$3,1)*CEILING($H$2/$H$3,1)/CEILING($H$2/$H$3,1)</f>
        <v>4</v>
      </c>
      <c r="E563" s="28">
        <f>CEILING(C563/$H$3,1)*CEILING($H$2/$H$3,1)/CEILING(C563/$H$3,1)</f>
        <v>1</v>
      </c>
      <c r="F563" s="28">
        <f>$B$5/D563/B563*E563</f>
        <v>1.4630625000000002</v>
      </c>
    </row>
    <row r="564" spans="1:6" x14ac:dyDescent="0.4">
      <c r="A564" s="28">
        <f t="shared" si="17"/>
        <v>848</v>
      </c>
      <c r="B564" s="28">
        <f t="shared" si="16"/>
        <v>0.2304147465437788</v>
      </c>
      <c r="C564" s="28">
        <f>A564+$E$6</f>
        <v>870</v>
      </c>
      <c r="D564" s="28">
        <f>CEILING(C564/$H$3,1)*CEILING($H$2/$H$3,1)/CEILING($H$2/$H$3,1)</f>
        <v>4</v>
      </c>
      <c r="E564" s="28">
        <f>CEILING(C564/$H$3,1)*CEILING($H$2/$H$3,1)/CEILING(C564/$H$3,1)</f>
        <v>1</v>
      </c>
      <c r="F564" s="28">
        <f>$B$5/D564/B564*E564</f>
        <v>1.46475</v>
      </c>
    </row>
    <row r="565" spans="1:6" x14ac:dyDescent="0.4">
      <c r="A565" s="28">
        <f t="shared" si="17"/>
        <v>849</v>
      </c>
      <c r="B565" s="28">
        <f t="shared" si="16"/>
        <v>0.23014959723820483</v>
      </c>
      <c r="C565" s="28">
        <f>A565+$E$6</f>
        <v>871</v>
      </c>
      <c r="D565" s="28">
        <f>CEILING(C565/$H$3,1)*CEILING($H$2/$H$3,1)/CEILING($H$2/$H$3,1)</f>
        <v>4</v>
      </c>
      <c r="E565" s="28">
        <f>CEILING(C565/$H$3,1)*CEILING($H$2/$H$3,1)/CEILING(C565/$H$3,1)</f>
        <v>1</v>
      </c>
      <c r="F565" s="28">
        <f>$B$5/D565/B565*E565</f>
        <v>1.4664375000000001</v>
      </c>
    </row>
    <row r="566" spans="1:6" x14ac:dyDescent="0.4">
      <c r="A566" s="28">
        <f t="shared" si="17"/>
        <v>850</v>
      </c>
      <c r="B566" s="28">
        <f t="shared" si="16"/>
        <v>0.22988505747126436</v>
      </c>
      <c r="C566" s="28">
        <f>A566+$E$6</f>
        <v>872</v>
      </c>
      <c r="D566" s="28">
        <f>CEILING(C566/$H$3,1)*CEILING($H$2/$H$3,1)/CEILING($H$2/$H$3,1)</f>
        <v>4</v>
      </c>
      <c r="E566" s="28">
        <f>CEILING(C566/$H$3,1)*CEILING($H$2/$H$3,1)/CEILING(C566/$H$3,1)</f>
        <v>1</v>
      </c>
      <c r="F566" s="28">
        <f>$B$5/D566/B566*E566</f>
        <v>1.4681250000000001</v>
      </c>
    </row>
    <row r="567" spans="1:6" x14ac:dyDescent="0.4">
      <c r="A567" s="28">
        <f t="shared" si="17"/>
        <v>851</v>
      </c>
      <c r="B567" s="28">
        <f t="shared" si="16"/>
        <v>0.22962112514351321</v>
      </c>
      <c r="C567" s="28">
        <f>A567+$E$6</f>
        <v>873</v>
      </c>
      <c r="D567" s="28">
        <f>CEILING(C567/$H$3,1)*CEILING($H$2/$H$3,1)/CEILING($H$2/$H$3,1)</f>
        <v>4</v>
      </c>
      <c r="E567" s="28">
        <f>CEILING(C567/$H$3,1)*CEILING($H$2/$H$3,1)/CEILING(C567/$H$3,1)</f>
        <v>1</v>
      </c>
      <c r="F567" s="28">
        <f>$B$5/D567/B567*E567</f>
        <v>1.4698125</v>
      </c>
    </row>
    <row r="568" spans="1:6" x14ac:dyDescent="0.4">
      <c r="A568" s="28">
        <f t="shared" si="17"/>
        <v>852</v>
      </c>
      <c r="B568" s="28">
        <f t="shared" si="16"/>
        <v>0.22935779816513763</v>
      </c>
      <c r="C568" s="28">
        <f>A568+$E$6</f>
        <v>874</v>
      </c>
      <c r="D568" s="28">
        <f>CEILING(C568/$H$3,1)*CEILING($H$2/$H$3,1)/CEILING($H$2/$H$3,1)</f>
        <v>4</v>
      </c>
      <c r="E568" s="28">
        <f>CEILING(C568/$H$3,1)*CEILING($H$2/$H$3,1)/CEILING(C568/$H$3,1)</f>
        <v>1</v>
      </c>
      <c r="F568" s="28">
        <f>$B$5/D568/B568*E568</f>
        <v>1.4715</v>
      </c>
    </row>
    <row r="569" spans="1:6" x14ac:dyDescent="0.4">
      <c r="A569" s="28">
        <f t="shared" si="17"/>
        <v>853</v>
      </c>
      <c r="B569" s="28">
        <f t="shared" si="16"/>
        <v>0.22909507445589919</v>
      </c>
      <c r="C569" s="28">
        <f>A569+$E$6</f>
        <v>875</v>
      </c>
      <c r="D569" s="28">
        <f>CEILING(C569/$H$3,1)*CEILING($H$2/$H$3,1)/CEILING($H$2/$H$3,1)</f>
        <v>4</v>
      </c>
      <c r="E569" s="28">
        <f>CEILING(C569/$H$3,1)*CEILING($H$2/$H$3,1)/CEILING(C569/$H$3,1)</f>
        <v>1</v>
      </c>
      <c r="F569" s="28">
        <f>$B$5/D569/B569*E569</f>
        <v>1.4731875000000001</v>
      </c>
    </row>
    <row r="570" spans="1:6" x14ac:dyDescent="0.4">
      <c r="A570" s="28">
        <f t="shared" si="17"/>
        <v>854</v>
      </c>
      <c r="B570" s="28">
        <f t="shared" si="16"/>
        <v>0.2288329519450801</v>
      </c>
      <c r="C570" s="28">
        <f>A570+$E$6</f>
        <v>876</v>
      </c>
      <c r="D570" s="28">
        <f>CEILING(C570/$H$3,1)*CEILING($H$2/$H$3,1)/CEILING($H$2/$H$3,1)</f>
        <v>4</v>
      </c>
      <c r="E570" s="28">
        <f>CEILING(C570/$H$3,1)*CEILING($H$2/$H$3,1)/CEILING(C570/$H$3,1)</f>
        <v>1</v>
      </c>
      <c r="F570" s="28">
        <f>$B$5/D570/B570*E570</f>
        <v>1.4748749999999999</v>
      </c>
    </row>
    <row r="571" spans="1:6" x14ac:dyDescent="0.4">
      <c r="A571" s="28">
        <f t="shared" si="17"/>
        <v>855</v>
      </c>
      <c r="B571" s="28">
        <f t="shared" si="16"/>
        <v>0.22857142857142856</v>
      </c>
      <c r="C571" s="28">
        <f>A571+$E$6</f>
        <v>877</v>
      </c>
      <c r="D571" s="28">
        <f>CEILING(C571/$H$3,1)*CEILING($H$2/$H$3,1)/CEILING($H$2/$H$3,1)</f>
        <v>4</v>
      </c>
      <c r="E571" s="28">
        <f>CEILING(C571/$H$3,1)*CEILING($H$2/$H$3,1)/CEILING(C571/$H$3,1)</f>
        <v>1</v>
      </c>
      <c r="F571" s="28">
        <f>$B$5/D571/B571*E571</f>
        <v>1.4765625000000002</v>
      </c>
    </row>
    <row r="572" spans="1:6" x14ac:dyDescent="0.4">
      <c r="A572" s="28">
        <f t="shared" si="17"/>
        <v>856</v>
      </c>
      <c r="B572" s="28">
        <f t="shared" si="16"/>
        <v>0.22831050228310501</v>
      </c>
      <c r="C572" s="28">
        <f>A572+$E$6</f>
        <v>878</v>
      </c>
      <c r="D572" s="28">
        <f>CEILING(C572/$H$3,1)*CEILING($H$2/$H$3,1)/CEILING($H$2/$H$3,1)</f>
        <v>4</v>
      </c>
      <c r="E572" s="28">
        <f>CEILING(C572/$H$3,1)*CEILING($H$2/$H$3,1)/CEILING(C572/$H$3,1)</f>
        <v>1</v>
      </c>
      <c r="F572" s="28">
        <f>$B$5/D572/B572*E572</f>
        <v>1.4782500000000003</v>
      </c>
    </row>
    <row r="573" spans="1:6" x14ac:dyDescent="0.4">
      <c r="A573" s="28">
        <f t="shared" si="17"/>
        <v>857</v>
      </c>
      <c r="B573" s="28">
        <f t="shared" si="16"/>
        <v>0.22805017103762829</v>
      </c>
      <c r="C573" s="28">
        <f>A573+$E$6</f>
        <v>879</v>
      </c>
      <c r="D573" s="28">
        <f>CEILING(C573/$H$3,1)*CEILING($H$2/$H$3,1)/CEILING($H$2/$H$3,1)</f>
        <v>4</v>
      </c>
      <c r="E573" s="28">
        <f>CEILING(C573/$H$3,1)*CEILING($H$2/$H$3,1)/CEILING(C573/$H$3,1)</f>
        <v>1</v>
      </c>
      <c r="F573" s="28">
        <f>$B$5/D573/B573*E573</f>
        <v>1.4799375000000001</v>
      </c>
    </row>
    <row r="574" spans="1:6" x14ac:dyDescent="0.4">
      <c r="A574" s="28">
        <f t="shared" si="17"/>
        <v>858</v>
      </c>
      <c r="B574" s="28">
        <f t="shared" si="16"/>
        <v>0.22779043280182232</v>
      </c>
      <c r="C574" s="28">
        <f>A574+$E$6</f>
        <v>880</v>
      </c>
      <c r="D574" s="28">
        <f>CEILING(C574/$H$3,1)*CEILING($H$2/$H$3,1)/CEILING($H$2/$H$3,1)</f>
        <v>4</v>
      </c>
      <c r="E574" s="28">
        <f>CEILING(C574/$H$3,1)*CEILING($H$2/$H$3,1)/CEILING(C574/$H$3,1)</f>
        <v>1</v>
      </c>
      <c r="F574" s="28">
        <f>$B$5/D574/B574*E574</f>
        <v>1.4816250000000002</v>
      </c>
    </row>
    <row r="575" spans="1:6" x14ac:dyDescent="0.4">
      <c r="A575" s="28">
        <f t="shared" si="17"/>
        <v>859</v>
      </c>
      <c r="B575" s="28">
        <f t="shared" si="16"/>
        <v>0.22753128555176336</v>
      </c>
      <c r="C575" s="28">
        <f>A575+$E$6</f>
        <v>881</v>
      </c>
      <c r="D575" s="28">
        <f>CEILING(C575/$H$3,1)*CEILING($H$2/$H$3,1)/CEILING($H$2/$H$3,1)</f>
        <v>4</v>
      </c>
      <c r="E575" s="28">
        <f>CEILING(C575/$H$3,1)*CEILING($H$2/$H$3,1)/CEILING(C575/$H$3,1)</f>
        <v>1</v>
      </c>
      <c r="F575" s="28">
        <f>$B$5/D575/B575*E575</f>
        <v>1.4833125000000003</v>
      </c>
    </row>
    <row r="576" spans="1:6" x14ac:dyDescent="0.4">
      <c r="A576" s="28">
        <f t="shared" si="17"/>
        <v>860</v>
      </c>
      <c r="B576" s="28">
        <f t="shared" si="16"/>
        <v>0.22727272727272727</v>
      </c>
      <c r="C576" s="28">
        <f>A576+$E$6</f>
        <v>882</v>
      </c>
      <c r="D576" s="28">
        <f>CEILING(C576/$H$3,1)*CEILING($H$2/$H$3,1)/CEILING($H$2/$H$3,1)</f>
        <v>4</v>
      </c>
      <c r="E576" s="28">
        <f>CEILING(C576/$H$3,1)*CEILING($H$2/$H$3,1)/CEILING(C576/$H$3,1)</f>
        <v>1</v>
      </c>
      <c r="F576" s="28">
        <f>$B$5/D576/B576*E576</f>
        <v>1.4850000000000001</v>
      </c>
    </row>
    <row r="577" spans="1:6" x14ac:dyDescent="0.4">
      <c r="A577" s="28">
        <f t="shared" si="17"/>
        <v>861</v>
      </c>
      <c r="B577" s="28">
        <f t="shared" si="16"/>
        <v>0.22701475595913734</v>
      </c>
      <c r="C577" s="28">
        <f>A577+$E$6</f>
        <v>883</v>
      </c>
      <c r="D577" s="28">
        <f>CEILING(C577/$H$3,1)*CEILING($H$2/$H$3,1)/CEILING($H$2/$H$3,1)</f>
        <v>4</v>
      </c>
      <c r="E577" s="28">
        <f>CEILING(C577/$H$3,1)*CEILING($H$2/$H$3,1)/CEILING(C577/$H$3,1)</f>
        <v>1</v>
      </c>
      <c r="F577" s="28">
        <f>$B$5/D577/B577*E577</f>
        <v>1.4866875000000002</v>
      </c>
    </row>
    <row r="578" spans="1:6" x14ac:dyDescent="0.4">
      <c r="A578" s="28">
        <f t="shared" si="17"/>
        <v>862</v>
      </c>
      <c r="B578" s="28">
        <f t="shared" si="16"/>
        <v>0.22675736961451248</v>
      </c>
      <c r="C578" s="28">
        <f>A578+$E$6</f>
        <v>884</v>
      </c>
      <c r="D578" s="28">
        <f>CEILING(C578/$H$3,1)*CEILING($H$2/$H$3,1)/CEILING($H$2/$H$3,1)</f>
        <v>4</v>
      </c>
      <c r="E578" s="28">
        <f>CEILING(C578/$H$3,1)*CEILING($H$2/$H$3,1)/CEILING(C578/$H$3,1)</f>
        <v>1</v>
      </c>
      <c r="F578" s="28">
        <f>$B$5/D578/B578*E578</f>
        <v>1.488375</v>
      </c>
    </row>
    <row r="579" spans="1:6" x14ac:dyDescent="0.4">
      <c r="A579" s="28">
        <f t="shared" si="17"/>
        <v>863</v>
      </c>
      <c r="B579" s="28">
        <f t="shared" si="16"/>
        <v>0.22650056625141562</v>
      </c>
      <c r="C579" s="28">
        <f>A579+$E$6</f>
        <v>885</v>
      </c>
      <c r="D579" s="28">
        <f>CEILING(C579/$H$3,1)*CEILING($H$2/$H$3,1)/CEILING($H$2/$H$3,1)</f>
        <v>4</v>
      </c>
      <c r="E579" s="28">
        <f>CEILING(C579/$H$3,1)*CEILING($H$2/$H$3,1)/CEILING(C579/$H$3,1)</f>
        <v>1</v>
      </c>
      <c r="F579" s="28">
        <f>$B$5/D579/B579*E579</f>
        <v>1.4900625000000001</v>
      </c>
    </row>
    <row r="580" spans="1:6" x14ac:dyDescent="0.4">
      <c r="A580" s="28">
        <f t="shared" si="17"/>
        <v>864</v>
      </c>
      <c r="B580" s="28">
        <f t="shared" si="16"/>
        <v>0.22624434389140272</v>
      </c>
      <c r="C580" s="28">
        <f>A580+$E$6</f>
        <v>886</v>
      </c>
      <c r="D580" s="28">
        <f>CEILING(C580/$H$3,1)*CEILING($H$2/$H$3,1)/CEILING($H$2/$H$3,1)</f>
        <v>4</v>
      </c>
      <c r="E580" s="28">
        <f>CEILING(C580/$H$3,1)*CEILING($H$2/$H$3,1)/CEILING(C580/$H$3,1)</f>
        <v>1</v>
      </c>
      <c r="F580" s="28">
        <f>$B$5/D580/B580*E580</f>
        <v>1.4917500000000001</v>
      </c>
    </row>
    <row r="581" spans="1:6" x14ac:dyDescent="0.4">
      <c r="A581" s="28">
        <f t="shared" si="17"/>
        <v>865</v>
      </c>
      <c r="B581" s="28">
        <f t="shared" si="16"/>
        <v>0.22598870056497175</v>
      </c>
      <c r="C581" s="28">
        <f>A581+$E$6</f>
        <v>887</v>
      </c>
      <c r="D581" s="28">
        <f>CEILING(C581/$H$3,1)*CEILING($H$2/$H$3,1)/CEILING($H$2/$H$3,1)</f>
        <v>4</v>
      </c>
      <c r="E581" s="28">
        <f>CEILING(C581/$H$3,1)*CEILING($H$2/$H$3,1)/CEILING(C581/$H$3,1)</f>
        <v>1</v>
      </c>
      <c r="F581" s="28">
        <f>$B$5/D581/B581*E581</f>
        <v>1.4934375000000002</v>
      </c>
    </row>
    <row r="582" spans="1:6" x14ac:dyDescent="0.4">
      <c r="A582" s="28">
        <f t="shared" si="17"/>
        <v>866</v>
      </c>
      <c r="B582" s="28">
        <f t="shared" si="16"/>
        <v>0.22573363431151242</v>
      </c>
      <c r="C582" s="28">
        <f>A582+$E$6</f>
        <v>888</v>
      </c>
      <c r="D582" s="28">
        <f>CEILING(C582/$H$3,1)*CEILING($H$2/$H$3,1)/CEILING($H$2/$H$3,1)</f>
        <v>4</v>
      </c>
      <c r="E582" s="28">
        <f>CEILING(C582/$H$3,1)*CEILING($H$2/$H$3,1)/CEILING(C582/$H$3,1)</f>
        <v>1</v>
      </c>
      <c r="F582" s="28">
        <f>$B$5/D582/B582*E582</f>
        <v>1.495125</v>
      </c>
    </row>
    <row r="583" spans="1:6" x14ac:dyDescent="0.4">
      <c r="A583" s="28">
        <f t="shared" si="17"/>
        <v>867</v>
      </c>
      <c r="B583" s="28">
        <f t="shared" si="16"/>
        <v>0.22547914317925591</v>
      </c>
      <c r="C583" s="28">
        <f>A583+$E$6</f>
        <v>889</v>
      </c>
      <c r="D583" s="28">
        <f>CEILING(C583/$H$3,1)*CEILING($H$2/$H$3,1)/CEILING($H$2/$H$3,1)</f>
        <v>4</v>
      </c>
      <c r="E583" s="28">
        <f>CEILING(C583/$H$3,1)*CEILING($H$2/$H$3,1)/CEILING(C583/$H$3,1)</f>
        <v>1</v>
      </c>
      <c r="F583" s="28">
        <f>$B$5/D583/B583*E583</f>
        <v>1.4968125000000001</v>
      </c>
    </row>
    <row r="584" spans="1:6" x14ac:dyDescent="0.4">
      <c r="A584" s="28">
        <f t="shared" si="17"/>
        <v>868</v>
      </c>
      <c r="B584" s="28">
        <f t="shared" si="16"/>
        <v>0.22522522522522523</v>
      </c>
      <c r="C584" s="28">
        <f>A584+$E$6</f>
        <v>890</v>
      </c>
      <c r="D584" s="28">
        <f>CEILING(C584/$H$3,1)*CEILING($H$2/$H$3,1)/CEILING($H$2/$H$3,1)</f>
        <v>4</v>
      </c>
      <c r="E584" s="28">
        <f>CEILING(C584/$H$3,1)*CEILING($H$2/$H$3,1)/CEILING(C584/$H$3,1)</f>
        <v>1</v>
      </c>
      <c r="F584" s="28">
        <f>$B$5/D584/B584*E584</f>
        <v>1.4985000000000002</v>
      </c>
    </row>
    <row r="585" spans="1:6" x14ac:dyDescent="0.4">
      <c r="A585" s="28">
        <f t="shared" si="17"/>
        <v>869</v>
      </c>
      <c r="B585" s="28">
        <f t="shared" si="16"/>
        <v>0.2249718785151856</v>
      </c>
      <c r="C585" s="28">
        <f>A585+$E$6</f>
        <v>891</v>
      </c>
      <c r="D585" s="28">
        <f>CEILING(C585/$H$3,1)*CEILING($H$2/$H$3,1)/CEILING($H$2/$H$3,1)</f>
        <v>4</v>
      </c>
      <c r="E585" s="28">
        <f>CEILING(C585/$H$3,1)*CEILING($H$2/$H$3,1)/CEILING(C585/$H$3,1)</f>
        <v>1</v>
      </c>
      <c r="F585" s="28">
        <f>$B$5/D585/B585*E585</f>
        <v>1.5001875</v>
      </c>
    </row>
    <row r="586" spans="1:6" x14ac:dyDescent="0.4">
      <c r="A586" s="28">
        <f t="shared" si="17"/>
        <v>870</v>
      </c>
      <c r="B586" s="28">
        <f t="shared" si="16"/>
        <v>0.2247191011235955</v>
      </c>
      <c r="C586" s="28">
        <f>A586+$E$6</f>
        <v>892</v>
      </c>
      <c r="D586" s="28">
        <f>CEILING(C586/$H$3,1)*CEILING($H$2/$H$3,1)/CEILING($H$2/$H$3,1)</f>
        <v>4</v>
      </c>
      <c r="E586" s="28">
        <f>CEILING(C586/$H$3,1)*CEILING($H$2/$H$3,1)/CEILING(C586/$H$3,1)</f>
        <v>1</v>
      </c>
      <c r="F586" s="28">
        <f>$B$5/D586/B586*E586</f>
        <v>1.5018750000000001</v>
      </c>
    </row>
    <row r="587" spans="1:6" x14ac:dyDescent="0.4">
      <c r="A587" s="28">
        <f t="shared" si="17"/>
        <v>871</v>
      </c>
      <c r="B587" s="28">
        <f t="shared" ref="B587:B650" si="18">$B$4/8/(A587+$B$2)</f>
        <v>0.22446689113355781</v>
      </c>
      <c r="C587" s="28">
        <f>A587+$E$6</f>
        <v>893</v>
      </c>
      <c r="D587" s="28">
        <f>CEILING(C587/$H$3,1)*CEILING($H$2/$H$3,1)/CEILING($H$2/$H$3,1)</f>
        <v>4</v>
      </c>
      <c r="E587" s="28">
        <f>CEILING(C587/$H$3,1)*CEILING($H$2/$H$3,1)/CEILING(C587/$H$3,1)</f>
        <v>1</v>
      </c>
      <c r="F587" s="28">
        <f>$B$5/D587/B587*E587</f>
        <v>1.5035625000000001</v>
      </c>
    </row>
    <row r="588" spans="1:6" x14ac:dyDescent="0.4">
      <c r="A588" s="28">
        <f t="shared" si="17"/>
        <v>872</v>
      </c>
      <c r="B588" s="28">
        <f t="shared" si="18"/>
        <v>0.22421524663677131</v>
      </c>
      <c r="C588" s="28">
        <f>A588+$E$6</f>
        <v>894</v>
      </c>
      <c r="D588" s="28">
        <f>CEILING(C588/$H$3,1)*CEILING($H$2/$H$3,1)/CEILING($H$2/$H$3,1)</f>
        <v>4</v>
      </c>
      <c r="E588" s="28">
        <f>CEILING(C588/$H$3,1)*CEILING($H$2/$H$3,1)/CEILING(C588/$H$3,1)</f>
        <v>1</v>
      </c>
      <c r="F588" s="28">
        <f>$B$5/D588/B588*E588</f>
        <v>1.50525</v>
      </c>
    </row>
    <row r="589" spans="1:6" x14ac:dyDescent="0.4">
      <c r="A589" s="28">
        <f t="shared" ref="A589:A652" si="19">A588+$B$3</f>
        <v>873</v>
      </c>
      <c r="B589" s="28">
        <f t="shared" si="18"/>
        <v>0.22396416573348266</v>
      </c>
      <c r="C589" s="28">
        <f>A589+$E$6</f>
        <v>895</v>
      </c>
      <c r="D589" s="28">
        <f>CEILING(C589/$H$3,1)*CEILING($H$2/$H$3,1)/CEILING($H$2/$H$3,1)</f>
        <v>4</v>
      </c>
      <c r="E589" s="28">
        <f>CEILING(C589/$H$3,1)*CEILING($H$2/$H$3,1)/CEILING(C589/$H$3,1)</f>
        <v>1</v>
      </c>
      <c r="F589" s="28">
        <f>$B$5/D589/B589*E589</f>
        <v>1.5069375</v>
      </c>
    </row>
    <row r="590" spans="1:6" x14ac:dyDescent="0.4">
      <c r="A590" s="28">
        <f t="shared" si="19"/>
        <v>874</v>
      </c>
      <c r="B590" s="28">
        <f t="shared" si="18"/>
        <v>0.22371364653243847</v>
      </c>
      <c r="C590" s="28">
        <f>A590+$E$6</f>
        <v>896</v>
      </c>
      <c r="D590" s="28">
        <f>CEILING(C590/$H$3,1)*CEILING($H$2/$H$3,1)/CEILING($H$2/$H$3,1)</f>
        <v>4</v>
      </c>
      <c r="E590" s="28">
        <f>CEILING(C590/$H$3,1)*CEILING($H$2/$H$3,1)/CEILING(C590/$H$3,1)</f>
        <v>1</v>
      </c>
      <c r="F590" s="28">
        <f>$B$5/D590/B590*E590</f>
        <v>1.5086250000000001</v>
      </c>
    </row>
    <row r="591" spans="1:6" x14ac:dyDescent="0.4">
      <c r="A591" s="28">
        <f t="shared" si="19"/>
        <v>875</v>
      </c>
      <c r="B591" s="28">
        <f t="shared" si="18"/>
        <v>0.22346368715083798</v>
      </c>
      <c r="C591" s="28">
        <f>A591+$E$6</f>
        <v>897</v>
      </c>
      <c r="D591" s="28">
        <f>CEILING(C591/$H$3,1)*CEILING($H$2/$H$3,1)/CEILING($H$2/$H$3,1)</f>
        <v>4</v>
      </c>
      <c r="E591" s="28">
        <f>CEILING(C591/$H$3,1)*CEILING($H$2/$H$3,1)/CEILING(C591/$H$3,1)</f>
        <v>1</v>
      </c>
      <c r="F591" s="28">
        <f>$B$5/D591/B591*E591</f>
        <v>1.5103125000000002</v>
      </c>
    </row>
    <row r="592" spans="1:6" x14ac:dyDescent="0.4">
      <c r="A592" s="28">
        <f t="shared" si="19"/>
        <v>876</v>
      </c>
      <c r="B592" s="28">
        <f t="shared" si="18"/>
        <v>0.22321428571428573</v>
      </c>
      <c r="C592" s="28">
        <f>A592+$E$6</f>
        <v>898</v>
      </c>
      <c r="D592" s="28">
        <f>CEILING(C592/$H$3,1)*CEILING($H$2/$H$3,1)/CEILING($H$2/$H$3,1)</f>
        <v>4</v>
      </c>
      <c r="E592" s="28">
        <f>CEILING(C592/$H$3,1)*CEILING($H$2/$H$3,1)/CEILING(C592/$H$3,1)</f>
        <v>1</v>
      </c>
      <c r="F592" s="28">
        <f>$B$5/D592/B592*E592</f>
        <v>1.512</v>
      </c>
    </row>
    <row r="593" spans="1:6" x14ac:dyDescent="0.4">
      <c r="A593" s="28">
        <f t="shared" si="19"/>
        <v>877</v>
      </c>
      <c r="B593" s="28">
        <f t="shared" si="18"/>
        <v>0.2229654403567447</v>
      </c>
      <c r="C593" s="28">
        <f>A593+$E$6</f>
        <v>899</v>
      </c>
      <c r="D593" s="28">
        <f>CEILING(C593/$H$3,1)*CEILING($H$2/$H$3,1)/CEILING($H$2/$H$3,1)</f>
        <v>4</v>
      </c>
      <c r="E593" s="28">
        <f>CEILING(C593/$H$3,1)*CEILING($H$2/$H$3,1)/CEILING(C593/$H$3,1)</f>
        <v>1</v>
      </c>
      <c r="F593" s="28">
        <f>$B$5/D593/B593*E593</f>
        <v>1.5136875000000001</v>
      </c>
    </row>
    <row r="594" spans="1:6" x14ac:dyDescent="0.4">
      <c r="A594" s="28">
        <f t="shared" si="19"/>
        <v>878</v>
      </c>
      <c r="B594" s="28">
        <f t="shared" si="18"/>
        <v>0.22271714922048999</v>
      </c>
      <c r="C594" s="28">
        <f>A594+$E$6</f>
        <v>900</v>
      </c>
      <c r="D594" s="28">
        <f>CEILING(C594/$H$3,1)*CEILING($H$2/$H$3,1)/CEILING($H$2/$H$3,1)</f>
        <v>4</v>
      </c>
      <c r="E594" s="28">
        <f>CEILING(C594/$H$3,1)*CEILING($H$2/$H$3,1)/CEILING(C594/$H$3,1)</f>
        <v>1</v>
      </c>
      <c r="F594" s="28">
        <f>$B$5/D594/B594*E594</f>
        <v>1.5153749999999999</v>
      </c>
    </row>
    <row r="595" spans="1:6" x14ac:dyDescent="0.4">
      <c r="A595" s="28">
        <f t="shared" si="19"/>
        <v>879</v>
      </c>
      <c r="B595" s="28">
        <f t="shared" si="18"/>
        <v>0.22246941045606228</v>
      </c>
      <c r="C595" s="28">
        <f>A595+$E$6</f>
        <v>901</v>
      </c>
      <c r="D595" s="28">
        <f>CEILING(C595/$H$3,1)*CEILING($H$2/$H$3,1)/CEILING($H$2/$H$3,1)</f>
        <v>4</v>
      </c>
      <c r="E595" s="28">
        <f>CEILING(C595/$H$3,1)*CEILING($H$2/$H$3,1)/CEILING(C595/$H$3,1)</f>
        <v>1</v>
      </c>
      <c r="F595" s="28">
        <f>$B$5/D595/B595*E595</f>
        <v>1.5170625000000002</v>
      </c>
    </row>
    <row r="596" spans="1:6" x14ac:dyDescent="0.4">
      <c r="A596" s="28">
        <f t="shared" si="19"/>
        <v>880</v>
      </c>
      <c r="B596" s="28">
        <f t="shared" si="18"/>
        <v>0.22222222222222221</v>
      </c>
      <c r="C596" s="28">
        <f>A596+$E$6</f>
        <v>902</v>
      </c>
      <c r="D596" s="28">
        <f>CEILING(C596/$H$3,1)*CEILING($H$2/$H$3,1)/CEILING($H$2/$H$3,1)</f>
        <v>4</v>
      </c>
      <c r="E596" s="28">
        <f>CEILING(C596/$H$3,1)*CEILING($H$2/$H$3,1)/CEILING(C596/$H$3,1)</f>
        <v>1</v>
      </c>
      <c r="F596" s="28">
        <f>$B$5/D596/B596*E596</f>
        <v>1.5187500000000003</v>
      </c>
    </row>
    <row r="597" spans="1:6" x14ac:dyDescent="0.4">
      <c r="A597" s="28">
        <f t="shared" si="19"/>
        <v>881</v>
      </c>
      <c r="B597" s="28">
        <f t="shared" si="18"/>
        <v>0.22197558268590456</v>
      </c>
      <c r="C597" s="28">
        <f>A597+$E$6</f>
        <v>903</v>
      </c>
      <c r="D597" s="28">
        <f>CEILING(C597/$H$3,1)*CEILING($H$2/$H$3,1)/CEILING($H$2/$H$3,1)</f>
        <v>4</v>
      </c>
      <c r="E597" s="28">
        <f>CEILING(C597/$H$3,1)*CEILING($H$2/$H$3,1)/CEILING(C597/$H$3,1)</f>
        <v>1</v>
      </c>
      <c r="F597" s="28">
        <f>$B$5/D597/B597*E597</f>
        <v>1.5204375000000001</v>
      </c>
    </row>
    <row r="598" spans="1:6" x14ac:dyDescent="0.4">
      <c r="A598" s="28">
        <f t="shared" si="19"/>
        <v>882</v>
      </c>
      <c r="B598" s="28">
        <f t="shared" si="18"/>
        <v>0.22172949002217296</v>
      </c>
      <c r="C598" s="28">
        <f>A598+$E$6</f>
        <v>904</v>
      </c>
      <c r="D598" s="28">
        <f>CEILING(C598/$H$3,1)*CEILING($H$2/$H$3,1)/CEILING($H$2/$H$3,1)</f>
        <v>4</v>
      </c>
      <c r="E598" s="28">
        <f>CEILING(C598/$H$3,1)*CEILING($H$2/$H$3,1)/CEILING(C598/$H$3,1)</f>
        <v>1</v>
      </c>
      <c r="F598" s="28">
        <f>$B$5/D598/B598*E598</f>
        <v>1.522125</v>
      </c>
    </row>
    <row r="599" spans="1:6" x14ac:dyDescent="0.4">
      <c r="A599" s="28">
        <f t="shared" si="19"/>
        <v>883</v>
      </c>
      <c r="B599" s="28">
        <f t="shared" si="18"/>
        <v>0.22148394241417496</v>
      </c>
      <c r="C599" s="28">
        <f>A599+$E$6</f>
        <v>905</v>
      </c>
      <c r="D599" s="28">
        <f>CEILING(C599/$H$3,1)*CEILING($H$2/$H$3,1)/CEILING($H$2/$H$3,1)</f>
        <v>4</v>
      </c>
      <c r="E599" s="28">
        <f>CEILING(C599/$H$3,1)*CEILING($H$2/$H$3,1)/CEILING(C599/$H$3,1)</f>
        <v>1</v>
      </c>
      <c r="F599" s="28">
        <f>$B$5/D599/B599*E599</f>
        <v>1.5238125000000002</v>
      </c>
    </row>
    <row r="600" spans="1:6" x14ac:dyDescent="0.4">
      <c r="A600" s="28">
        <f t="shared" si="19"/>
        <v>884</v>
      </c>
      <c r="B600" s="28">
        <f t="shared" si="18"/>
        <v>0.22123893805309736</v>
      </c>
      <c r="C600" s="28">
        <f>A600+$E$6</f>
        <v>906</v>
      </c>
      <c r="D600" s="28">
        <f>CEILING(C600/$H$3,1)*CEILING($H$2/$H$3,1)/CEILING($H$2/$H$3,1)</f>
        <v>4</v>
      </c>
      <c r="E600" s="28">
        <f>CEILING(C600/$H$3,1)*CEILING($H$2/$H$3,1)/CEILING(C600/$H$3,1)</f>
        <v>1</v>
      </c>
      <c r="F600" s="28">
        <f>$B$5/D600/B600*E600</f>
        <v>1.5255000000000001</v>
      </c>
    </row>
    <row r="601" spans="1:6" x14ac:dyDescent="0.4">
      <c r="A601" s="28">
        <f t="shared" si="19"/>
        <v>885</v>
      </c>
      <c r="B601" s="28">
        <f t="shared" si="18"/>
        <v>0.22099447513812154</v>
      </c>
      <c r="C601" s="28">
        <f>A601+$E$6</f>
        <v>907</v>
      </c>
      <c r="D601" s="28">
        <f>CEILING(C601/$H$3,1)*CEILING($H$2/$H$3,1)/CEILING($H$2/$H$3,1)</f>
        <v>4</v>
      </c>
      <c r="E601" s="28">
        <f>CEILING(C601/$H$3,1)*CEILING($H$2/$H$3,1)/CEILING(C601/$H$3,1)</f>
        <v>1</v>
      </c>
      <c r="F601" s="28">
        <f>$B$5/D601/B601*E601</f>
        <v>1.5271875000000001</v>
      </c>
    </row>
    <row r="602" spans="1:6" x14ac:dyDescent="0.4">
      <c r="A602" s="28">
        <f t="shared" si="19"/>
        <v>886</v>
      </c>
      <c r="B602" s="28">
        <f t="shared" si="18"/>
        <v>0.22075055187637968</v>
      </c>
      <c r="C602" s="28">
        <f>A602+$E$6</f>
        <v>908</v>
      </c>
      <c r="D602" s="28">
        <f>CEILING(C602/$H$3,1)*CEILING($H$2/$H$3,1)/CEILING($H$2/$H$3,1)</f>
        <v>4</v>
      </c>
      <c r="E602" s="28">
        <f>CEILING(C602/$H$3,1)*CEILING($H$2/$H$3,1)/CEILING(C602/$H$3,1)</f>
        <v>1</v>
      </c>
      <c r="F602" s="28">
        <f>$B$5/D602/B602*E602</f>
        <v>1.5288750000000002</v>
      </c>
    </row>
    <row r="603" spans="1:6" x14ac:dyDescent="0.4">
      <c r="A603" s="28">
        <f t="shared" si="19"/>
        <v>887</v>
      </c>
      <c r="B603" s="28">
        <f t="shared" si="18"/>
        <v>0.22050716648291069</v>
      </c>
      <c r="C603" s="28">
        <f>A603+$E$6</f>
        <v>909</v>
      </c>
      <c r="D603" s="28">
        <f>CEILING(C603/$H$3,1)*CEILING($H$2/$H$3,1)/CEILING($H$2/$H$3,1)</f>
        <v>4</v>
      </c>
      <c r="E603" s="28">
        <f>CEILING(C603/$H$3,1)*CEILING($H$2/$H$3,1)/CEILING(C603/$H$3,1)</f>
        <v>1</v>
      </c>
      <c r="F603" s="28">
        <f>$B$5/D603/B603*E603</f>
        <v>1.5305625</v>
      </c>
    </row>
    <row r="604" spans="1:6" x14ac:dyDescent="0.4">
      <c r="A604" s="28">
        <f t="shared" si="19"/>
        <v>888</v>
      </c>
      <c r="B604" s="28">
        <f t="shared" si="18"/>
        <v>0.22026431718061673</v>
      </c>
      <c r="C604" s="28">
        <f>A604+$E$6</f>
        <v>910</v>
      </c>
      <c r="D604" s="28">
        <f>CEILING(C604/$H$3,1)*CEILING($H$2/$H$3,1)/CEILING($H$2/$H$3,1)</f>
        <v>4</v>
      </c>
      <c r="E604" s="28">
        <f>CEILING(C604/$H$3,1)*CEILING($H$2/$H$3,1)/CEILING(C604/$H$3,1)</f>
        <v>1</v>
      </c>
      <c r="F604" s="28">
        <f>$B$5/D604/B604*E604</f>
        <v>1.5322500000000001</v>
      </c>
    </row>
    <row r="605" spans="1:6" x14ac:dyDescent="0.4">
      <c r="A605" s="28">
        <f t="shared" si="19"/>
        <v>889</v>
      </c>
      <c r="B605" s="28">
        <f t="shared" si="18"/>
        <v>0.22002200220022003</v>
      </c>
      <c r="C605" s="28">
        <f>A605+$E$6</f>
        <v>911</v>
      </c>
      <c r="D605" s="28">
        <f>CEILING(C605/$H$3,1)*CEILING($H$2/$H$3,1)/CEILING($H$2/$H$3,1)</f>
        <v>4</v>
      </c>
      <c r="E605" s="28">
        <f>CEILING(C605/$H$3,1)*CEILING($H$2/$H$3,1)/CEILING(C605/$H$3,1)</f>
        <v>1</v>
      </c>
      <c r="F605" s="28">
        <f>$B$5/D605/B605*E605</f>
        <v>1.5339375</v>
      </c>
    </row>
    <row r="606" spans="1:6" x14ac:dyDescent="0.4">
      <c r="A606" s="28">
        <f t="shared" si="19"/>
        <v>890</v>
      </c>
      <c r="B606" s="28">
        <f t="shared" si="18"/>
        <v>0.21978021978021978</v>
      </c>
      <c r="C606" s="28">
        <f>A606+$E$6</f>
        <v>912</v>
      </c>
      <c r="D606" s="28">
        <f>CEILING(C606/$H$3,1)*CEILING($H$2/$H$3,1)/CEILING($H$2/$H$3,1)</f>
        <v>4</v>
      </c>
      <c r="E606" s="28">
        <f>CEILING(C606/$H$3,1)*CEILING($H$2/$H$3,1)/CEILING(C606/$H$3,1)</f>
        <v>1</v>
      </c>
      <c r="F606" s="28">
        <f>$B$5/D606/B606*E606</f>
        <v>1.535625</v>
      </c>
    </row>
    <row r="607" spans="1:6" x14ac:dyDescent="0.4">
      <c r="A607" s="28">
        <f t="shared" si="19"/>
        <v>891</v>
      </c>
      <c r="B607" s="28">
        <f t="shared" si="18"/>
        <v>0.21953896816684962</v>
      </c>
      <c r="C607" s="28">
        <f>A607+$E$6</f>
        <v>913</v>
      </c>
      <c r="D607" s="28">
        <f>CEILING(C607/$H$3,1)*CEILING($H$2/$H$3,1)/CEILING($H$2/$H$3,1)</f>
        <v>4</v>
      </c>
      <c r="E607" s="28">
        <f>CEILING(C607/$H$3,1)*CEILING($H$2/$H$3,1)/CEILING(C607/$H$3,1)</f>
        <v>1</v>
      </c>
      <c r="F607" s="28">
        <f>$B$5/D607/B607*E607</f>
        <v>1.5373125000000001</v>
      </c>
    </row>
    <row r="608" spans="1:6" x14ac:dyDescent="0.4">
      <c r="A608" s="28">
        <f t="shared" si="19"/>
        <v>892</v>
      </c>
      <c r="B608" s="28">
        <f t="shared" si="18"/>
        <v>0.21929824561403508</v>
      </c>
      <c r="C608" s="28">
        <f>A608+$E$6</f>
        <v>914</v>
      </c>
      <c r="D608" s="28">
        <f>CEILING(C608/$H$3,1)*CEILING($H$2/$H$3,1)/CEILING($H$2/$H$3,1)</f>
        <v>4</v>
      </c>
      <c r="E608" s="28">
        <f>CEILING(C608/$H$3,1)*CEILING($H$2/$H$3,1)/CEILING(C608/$H$3,1)</f>
        <v>1</v>
      </c>
      <c r="F608" s="28">
        <f>$B$5/D608/B608*E608</f>
        <v>1.5390000000000001</v>
      </c>
    </row>
    <row r="609" spans="1:6" x14ac:dyDescent="0.4">
      <c r="A609" s="28">
        <f t="shared" si="19"/>
        <v>893</v>
      </c>
      <c r="B609" s="28">
        <f t="shared" si="18"/>
        <v>0.21905805038335158</v>
      </c>
      <c r="C609" s="28">
        <f>A609+$E$6</f>
        <v>915</v>
      </c>
      <c r="D609" s="28">
        <f>CEILING(C609/$H$3,1)*CEILING($H$2/$H$3,1)/CEILING($H$2/$H$3,1)</f>
        <v>4</v>
      </c>
      <c r="E609" s="28">
        <f>CEILING(C609/$H$3,1)*CEILING($H$2/$H$3,1)/CEILING(C609/$H$3,1)</f>
        <v>1</v>
      </c>
      <c r="F609" s="28">
        <f>$B$5/D609/B609*E609</f>
        <v>1.5406875000000002</v>
      </c>
    </row>
    <row r="610" spans="1:6" x14ac:dyDescent="0.4">
      <c r="A610" s="28">
        <f t="shared" si="19"/>
        <v>894</v>
      </c>
      <c r="B610" s="28">
        <f t="shared" si="18"/>
        <v>0.21881838074398249</v>
      </c>
      <c r="C610" s="28">
        <f>A610+$E$6</f>
        <v>916</v>
      </c>
      <c r="D610" s="28">
        <f>CEILING(C610/$H$3,1)*CEILING($H$2/$H$3,1)/CEILING($H$2/$H$3,1)</f>
        <v>4</v>
      </c>
      <c r="E610" s="28">
        <f>CEILING(C610/$H$3,1)*CEILING($H$2/$H$3,1)/CEILING(C610/$H$3,1)</f>
        <v>1</v>
      </c>
      <c r="F610" s="28">
        <f>$B$5/D610/B610*E610</f>
        <v>1.5423750000000001</v>
      </c>
    </row>
    <row r="611" spans="1:6" x14ac:dyDescent="0.4">
      <c r="A611" s="28">
        <f t="shared" si="19"/>
        <v>895</v>
      </c>
      <c r="B611" s="28">
        <f t="shared" si="18"/>
        <v>0.21857923497267759</v>
      </c>
      <c r="C611" s="28">
        <f>A611+$E$6</f>
        <v>917</v>
      </c>
      <c r="D611" s="28">
        <f>CEILING(C611/$H$3,1)*CEILING($H$2/$H$3,1)/CEILING($H$2/$H$3,1)</f>
        <v>4</v>
      </c>
      <c r="E611" s="28">
        <f>CEILING(C611/$H$3,1)*CEILING($H$2/$H$3,1)/CEILING(C611/$H$3,1)</f>
        <v>1</v>
      </c>
      <c r="F611" s="28">
        <f>$B$5/D611/B611*E611</f>
        <v>1.5440625000000001</v>
      </c>
    </row>
    <row r="612" spans="1:6" x14ac:dyDescent="0.4">
      <c r="A612" s="28">
        <f t="shared" si="19"/>
        <v>896</v>
      </c>
      <c r="B612" s="28">
        <f t="shared" si="18"/>
        <v>0.2183406113537118</v>
      </c>
      <c r="C612" s="28">
        <f>A612+$E$6</f>
        <v>918</v>
      </c>
      <c r="D612" s="28">
        <f>CEILING(C612/$H$3,1)*CEILING($H$2/$H$3,1)/CEILING($H$2/$H$3,1)</f>
        <v>4</v>
      </c>
      <c r="E612" s="28">
        <f>CEILING(C612/$H$3,1)*CEILING($H$2/$H$3,1)/CEILING(C612/$H$3,1)</f>
        <v>1</v>
      </c>
      <c r="F612" s="28">
        <f>$B$5/D612/B612*E612</f>
        <v>1.54575</v>
      </c>
    </row>
    <row r="613" spans="1:6" x14ac:dyDescent="0.4">
      <c r="A613" s="28">
        <f t="shared" si="19"/>
        <v>897</v>
      </c>
      <c r="B613" s="28">
        <f t="shared" si="18"/>
        <v>0.21810250817884405</v>
      </c>
      <c r="C613" s="28">
        <f>A613+$E$6</f>
        <v>919</v>
      </c>
      <c r="D613" s="28">
        <f>CEILING(C613/$H$3,1)*CEILING($H$2/$H$3,1)/CEILING($H$2/$H$3,1)</f>
        <v>4</v>
      </c>
      <c r="E613" s="28">
        <f>CEILING(C613/$H$3,1)*CEILING($H$2/$H$3,1)/CEILING(C613/$H$3,1)</f>
        <v>1</v>
      </c>
      <c r="F613" s="28">
        <f>$B$5/D613/B613*E613</f>
        <v>1.5474375000000002</v>
      </c>
    </row>
    <row r="614" spans="1:6" x14ac:dyDescent="0.4">
      <c r="A614" s="28">
        <f t="shared" si="19"/>
        <v>898</v>
      </c>
      <c r="B614" s="28">
        <f t="shared" si="18"/>
        <v>0.2178649237472767</v>
      </c>
      <c r="C614" s="28">
        <f>A614+$E$6</f>
        <v>920</v>
      </c>
      <c r="D614" s="28">
        <f>CEILING(C614/$H$3,1)*CEILING($H$2/$H$3,1)/CEILING($H$2/$H$3,1)</f>
        <v>4</v>
      </c>
      <c r="E614" s="28">
        <f>CEILING(C614/$H$3,1)*CEILING($H$2/$H$3,1)/CEILING(C614/$H$3,1)</f>
        <v>1</v>
      </c>
      <c r="F614" s="28">
        <f>$B$5/D614/B614*E614</f>
        <v>1.5491250000000001</v>
      </c>
    </row>
    <row r="615" spans="1:6" x14ac:dyDescent="0.4">
      <c r="A615" s="28">
        <f t="shared" si="19"/>
        <v>899</v>
      </c>
      <c r="B615" s="28">
        <f t="shared" si="18"/>
        <v>0.2176278563656148</v>
      </c>
      <c r="C615" s="28">
        <f>A615+$E$6</f>
        <v>921</v>
      </c>
      <c r="D615" s="28">
        <f>CEILING(C615/$H$3,1)*CEILING($H$2/$H$3,1)/CEILING($H$2/$H$3,1)</f>
        <v>4</v>
      </c>
      <c r="E615" s="28">
        <f>CEILING(C615/$H$3,1)*CEILING($H$2/$H$3,1)/CEILING(C615/$H$3,1)</f>
        <v>1</v>
      </c>
      <c r="F615" s="28">
        <f>$B$5/D615/B615*E615</f>
        <v>1.5508125000000001</v>
      </c>
    </row>
    <row r="616" spans="1:6" x14ac:dyDescent="0.4">
      <c r="A616" s="28">
        <f t="shared" si="19"/>
        <v>900</v>
      </c>
      <c r="B616" s="28">
        <f t="shared" si="18"/>
        <v>0.21739130434782608</v>
      </c>
      <c r="C616" s="28">
        <f>A616+$E$6</f>
        <v>922</v>
      </c>
      <c r="D616" s="28">
        <f>CEILING(C616/$H$3,1)*CEILING($H$2/$H$3,1)/CEILING($H$2/$H$3,1)</f>
        <v>4</v>
      </c>
      <c r="E616" s="28">
        <f>CEILING(C616/$H$3,1)*CEILING($H$2/$H$3,1)/CEILING(C616/$H$3,1)</f>
        <v>1</v>
      </c>
      <c r="F616" s="28">
        <f>$B$5/D616/B616*E616</f>
        <v>1.5525000000000002</v>
      </c>
    </row>
    <row r="617" spans="1:6" x14ac:dyDescent="0.4">
      <c r="A617" s="28">
        <f t="shared" si="19"/>
        <v>901</v>
      </c>
      <c r="B617" s="28">
        <f t="shared" si="18"/>
        <v>0.21715526601520088</v>
      </c>
      <c r="C617" s="28">
        <f>A617+$E$6</f>
        <v>923</v>
      </c>
      <c r="D617" s="28">
        <f>CEILING(C617/$H$3,1)*CEILING($H$2/$H$3,1)/CEILING($H$2/$H$3,1)</f>
        <v>4</v>
      </c>
      <c r="E617" s="28">
        <f>CEILING(C617/$H$3,1)*CEILING($H$2/$H$3,1)/CEILING(C617/$H$3,1)</f>
        <v>1</v>
      </c>
      <c r="F617" s="28">
        <f>$B$5/D617/B617*E617</f>
        <v>1.5541875000000001</v>
      </c>
    </row>
    <row r="618" spans="1:6" x14ac:dyDescent="0.4">
      <c r="A618" s="28">
        <f t="shared" si="19"/>
        <v>902</v>
      </c>
      <c r="B618" s="28">
        <f t="shared" si="18"/>
        <v>0.21691973969631237</v>
      </c>
      <c r="C618" s="28">
        <f>A618+$E$6</f>
        <v>924</v>
      </c>
      <c r="D618" s="28">
        <f>CEILING(C618/$H$3,1)*CEILING($H$2/$H$3,1)/CEILING($H$2/$H$3,1)</f>
        <v>4</v>
      </c>
      <c r="E618" s="28">
        <f>CEILING(C618/$H$3,1)*CEILING($H$2/$H$3,1)/CEILING(C618/$H$3,1)</f>
        <v>1</v>
      </c>
      <c r="F618" s="28">
        <f>$B$5/D618/B618*E618</f>
        <v>1.5558750000000001</v>
      </c>
    </row>
    <row r="619" spans="1:6" x14ac:dyDescent="0.4">
      <c r="A619" s="28">
        <f t="shared" si="19"/>
        <v>903</v>
      </c>
      <c r="B619" s="28">
        <f t="shared" si="18"/>
        <v>0.21668472372697725</v>
      </c>
      <c r="C619" s="28">
        <f>A619+$E$6</f>
        <v>925</v>
      </c>
      <c r="D619" s="28">
        <f>CEILING(C619/$H$3,1)*CEILING($H$2/$H$3,1)/CEILING($H$2/$H$3,1)</f>
        <v>4</v>
      </c>
      <c r="E619" s="28">
        <f>CEILING(C619/$H$3,1)*CEILING($H$2/$H$3,1)/CEILING(C619/$H$3,1)</f>
        <v>1</v>
      </c>
      <c r="F619" s="28">
        <f>$B$5/D619/B619*E619</f>
        <v>1.5575625000000002</v>
      </c>
    </row>
    <row r="620" spans="1:6" x14ac:dyDescent="0.4">
      <c r="A620" s="28">
        <f t="shared" si="19"/>
        <v>904</v>
      </c>
      <c r="B620" s="28">
        <f t="shared" si="18"/>
        <v>0.21645021645021645</v>
      </c>
      <c r="C620" s="28">
        <f>A620+$E$6</f>
        <v>926</v>
      </c>
      <c r="D620" s="28">
        <f>CEILING(C620/$H$3,1)*CEILING($H$2/$H$3,1)/CEILING($H$2/$H$3,1)</f>
        <v>4</v>
      </c>
      <c r="E620" s="28">
        <f>CEILING(C620/$H$3,1)*CEILING($H$2/$H$3,1)/CEILING(C620/$H$3,1)</f>
        <v>1</v>
      </c>
      <c r="F620" s="28">
        <f>$B$5/D620/B620*E620</f>
        <v>1.55925</v>
      </c>
    </row>
    <row r="621" spans="1:6" x14ac:dyDescent="0.4">
      <c r="A621" s="28">
        <f t="shared" si="19"/>
        <v>905</v>
      </c>
      <c r="B621" s="28">
        <f t="shared" si="18"/>
        <v>0.21621621621621623</v>
      </c>
      <c r="C621" s="28">
        <f>A621+$E$6</f>
        <v>927</v>
      </c>
      <c r="D621" s="28">
        <f>CEILING(C621/$H$3,1)*CEILING($H$2/$H$3,1)/CEILING($H$2/$H$3,1)</f>
        <v>4</v>
      </c>
      <c r="E621" s="28">
        <f>CEILING(C621/$H$3,1)*CEILING($H$2/$H$3,1)/CEILING(C621/$H$3,1)</f>
        <v>1</v>
      </c>
      <c r="F621" s="28">
        <f>$B$5/D621/B621*E621</f>
        <v>1.5609375000000001</v>
      </c>
    </row>
    <row r="622" spans="1:6" x14ac:dyDescent="0.4">
      <c r="A622" s="28">
        <f t="shared" si="19"/>
        <v>906</v>
      </c>
      <c r="B622" s="28">
        <f t="shared" si="18"/>
        <v>0.21598272138228941</v>
      </c>
      <c r="C622" s="28">
        <f>A622+$E$6</f>
        <v>928</v>
      </c>
      <c r="D622" s="28">
        <f>CEILING(C622/$H$3,1)*CEILING($H$2/$H$3,1)/CEILING($H$2/$H$3,1)</f>
        <v>4</v>
      </c>
      <c r="E622" s="28">
        <f>CEILING(C622/$H$3,1)*CEILING($H$2/$H$3,1)/CEILING(C622/$H$3,1)</f>
        <v>1</v>
      </c>
      <c r="F622" s="28">
        <f>$B$5/D622/B622*E622</f>
        <v>1.5626250000000002</v>
      </c>
    </row>
    <row r="623" spans="1:6" x14ac:dyDescent="0.4">
      <c r="A623" s="28">
        <f t="shared" si="19"/>
        <v>907</v>
      </c>
      <c r="B623" s="28">
        <f t="shared" si="18"/>
        <v>0.21574973031283712</v>
      </c>
      <c r="C623" s="28">
        <f>A623+$E$6</f>
        <v>929</v>
      </c>
      <c r="D623" s="28">
        <f>CEILING(C623/$H$3,1)*CEILING($H$2/$H$3,1)/CEILING($H$2/$H$3,1)</f>
        <v>4</v>
      </c>
      <c r="E623" s="28">
        <f>CEILING(C623/$H$3,1)*CEILING($H$2/$H$3,1)/CEILING(C623/$H$3,1)</f>
        <v>1</v>
      </c>
      <c r="F623" s="28">
        <f>$B$5/D623/B623*E623</f>
        <v>1.5643125</v>
      </c>
    </row>
    <row r="624" spans="1:6" x14ac:dyDescent="0.4">
      <c r="A624" s="28">
        <f t="shared" si="19"/>
        <v>908</v>
      </c>
      <c r="B624" s="28">
        <f t="shared" si="18"/>
        <v>0.21551724137931033</v>
      </c>
      <c r="C624" s="28">
        <f>A624+$E$6</f>
        <v>930</v>
      </c>
      <c r="D624" s="28">
        <f>CEILING(C624/$H$3,1)*CEILING($H$2/$H$3,1)/CEILING($H$2/$H$3,1)</f>
        <v>4</v>
      </c>
      <c r="E624" s="28">
        <f>CEILING(C624/$H$3,1)*CEILING($H$2/$H$3,1)/CEILING(C624/$H$3,1)</f>
        <v>1</v>
      </c>
      <c r="F624" s="28">
        <f>$B$5/D624/B624*E624</f>
        <v>1.5660000000000003</v>
      </c>
    </row>
    <row r="625" spans="1:6" x14ac:dyDescent="0.4">
      <c r="A625" s="28">
        <f t="shared" si="19"/>
        <v>909</v>
      </c>
      <c r="B625" s="28">
        <f t="shared" si="18"/>
        <v>0.21528525296017223</v>
      </c>
      <c r="C625" s="28">
        <f>A625+$E$6</f>
        <v>931</v>
      </c>
      <c r="D625" s="28">
        <f>CEILING(C625/$H$3,1)*CEILING($H$2/$H$3,1)/CEILING($H$2/$H$3,1)</f>
        <v>4</v>
      </c>
      <c r="E625" s="28">
        <f>CEILING(C625/$H$3,1)*CEILING($H$2/$H$3,1)/CEILING(C625/$H$3,1)</f>
        <v>1</v>
      </c>
      <c r="F625" s="28">
        <f>$B$5/D625/B625*E625</f>
        <v>1.5676875000000001</v>
      </c>
    </row>
    <row r="626" spans="1:6" x14ac:dyDescent="0.4">
      <c r="A626" s="28">
        <f t="shared" si="19"/>
        <v>910</v>
      </c>
      <c r="B626" s="28">
        <f t="shared" si="18"/>
        <v>0.21505376344086022</v>
      </c>
      <c r="C626" s="28">
        <f>A626+$E$6</f>
        <v>932</v>
      </c>
      <c r="D626" s="28">
        <f>CEILING(C626/$H$3,1)*CEILING($H$2/$H$3,1)/CEILING($H$2/$H$3,1)</f>
        <v>4</v>
      </c>
      <c r="E626" s="28">
        <f>CEILING(C626/$H$3,1)*CEILING($H$2/$H$3,1)/CEILING(C626/$H$3,1)</f>
        <v>1</v>
      </c>
      <c r="F626" s="28">
        <f>$B$5/D626/B626*E626</f>
        <v>1.5693750000000002</v>
      </c>
    </row>
    <row r="627" spans="1:6" x14ac:dyDescent="0.4">
      <c r="A627" s="28">
        <f t="shared" si="19"/>
        <v>911</v>
      </c>
      <c r="B627" s="28">
        <f t="shared" si="18"/>
        <v>0.21482277121374865</v>
      </c>
      <c r="C627" s="28">
        <f>A627+$E$6</f>
        <v>933</v>
      </c>
      <c r="D627" s="28">
        <f>CEILING(C627/$H$3,1)*CEILING($H$2/$H$3,1)/CEILING($H$2/$H$3,1)</f>
        <v>4</v>
      </c>
      <c r="E627" s="28">
        <f>CEILING(C627/$H$3,1)*CEILING($H$2/$H$3,1)/CEILING(C627/$H$3,1)</f>
        <v>1</v>
      </c>
      <c r="F627" s="28">
        <f>$B$5/D627/B627*E627</f>
        <v>1.5710625</v>
      </c>
    </row>
    <row r="628" spans="1:6" x14ac:dyDescent="0.4">
      <c r="A628" s="28">
        <f t="shared" si="19"/>
        <v>912</v>
      </c>
      <c r="B628" s="28">
        <f t="shared" si="18"/>
        <v>0.21459227467811159</v>
      </c>
      <c r="C628" s="28">
        <f>A628+$E$6</f>
        <v>934</v>
      </c>
      <c r="D628" s="28">
        <f>CEILING(C628/$H$3,1)*CEILING($H$2/$H$3,1)/CEILING($H$2/$H$3,1)</f>
        <v>4</v>
      </c>
      <c r="E628" s="28">
        <f>CEILING(C628/$H$3,1)*CEILING($H$2/$H$3,1)/CEILING(C628/$H$3,1)</f>
        <v>1</v>
      </c>
      <c r="F628" s="28">
        <f>$B$5/D628/B628*E628</f>
        <v>1.5727500000000001</v>
      </c>
    </row>
    <row r="629" spans="1:6" x14ac:dyDescent="0.4">
      <c r="A629" s="28">
        <f t="shared" si="19"/>
        <v>913</v>
      </c>
      <c r="B629" s="28">
        <f t="shared" si="18"/>
        <v>0.21436227224008575</v>
      </c>
      <c r="C629" s="28">
        <f>A629+$E$6</f>
        <v>935</v>
      </c>
      <c r="D629" s="28">
        <f>CEILING(C629/$H$3,1)*CEILING($H$2/$H$3,1)/CEILING($H$2/$H$3,1)</f>
        <v>4</v>
      </c>
      <c r="E629" s="28">
        <f>CEILING(C629/$H$3,1)*CEILING($H$2/$H$3,1)/CEILING(C629/$H$3,1)</f>
        <v>1</v>
      </c>
      <c r="F629" s="28">
        <f>$B$5/D629/B629*E629</f>
        <v>1.5744375000000002</v>
      </c>
    </row>
    <row r="630" spans="1:6" x14ac:dyDescent="0.4">
      <c r="A630" s="28">
        <f t="shared" si="19"/>
        <v>914</v>
      </c>
      <c r="B630" s="28">
        <f t="shared" si="18"/>
        <v>0.21413276231263384</v>
      </c>
      <c r="C630" s="28">
        <f>A630+$E$6</f>
        <v>936</v>
      </c>
      <c r="D630" s="28">
        <f>CEILING(C630/$H$3,1)*CEILING($H$2/$H$3,1)/CEILING($H$2/$H$3,1)</f>
        <v>4</v>
      </c>
      <c r="E630" s="28">
        <f>CEILING(C630/$H$3,1)*CEILING($H$2/$H$3,1)/CEILING(C630/$H$3,1)</f>
        <v>1</v>
      </c>
      <c r="F630" s="28">
        <f>$B$5/D630/B630*E630</f>
        <v>1.576125</v>
      </c>
    </row>
    <row r="631" spans="1:6" x14ac:dyDescent="0.4">
      <c r="A631" s="28">
        <f t="shared" si="19"/>
        <v>915</v>
      </c>
      <c r="B631" s="28">
        <f t="shared" si="18"/>
        <v>0.21390374331550802</v>
      </c>
      <c r="C631" s="28">
        <f>A631+$E$6</f>
        <v>937</v>
      </c>
      <c r="D631" s="28">
        <f>CEILING(C631/$H$3,1)*CEILING($H$2/$H$3,1)/CEILING($H$2/$H$3,1)</f>
        <v>4</v>
      </c>
      <c r="E631" s="28">
        <f>CEILING(C631/$H$3,1)*CEILING($H$2/$H$3,1)/CEILING(C631/$H$3,1)</f>
        <v>1</v>
      </c>
      <c r="F631" s="28">
        <f>$B$5/D631/B631*E631</f>
        <v>1.5778125000000001</v>
      </c>
    </row>
    <row r="632" spans="1:6" x14ac:dyDescent="0.4">
      <c r="A632" s="28">
        <f t="shared" si="19"/>
        <v>916</v>
      </c>
      <c r="B632" s="28">
        <f t="shared" si="18"/>
        <v>0.21367521367521367</v>
      </c>
      <c r="C632" s="28">
        <f>A632+$E$6</f>
        <v>938</v>
      </c>
      <c r="D632" s="28">
        <f>CEILING(C632/$H$3,1)*CEILING($H$2/$H$3,1)/CEILING($H$2/$H$3,1)</f>
        <v>4</v>
      </c>
      <c r="E632" s="28">
        <f>CEILING(C632/$H$3,1)*CEILING($H$2/$H$3,1)/CEILING(C632/$H$3,1)</f>
        <v>1</v>
      </c>
      <c r="F632" s="28">
        <f>$B$5/D632/B632*E632</f>
        <v>1.5795000000000001</v>
      </c>
    </row>
    <row r="633" spans="1:6" x14ac:dyDescent="0.4">
      <c r="A633" s="28">
        <f t="shared" si="19"/>
        <v>917</v>
      </c>
      <c r="B633" s="28">
        <f t="shared" si="18"/>
        <v>0.21344717182497333</v>
      </c>
      <c r="C633" s="28">
        <f>A633+$E$6</f>
        <v>939</v>
      </c>
      <c r="D633" s="28">
        <f>CEILING(C633/$H$3,1)*CEILING($H$2/$H$3,1)/CEILING($H$2/$H$3,1)</f>
        <v>4</v>
      </c>
      <c r="E633" s="28">
        <f>CEILING(C633/$H$3,1)*CEILING($H$2/$H$3,1)/CEILING(C633/$H$3,1)</f>
        <v>1</v>
      </c>
      <c r="F633" s="28">
        <f>$B$5/D633/B633*E633</f>
        <v>1.5811875</v>
      </c>
    </row>
    <row r="634" spans="1:6" x14ac:dyDescent="0.4">
      <c r="A634" s="28">
        <f t="shared" si="19"/>
        <v>918</v>
      </c>
      <c r="B634" s="28">
        <f t="shared" si="18"/>
        <v>0.21321961620469082</v>
      </c>
      <c r="C634" s="28">
        <f>A634+$E$6</f>
        <v>940</v>
      </c>
      <c r="D634" s="28">
        <f>CEILING(C634/$H$3,1)*CEILING($H$2/$H$3,1)/CEILING($H$2/$H$3,1)</f>
        <v>4</v>
      </c>
      <c r="E634" s="28">
        <f>CEILING(C634/$H$3,1)*CEILING($H$2/$H$3,1)/CEILING(C634/$H$3,1)</f>
        <v>1</v>
      </c>
      <c r="F634" s="28">
        <f>$B$5/D634/B634*E634</f>
        <v>1.5828750000000003</v>
      </c>
    </row>
    <row r="635" spans="1:6" x14ac:dyDescent="0.4">
      <c r="A635" s="28">
        <f t="shared" si="19"/>
        <v>919</v>
      </c>
      <c r="B635" s="28">
        <f t="shared" si="18"/>
        <v>0.21299254526091588</v>
      </c>
      <c r="C635" s="28">
        <f>A635+$E$6</f>
        <v>941</v>
      </c>
      <c r="D635" s="28">
        <f>CEILING(C635/$H$3,1)*CEILING($H$2/$H$3,1)/CEILING($H$2/$H$3,1)</f>
        <v>4</v>
      </c>
      <c r="E635" s="28">
        <f>CEILING(C635/$H$3,1)*CEILING($H$2/$H$3,1)/CEILING(C635/$H$3,1)</f>
        <v>1</v>
      </c>
      <c r="F635" s="28">
        <f>$B$5/D635/B635*E635</f>
        <v>1.5845625000000001</v>
      </c>
    </row>
    <row r="636" spans="1:6" x14ac:dyDescent="0.4">
      <c r="A636" s="28">
        <f t="shared" si="19"/>
        <v>920</v>
      </c>
      <c r="B636" s="28">
        <f t="shared" si="18"/>
        <v>0.21276595744680851</v>
      </c>
      <c r="C636" s="28">
        <f>A636+$E$6</f>
        <v>942</v>
      </c>
      <c r="D636" s="28">
        <f>CEILING(C636/$H$3,1)*CEILING($H$2/$H$3,1)/CEILING($H$2/$H$3,1)</f>
        <v>4</v>
      </c>
      <c r="E636" s="28">
        <f>CEILING(C636/$H$3,1)*CEILING($H$2/$H$3,1)/CEILING(C636/$H$3,1)</f>
        <v>1</v>
      </c>
      <c r="F636" s="28">
        <f>$B$5/D636/B636*E636</f>
        <v>1.5862500000000002</v>
      </c>
    </row>
    <row r="637" spans="1:6" x14ac:dyDescent="0.4">
      <c r="A637" s="28">
        <f t="shared" si="19"/>
        <v>921</v>
      </c>
      <c r="B637" s="28">
        <f t="shared" si="18"/>
        <v>0.21253985122210414</v>
      </c>
      <c r="C637" s="28">
        <f>A637+$E$6</f>
        <v>943</v>
      </c>
      <c r="D637" s="28">
        <f>CEILING(C637/$H$3,1)*CEILING($H$2/$H$3,1)/CEILING($H$2/$H$3,1)</f>
        <v>4</v>
      </c>
      <c r="E637" s="28">
        <f>CEILING(C637/$H$3,1)*CEILING($H$2/$H$3,1)/CEILING(C637/$H$3,1)</f>
        <v>1</v>
      </c>
      <c r="F637" s="28">
        <f>$B$5/D637/B637*E637</f>
        <v>1.5879375000000002</v>
      </c>
    </row>
    <row r="638" spans="1:6" x14ac:dyDescent="0.4">
      <c r="A638" s="28">
        <f t="shared" si="19"/>
        <v>922</v>
      </c>
      <c r="B638" s="28">
        <f t="shared" si="18"/>
        <v>0.21231422505307856</v>
      </c>
      <c r="C638" s="28">
        <f>A638+$E$6</f>
        <v>944</v>
      </c>
      <c r="D638" s="28">
        <f>CEILING(C638/$H$3,1)*CEILING($H$2/$H$3,1)/CEILING($H$2/$H$3,1)</f>
        <v>4</v>
      </c>
      <c r="E638" s="28">
        <f>CEILING(C638/$H$3,1)*CEILING($H$2/$H$3,1)/CEILING(C638/$H$3,1)</f>
        <v>1</v>
      </c>
      <c r="F638" s="28">
        <f>$B$5/D638/B638*E638</f>
        <v>1.5896250000000001</v>
      </c>
    </row>
    <row r="639" spans="1:6" x14ac:dyDescent="0.4">
      <c r="A639" s="28">
        <f t="shared" si="19"/>
        <v>923</v>
      </c>
      <c r="B639" s="28">
        <f t="shared" si="18"/>
        <v>0.21208907741251326</v>
      </c>
      <c r="C639" s="28">
        <f>A639+$E$6</f>
        <v>945</v>
      </c>
      <c r="D639" s="28">
        <f>CEILING(C639/$H$3,1)*CEILING($H$2/$H$3,1)/CEILING($H$2/$H$3,1)</f>
        <v>4</v>
      </c>
      <c r="E639" s="28">
        <f>CEILING(C639/$H$3,1)*CEILING($H$2/$H$3,1)/CEILING(C639/$H$3,1)</f>
        <v>1</v>
      </c>
      <c r="F639" s="28">
        <f>$B$5/D639/B639*E639</f>
        <v>1.5913125000000001</v>
      </c>
    </row>
    <row r="640" spans="1:6" x14ac:dyDescent="0.4">
      <c r="A640" s="28">
        <f t="shared" si="19"/>
        <v>924</v>
      </c>
      <c r="B640" s="28">
        <f t="shared" si="18"/>
        <v>0.21186440677966101</v>
      </c>
      <c r="C640" s="28">
        <f>A640+$E$6</f>
        <v>946</v>
      </c>
      <c r="D640" s="28">
        <f>CEILING(C640/$H$3,1)*CEILING($H$2/$H$3,1)/CEILING($H$2/$H$3,1)</f>
        <v>4</v>
      </c>
      <c r="E640" s="28">
        <f>CEILING(C640/$H$3,1)*CEILING($H$2/$H$3,1)/CEILING(C640/$H$3,1)</f>
        <v>1</v>
      </c>
      <c r="F640" s="28">
        <f>$B$5/D640/B640*E640</f>
        <v>1.5930000000000002</v>
      </c>
    </row>
    <row r="641" spans="1:6" x14ac:dyDescent="0.4">
      <c r="A641" s="28">
        <f t="shared" si="19"/>
        <v>925</v>
      </c>
      <c r="B641" s="28">
        <f t="shared" si="18"/>
        <v>0.21164021164021163</v>
      </c>
      <c r="C641" s="28">
        <f>A641+$E$6</f>
        <v>947</v>
      </c>
      <c r="D641" s="28">
        <f>CEILING(C641/$H$3,1)*CEILING($H$2/$H$3,1)/CEILING($H$2/$H$3,1)</f>
        <v>4</v>
      </c>
      <c r="E641" s="28">
        <f>CEILING(C641/$H$3,1)*CEILING($H$2/$H$3,1)/CEILING(C641/$H$3,1)</f>
        <v>1</v>
      </c>
      <c r="F641" s="28">
        <f>$B$5/D641/B641*E641</f>
        <v>1.5946875000000003</v>
      </c>
    </row>
    <row r="642" spans="1:6" x14ac:dyDescent="0.4">
      <c r="A642" s="28">
        <f t="shared" si="19"/>
        <v>926</v>
      </c>
      <c r="B642" s="28">
        <f t="shared" si="18"/>
        <v>0.21141649048625794</v>
      </c>
      <c r="C642" s="28">
        <f>A642+$E$6</f>
        <v>948</v>
      </c>
      <c r="D642" s="28">
        <f>CEILING(C642/$H$3,1)*CEILING($H$2/$H$3,1)/CEILING($H$2/$H$3,1)</f>
        <v>4</v>
      </c>
      <c r="E642" s="28">
        <f>CEILING(C642/$H$3,1)*CEILING($H$2/$H$3,1)/CEILING(C642/$H$3,1)</f>
        <v>1</v>
      </c>
      <c r="F642" s="28">
        <f>$B$5/D642/B642*E642</f>
        <v>1.5963750000000001</v>
      </c>
    </row>
    <row r="643" spans="1:6" x14ac:dyDescent="0.4">
      <c r="A643" s="28">
        <f t="shared" si="19"/>
        <v>927</v>
      </c>
      <c r="B643" s="28">
        <f t="shared" si="18"/>
        <v>0.21119324181626187</v>
      </c>
      <c r="C643" s="28">
        <f>A643+$E$6</f>
        <v>949</v>
      </c>
      <c r="D643" s="28">
        <f>CEILING(C643/$H$3,1)*CEILING($H$2/$H$3,1)/CEILING($H$2/$H$3,1)</f>
        <v>4</v>
      </c>
      <c r="E643" s="28">
        <f>CEILING(C643/$H$3,1)*CEILING($H$2/$H$3,1)/CEILING(C643/$H$3,1)</f>
        <v>1</v>
      </c>
      <c r="F643" s="28">
        <f>$B$5/D643/B643*E643</f>
        <v>1.5980625000000002</v>
      </c>
    </row>
    <row r="644" spans="1:6" x14ac:dyDescent="0.4">
      <c r="A644" s="28">
        <f t="shared" si="19"/>
        <v>928</v>
      </c>
      <c r="B644" s="28">
        <f t="shared" si="18"/>
        <v>0.2109704641350211</v>
      </c>
      <c r="C644" s="28">
        <f>A644+$E$6</f>
        <v>950</v>
      </c>
      <c r="D644" s="28">
        <f>CEILING(C644/$H$3,1)*CEILING($H$2/$H$3,1)/CEILING($H$2/$H$3,1)</f>
        <v>4</v>
      </c>
      <c r="E644" s="28">
        <f>CEILING(C644/$H$3,1)*CEILING($H$2/$H$3,1)/CEILING(C644/$H$3,1)</f>
        <v>1</v>
      </c>
      <c r="F644" s="28">
        <f>$B$5/D644/B644*E644</f>
        <v>1.59975</v>
      </c>
    </row>
    <row r="645" spans="1:6" x14ac:dyDescent="0.4">
      <c r="A645" s="28">
        <f t="shared" si="19"/>
        <v>929</v>
      </c>
      <c r="B645" s="28">
        <f t="shared" si="18"/>
        <v>0.21074815595363541</v>
      </c>
      <c r="C645" s="28">
        <f>A645+$E$6</f>
        <v>951</v>
      </c>
      <c r="D645" s="28">
        <f>CEILING(C645/$H$3,1)*CEILING($H$2/$H$3,1)/CEILING($H$2/$H$3,1)</f>
        <v>4</v>
      </c>
      <c r="E645" s="28">
        <f>CEILING(C645/$H$3,1)*CEILING($H$2/$H$3,1)/CEILING(C645/$H$3,1)</f>
        <v>1</v>
      </c>
      <c r="F645" s="28">
        <f>$B$5/D645/B645*E645</f>
        <v>1.6014375000000001</v>
      </c>
    </row>
    <row r="646" spans="1:6" x14ac:dyDescent="0.4">
      <c r="A646" s="28">
        <f t="shared" si="19"/>
        <v>930</v>
      </c>
      <c r="B646" s="28">
        <f t="shared" si="18"/>
        <v>0.21052631578947367</v>
      </c>
      <c r="C646" s="28">
        <f>A646+$E$6</f>
        <v>952</v>
      </c>
      <c r="D646" s="28">
        <f>CEILING(C646/$H$3,1)*CEILING($H$2/$H$3,1)/CEILING($H$2/$H$3,1)</f>
        <v>4</v>
      </c>
      <c r="E646" s="28">
        <f>CEILING(C646/$H$3,1)*CEILING($H$2/$H$3,1)/CEILING(C646/$H$3,1)</f>
        <v>1</v>
      </c>
      <c r="F646" s="28">
        <f>$B$5/D646/B646*E646</f>
        <v>1.6031250000000001</v>
      </c>
    </row>
    <row r="647" spans="1:6" x14ac:dyDescent="0.4">
      <c r="A647" s="28">
        <f t="shared" si="19"/>
        <v>931</v>
      </c>
      <c r="B647" s="28">
        <f t="shared" si="18"/>
        <v>0.2103049421661409</v>
      </c>
      <c r="C647" s="28">
        <f>A647+$E$6</f>
        <v>953</v>
      </c>
      <c r="D647" s="28">
        <f>CEILING(C647/$H$3,1)*CEILING($H$2/$H$3,1)/CEILING($H$2/$H$3,1)</f>
        <v>4</v>
      </c>
      <c r="E647" s="28">
        <f>CEILING(C647/$H$3,1)*CEILING($H$2/$H$3,1)/CEILING(C647/$H$3,1)</f>
        <v>1</v>
      </c>
      <c r="F647" s="28">
        <f>$B$5/D647/B647*E647</f>
        <v>1.6048125000000002</v>
      </c>
    </row>
    <row r="648" spans="1:6" x14ac:dyDescent="0.4">
      <c r="A648" s="28">
        <f t="shared" si="19"/>
        <v>932</v>
      </c>
      <c r="B648" s="28">
        <f t="shared" si="18"/>
        <v>0.21008403361344538</v>
      </c>
      <c r="C648" s="28">
        <f>A648+$E$6</f>
        <v>954</v>
      </c>
      <c r="D648" s="28">
        <f>CEILING(C648/$H$3,1)*CEILING($H$2/$H$3,1)/CEILING($H$2/$H$3,1)</f>
        <v>4</v>
      </c>
      <c r="E648" s="28">
        <f>CEILING(C648/$H$3,1)*CEILING($H$2/$H$3,1)/CEILING(C648/$H$3,1)</f>
        <v>1</v>
      </c>
      <c r="F648" s="28">
        <f>$B$5/D648/B648*E648</f>
        <v>1.6065</v>
      </c>
    </row>
    <row r="649" spans="1:6" x14ac:dyDescent="0.4">
      <c r="A649" s="28">
        <f t="shared" si="19"/>
        <v>933</v>
      </c>
      <c r="B649" s="28">
        <f t="shared" si="18"/>
        <v>0.20986358866736621</v>
      </c>
      <c r="C649" s="28">
        <f>A649+$E$6</f>
        <v>955</v>
      </c>
      <c r="D649" s="28">
        <f>CEILING(C649/$H$3,1)*CEILING($H$2/$H$3,1)/CEILING($H$2/$H$3,1)</f>
        <v>4</v>
      </c>
      <c r="E649" s="28">
        <f>CEILING(C649/$H$3,1)*CEILING($H$2/$H$3,1)/CEILING(C649/$H$3,1)</f>
        <v>1</v>
      </c>
      <c r="F649" s="28">
        <f>$B$5/D649/B649*E649</f>
        <v>1.6081875000000001</v>
      </c>
    </row>
    <row r="650" spans="1:6" x14ac:dyDescent="0.4">
      <c r="A650" s="28">
        <f t="shared" si="19"/>
        <v>934</v>
      </c>
      <c r="B650" s="28">
        <f t="shared" si="18"/>
        <v>0.20964360587002095</v>
      </c>
      <c r="C650" s="28">
        <f>A650+$E$6</f>
        <v>956</v>
      </c>
      <c r="D650" s="28">
        <f>CEILING(C650/$H$3,1)*CEILING($H$2/$H$3,1)/CEILING($H$2/$H$3,1)</f>
        <v>4</v>
      </c>
      <c r="E650" s="28">
        <f>CEILING(C650/$H$3,1)*CEILING($H$2/$H$3,1)/CEILING(C650/$H$3,1)</f>
        <v>1</v>
      </c>
      <c r="F650" s="28">
        <f>$B$5/D650/B650*E650</f>
        <v>1.6098750000000002</v>
      </c>
    </row>
    <row r="651" spans="1:6" x14ac:dyDescent="0.4">
      <c r="A651" s="28">
        <f t="shared" si="19"/>
        <v>935</v>
      </c>
      <c r="B651" s="28">
        <f t="shared" ref="B651:B714" si="20">$B$4/8/(A651+$B$2)</f>
        <v>0.20942408376963351</v>
      </c>
      <c r="C651" s="28">
        <f>A651+$E$6</f>
        <v>957</v>
      </c>
      <c r="D651" s="28">
        <f>CEILING(C651/$H$3,1)*CEILING($H$2/$H$3,1)/CEILING($H$2/$H$3,1)</f>
        <v>4</v>
      </c>
      <c r="E651" s="28">
        <f>CEILING(C651/$H$3,1)*CEILING($H$2/$H$3,1)/CEILING(C651/$H$3,1)</f>
        <v>1</v>
      </c>
      <c r="F651" s="28">
        <f>$B$5/D651/B651*E651</f>
        <v>1.6115625</v>
      </c>
    </row>
    <row r="652" spans="1:6" x14ac:dyDescent="0.4">
      <c r="A652" s="28">
        <f t="shared" si="19"/>
        <v>936</v>
      </c>
      <c r="B652" s="28">
        <f t="shared" si="20"/>
        <v>0.20920502092050208</v>
      </c>
      <c r="C652" s="28">
        <f>A652+$E$6</f>
        <v>958</v>
      </c>
      <c r="D652" s="28">
        <f>CEILING(C652/$H$3,1)*CEILING($H$2/$H$3,1)/CEILING($H$2/$H$3,1)</f>
        <v>4</v>
      </c>
      <c r="E652" s="28">
        <f>CEILING(C652/$H$3,1)*CEILING($H$2/$H$3,1)/CEILING(C652/$H$3,1)</f>
        <v>1</v>
      </c>
      <c r="F652" s="28">
        <f>$B$5/D652/B652*E652</f>
        <v>1.6132500000000001</v>
      </c>
    </row>
    <row r="653" spans="1:6" x14ac:dyDescent="0.4">
      <c r="A653" s="28">
        <f t="shared" ref="A653:A716" si="21">A652+$B$3</f>
        <v>937</v>
      </c>
      <c r="B653" s="28">
        <f t="shared" si="20"/>
        <v>0.2089864158829676</v>
      </c>
      <c r="C653" s="28">
        <f>A653+$E$6</f>
        <v>959</v>
      </c>
      <c r="D653" s="28">
        <f>CEILING(C653/$H$3,1)*CEILING($H$2/$H$3,1)/CEILING($H$2/$H$3,1)</f>
        <v>4</v>
      </c>
      <c r="E653" s="28">
        <f>CEILING(C653/$H$3,1)*CEILING($H$2/$H$3,1)/CEILING(C653/$H$3,1)</f>
        <v>1</v>
      </c>
      <c r="F653" s="28">
        <f>$B$5/D653/B653*E653</f>
        <v>1.6149375000000001</v>
      </c>
    </row>
    <row r="654" spans="1:6" x14ac:dyDescent="0.4">
      <c r="A654" s="28">
        <f t="shared" si="21"/>
        <v>938</v>
      </c>
      <c r="B654" s="28">
        <f t="shared" si="20"/>
        <v>0.20876826722338204</v>
      </c>
      <c r="C654" s="28">
        <f>A654+$E$6</f>
        <v>960</v>
      </c>
      <c r="D654" s="28">
        <f>CEILING(C654/$H$3,1)*CEILING($H$2/$H$3,1)/CEILING($H$2/$H$3,1)</f>
        <v>4</v>
      </c>
      <c r="E654" s="28">
        <f>CEILING(C654/$H$3,1)*CEILING($H$2/$H$3,1)/CEILING(C654/$H$3,1)</f>
        <v>1</v>
      </c>
      <c r="F654" s="28">
        <f>$B$5/D654/B654*E654</f>
        <v>1.6166250000000002</v>
      </c>
    </row>
    <row r="655" spans="1:6" x14ac:dyDescent="0.4">
      <c r="A655" s="28">
        <f t="shared" si="21"/>
        <v>939</v>
      </c>
      <c r="B655" s="28">
        <f t="shared" si="20"/>
        <v>0.20855057351407716</v>
      </c>
      <c r="C655" s="28">
        <f>A655+$E$6</f>
        <v>961</v>
      </c>
      <c r="D655" s="28">
        <f>CEILING(C655/$H$3,1)*CEILING($H$2/$H$3,1)/CEILING($H$2/$H$3,1)</f>
        <v>4</v>
      </c>
      <c r="E655" s="28">
        <f>CEILING(C655/$H$3,1)*CEILING($H$2/$H$3,1)/CEILING(C655/$H$3,1)</f>
        <v>1</v>
      </c>
      <c r="F655" s="28">
        <f>$B$5/D655/B655*E655</f>
        <v>1.6183125</v>
      </c>
    </row>
    <row r="656" spans="1:6" x14ac:dyDescent="0.4">
      <c r="A656" s="28">
        <f t="shared" si="21"/>
        <v>940</v>
      </c>
      <c r="B656" s="28">
        <f t="shared" si="20"/>
        <v>0.20833333333333334</v>
      </c>
      <c r="C656" s="28">
        <f>A656+$E$6</f>
        <v>962</v>
      </c>
      <c r="D656" s="28">
        <f>CEILING(C656/$H$3,1)*CEILING($H$2/$H$3,1)/CEILING($H$2/$H$3,1)</f>
        <v>4</v>
      </c>
      <c r="E656" s="28">
        <f>CEILING(C656/$H$3,1)*CEILING($H$2/$H$3,1)/CEILING(C656/$H$3,1)</f>
        <v>1</v>
      </c>
      <c r="F656" s="28">
        <f>$B$5/D656/B656*E656</f>
        <v>1.62</v>
      </c>
    </row>
    <row r="657" spans="1:6" x14ac:dyDescent="0.4">
      <c r="A657" s="28">
        <f t="shared" si="21"/>
        <v>941</v>
      </c>
      <c r="B657" s="28">
        <f t="shared" si="20"/>
        <v>0.20811654526534859</v>
      </c>
      <c r="C657" s="28">
        <f>A657+$E$6</f>
        <v>963</v>
      </c>
      <c r="D657" s="28">
        <f>CEILING(C657/$H$3,1)*CEILING($H$2/$H$3,1)/CEILING($H$2/$H$3,1)</f>
        <v>4</v>
      </c>
      <c r="E657" s="28">
        <f>CEILING(C657/$H$3,1)*CEILING($H$2/$H$3,1)/CEILING(C657/$H$3,1)</f>
        <v>1</v>
      </c>
      <c r="F657" s="28">
        <f>$B$5/D657/B657*E657</f>
        <v>1.6216875000000002</v>
      </c>
    </row>
    <row r="658" spans="1:6" x14ac:dyDescent="0.4">
      <c r="A658" s="28">
        <f t="shared" si="21"/>
        <v>942</v>
      </c>
      <c r="B658" s="28">
        <f t="shared" si="20"/>
        <v>0.20790020790020791</v>
      </c>
      <c r="C658" s="28">
        <f>A658+$E$6</f>
        <v>964</v>
      </c>
      <c r="D658" s="28">
        <f>CEILING(C658/$H$3,1)*CEILING($H$2/$H$3,1)/CEILING($H$2/$H$3,1)</f>
        <v>4</v>
      </c>
      <c r="E658" s="28">
        <f>CEILING(C658/$H$3,1)*CEILING($H$2/$H$3,1)/CEILING(C658/$H$3,1)</f>
        <v>1</v>
      </c>
      <c r="F658" s="28">
        <f>$B$5/D658/B658*E658</f>
        <v>1.623375</v>
      </c>
    </row>
    <row r="659" spans="1:6" x14ac:dyDescent="0.4">
      <c r="A659" s="28">
        <f t="shared" si="21"/>
        <v>943</v>
      </c>
      <c r="B659" s="28">
        <f t="shared" si="20"/>
        <v>0.20768431983385255</v>
      </c>
      <c r="C659" s="28">
        <f>A659+$E$6</f>
        <v>965</v>
      </c>
      <c r="D659" s="28">
        <f>CEILING(C659/$H$3,1)*CEILING($H$2/$H$3,1)/CEILING($H$2/$H$3,1)</f>
        <v>4</v>
      </c>
      <c r="E659" s="28">
        <f>CEILING(C659/$H$3,1)*CEILING($H$2/$H$3,1)/CEILING(C659/$H$3,1)</f>
        <v>1</v>
      </c>
      <c r="F659" s="28">
        <f>$B$5/D659/B659*E659</f>
        <v>1.6250625000000001</v>
      </c>
    </row>
    <row r="660" spans="1:6" x14ac:dyDescent="0.4">
      <c r="A660" s="28">
        <f t="shared" si="21"/>
        <v>944</v>
      </c>
      <c r="B660" s="28">
        <f t="shared" si="20"/>
        <v>0.2074688796680498</v>
      </c>
      <c r="C660" s="28">
        <f>A660+$E$6</f>
        <v>966</v>
      </c>
      <c r="D660" s="28">
        <f>CEILING(C660/$H$3,1)*CEILING($H$2/$H$3,1)/CEILING($H$2/$H$3,1)</f>
        <v>4</v>
      </c>
      <c r="E660" s="28">
        <f>CEILING(C660/$H$3,1)*CEILING($H$2/$H$3,1)/CEILING(C660/$H$3,1)</f>
        <v>1</v>
      </c>
      <c r="F660" s="28">
        <f>$B$5/D660/B660*E660</f>
        <v>1.6267499999999999</v>
      </c>
    </row>
    <row r="661" spans="1:6" x14ac:dyDescent="0.4">
      <c r="A661" s="28">
        <f t="shared" si="21"/>
        <v>945</v>
      </c>
      <c r="B661" s="28">
        <f t="shared" si="20"/>
        <v>0.20725388601036268</v>
      </c>
      <c r="C661" s="28">
        <f>A661+$E$6</f>
        <v>967</v>
      </c>
      <c r="D661" s="28">
        <f>CEILING(C661/$H$3,1)*CEILING($H$2/$H$3,1)/CEILING($H$2/$H$3,1)</f>
        <v>4</v>
      </c>
      <c r="E661" s="28">
        <f>CEILING(C661/$H$3,1)*CEILING($H$2/$H$3,1)/CEILING(C661/$H$3,1)</f>
        <v>1</v>
      </c>
      <c r="F661" s="28">
        <f>$B$5/D661/B661*E661</f>
        <v>1.6284375000000002</v>
      </c>
    </row>
    <row r="662" spans="1:6" x14ac:dyDescent="0.4">
      <c r="A662" s="28">
        <f t="shared" si="21"/>
        <v>946</v>
      </c>
      <c r="B662" s="28">
        <f t="shared" si="20"/>
        <v>0.20703933747412009</v>
      </c>
      <c r="C662" s="28">
        <f>A662+$E$6</f>
        <v>968</v>
      </c>
      <c r="D662" s="28">
        <f>CEILING(C662/$H$3,1)*CEILING($H$2/$H$3,1)/CEILING($H$2/$H$3,1)</f>
        <v>4</v>
      </c>
      <c r="E662" s="28">
        <f>CEILING(C662/$H$3,1)*CEILING($H$2/$H$3,1)/CEILING(C662/$H$3,1)</f>
        <v>1</v>
      </c>
      <c r="F662" s="28">
        <f>$B$5/D662/B662*E662</f>
        <v>1.630125</v>
      </c>
    </row>
    <row r="663" spans="1:6" x14ac:dyDescent="0.4">
      <c r="A663" s="28">
        <f t="shared" si="21"/>
        <v>947</v>
      </c>
      <c r="B663" s="28">
        <f t="shared" si="20"/>
        <v>0.20682523267838676</v>
      </c>
      <c r="C663" s="28">
        <f>A663+$E$6</f>
        <v>969</v>
      </c>
      <c r="D663" s="28">
        <f>CEILING(C663/$H$3,1)*CEILING($H$2/$H$3,1)/CEILING($H$2/$H$3,1)</f>
        <v>4</v>
      </c>
      <c r="E663" s="28">
        <f>CEILING(C663/$H$3,1)*CEILING($H$2/$H$3,1)/CEILING(C663/$H$3,1)</f>
        <v>1</v>
      </c>
      <c r="F663" s="28">
        <f>$B$5/D663/B663*E663</f>
        <v>1.6318125000000001</v>
      </c>
    </row>
    <row r="664" spans="1:6" x14ac:dyDescent="0.4">
      <c r="A664" s="28">
        <f t="shared" si="21"/>
        <v>948</v>
      </c>
      <c r="B664" s="28">
        <f t="shared" si="20"/>
        <v>0.20661157024793389</v>
      </c>
      <c r="C664" s="28">
        <f>A664+$E$6</f>
        <v>970</v>
      </c>
      <c r="D664" s="28">
        <f>CEILING(C664/$H$3,1)*CEILING($H$2/$H$3,1)/CEILING($H$2/$H$3,1)</f>
        <v>4</v>
      </c>
      <c r="E664" s="28">
        <f>CEILING(C664/$H$3,1)*CEILING($H$2/$H$3,1)/CEILING(C664/$H$3,1)</f>
        <v>1</v>
      </c>
      <c r="F664" s="28">
        <f>$B$5/D664/B664*E664</f>
        <v>1.6335</v>
      </c>
    </row>
    <row r="665" spans="1:6" x14ac:dyDescent="0.4">
      <c r="A665" s="28">
        <f t="shared" si="21"/>
        <v>949</v>
      </c>
      <c r="B665" s="28">
        <f t="shared" si="20"/>
        <v>0.20639834881320948</v>
      </c>
      <c r="C665" s="28">
        <f>A665+$E$6</f>
        <v>971</v>
      </c>
      <c r="D665" s="28">
        <f>CEILING(C665/$H$3,1)*CEILING($H$2/$H$3,1)/CEILING($H$2/$H$3,1)</f>
        <v>4</v>
      </c>
      <c r="E665" s="28">
        <f>CEILING(C665/$H$3,1)*CEILING($H$2/$H$3,1)/CEILING(C665/$H$3,1)</f>
        <v>1</v>
      </c>
      <c r="F665" s="28">
        <f>$B$5/D665/B665*E665</f>
        <v>1.6351875000000002</v>
      </c>
    </row>
    <row r="666" spans="1:6" x14ac:dyDescent="0.4">
      <c r="A666" s="28">
        <f t="shared" si="21"/>
        <v>950</v>
      </c>
      <c r="B666" s="28">
        <f t="shared" si="20"/>
        <v>0.20618556701030927</v>
      </c>
      <c r="C666" s="28">
        <f>A666+$E$6</f>
        <v>972</v>
      </c>
      <c r="D666" s="28">
        <f>CEILING(C666/$H$3,1)*CEILING($H$2/$H$3,1)/CEILING($H$2/$H$3,1)</f>
        <v>4</v>
      </c>
      <c r="E666" s="28">
        <f>CEILING(C666/$H$3,1)*CEILING($H$2/$H$3,1)/CEILING(C666/$H$3,1)</f>
        <v>1</v>
      </c>
      <c r="F666" s="28">
        <f>$B$5/D666/B666*E666</f>
        <v>1.6368750000000003</v>
      </c>
    </row>
    <row r="667" spans="1:6" x14ac:dyDescent="0.4">
      <c r="A667" s="28">
        <f t="shared" si="21"/>
        <v>951</v>
      </c>
      <c r="B667" s="28">
        <f t="shared" si="20"/>
        <v>0.20597322348094749</v>
      </c>
      <c r="C667" s="28">
        <f>A667+$E$6</f>
        <v>973</v>
      </c>
      <c r="D667" s="28">
        <f>CEILING(C667/$H$3,1)*CEILING($H$2/$H$3,1)/CEILING($H$2/$H$3,1)</f>
        <v>4</v>
      </c>
      <c r="E667" s="28">
        <f>CEILING(C667/$H$3,1)*CEILING($H$2/$H$3,1)/CEILING(C667/$H$3,1)</f>
        <v>1</v>
      </c>
      <c r="F667" s="28">
        <f>$B$5/D667/B667*E667</f>
        <v>1.6385624999999999</v>
      </c>
    </row>
    <row r="668" spans="1:6" x14ac:dyDescent="0.4">
      <c r="A668" s="28">
        <f t="shared" si="21"/>
        <v>952</v>
      </c>
      <c r="B668" s="28">
        <f t="shared" si="20"/>
        <v>0.20576131687242799</v>
      </c>
      <c r="C668" s="28">
        <f>A668+$E$6</f>
        <v>974</v>
      </c>
      <c r="D668" s="28">
        <f>CEILING(C668/$H$3,1)*CEILING($H$2/$H$3,1)/CEILING($H$2/$H$3,1)</f>
        <v>4</v>
      </c>
      <c r="E668" s="28">
        <f>CEILING(C668/$H$3,1)*CEILING($H$2/$H$3,1)/CEILING(C668/$H$3,1)</f>
        <v>1</v>
      </c>
      <c r="F668" s="28">
        <f>$B$5/D668/B668*E668</f>
        <v>1.64025</v>
      </c>
    </row>
    <row r="669" spans="1:6" x14ac:dyDescent="0.4">
      <c r="A669" s="28">
        <f t="shared" si="21"/>
        <v>953</v>
      </c>
      <c r="B669" s="28">
        <f t="shared" si="20"/>
        <v>0.20554984583761562</v>
      </c>
      <c r="C669" s="28">
        <f>A669+$E$6</f>
        <v>975</v>
      </c>
      <c r="D669" s="28">
        <f>CEILING(C669/$H$3,1)*CEILING($H$2/$H$3,1)/CEILING($H$2/$H$3,1)</f>
        <v>4</v>
      </c>
      <c r="E669" s="28">
        <f>CEILING(C669/$H$3,1)*CEILING($H$2/$H$3,1)/CEILING(C669/$H$3,1)</f>
        <v>1</v>
      </c>
      <c r="F669" s="28">
        <f>$B$5/D669/B669*E669</f>
        <v>1.6419375</v>
      </c>
    </row>
    <row r="670" spans="1:6" x14ac:dyDescent="0.4">
      <c r="A670" s="28">
        <f t="shared" si="21"/>
        <v>954</v>
      </c>
      <c r="B670" s="28">
        <f t="shared" si="20"/>
        <v>0.20533880903490759</v>
      </c>
      <c r="C670" s="28">
        <f>A670+$E$6</f>
        <v>976</v>
      </c>
      <c r="D670" s="28">
        <f>CEILING(C670/$H$3,1)*CEILING($H$2/$H$3,1)/CEILING($H$2/$H$3,1)</f>
        <v>4</v>
      </c>
      <c r="E670" s="28">
        <f>CEILING(C670/$H$3,1)*CEILING($H$2/$H$3,1)/CEILING(C670/$H$3,1)</f>
        <v>1</v>
      </c>
      <c r="F670" s="28">
        <f>$B$5/D670/B670*E670</f>
        <v>1.6436250000000001</v>
      </c>
    </row>
    <row r="671" spans="1:6" x14ac:dyDescent="0.4">
      <c r="A671" s="28">
        <f t="shared" si="21"/>
        <v>955</v>
      </c>
      <c r="B671" s="28">
        <f t="shared" si="20"/>
        <v>0.20512820512820512</v>
      </c>
      <c r="C671" s="28">
        <f>A671+$E$6</f>
        <v>977</v>
      </c>
      <c r="D671" s="28">
        <f>CEILING(C671/$H$3,1)*CEILING($H$2/$H$3,1)/CEILING($H$2/$H$3,1)</f>
        <v>4</v>
      </c>
      <c r="E671" s="28">
        <f>CEILING(C671/$H$3,1)*CEILING($H$2/$H$3,1)/CEILING(C671/$H$3,1)</f>
        <v>1</v>
      </c>
      <c r="F671" s="28">
        <f>$B$5/D671/B671*E671</f>
        <v>1.6453125000000002</v>
      </c>
    </row>
    <row r="672" spans="1:6" x14ac:dyDescent="0.4">
      <c r="A672" s="28">
        <f t="shared" si="21"/>
        <v>956</v>
      </c>
      <c r="B672" s="28">
        <f t="shared" si="20"/>
        <v>0.20491803278688525</v>
      </c>
      <c r="C672" s="28">
        <f>A672+$E$6</f>
        <v>978</v>
      </c>
      <c r="D672" s="28">
        <f>CEILING(C672/$H$3,1)*CEILING($H$2/$H$3,1)/CEILING($H$2/$H$3,1)</f>
        <v>4</v>
      </c>
      <c r="E672" s="28">
        <f>CEILING(C672/$H$3,1)*CEILING($H$2/$H$3,1)/CEILING(C672/$H$3,1)</f>
        <v>1</v>
      </c>
      <c r="F672" s="28">
        <f>$B$5/D672/B672*E672</f>
        <v>1.647</v>
      </c>
    </row>
    <row r="673" spans="1:6" x14ac:dyDescent="0.4">
      <c r="A673" s="28">
        <f t="shared" si="21"/>
        <v>957</v>
      </c>
      <c r="B673" s="28">
        <f t="shared" si="20"/>
        <v>0.20470829068577279</v>
      </c>
      <c r="C673" s="28">
        <f>A673+$E$6</f>
        <v>979</v>
      </c>
      <c r="D673" s="28">
        <f>CEILING(C673/$H$3,1)*CEILING($H$2/$H$3,1)/CEILING($H$2/$H$3,1)</f>
        <v>4</v>
      </c>
      <c r="E673" s="28">
        <f>CEILING(C673/$H$3,1)*CEILING($H$2/$H$3,1)/CEILING(C673/$H$3,1)</f>
        <v>1</v>
      </c>
      <c r="F673" s="28">
        <f>$B$5/D673/B673*E673</f>
        <v>1.6486875000000001</v>
      </c>
    </row>
    <row r="674" spans="1:6" x14ac:dyDescent="0.4">
      <c r="A674" s="28">
        <f t="shared" si="21"/>
        <v>958</v>
      </c>
      <c r="B674" s="28">
        <f t="shared" si="20"/>
        <v>0.20449897750511248</v>
      </c>
      <c r="C674" s="28">
        <f>A674+$E$6</f>
        <v>980</v>
      </c>
      <c r="D674" s="28">
        <f>CEILING(C674/$H$3,1)*CEILING($H$2/$H$3,1)/CEILING($H$2/$H$3,1)</f>
        <v>4</v>
      </c>
      <c r="E674" s="28">
        <f>CEILING(C674/$H$3,1)*CEILING($H$2/$H$3,1)/CEILING(C674/$H$3,1)</f>
        <v>1</v>
      </c>
      <c r="F674" s="28">
        <f>$B$5/D674/B674*E674</f>
        <v>1.6503750000000001</v>
      </c>
    </row>
    <row r="675" spans="1:6" x14ac:dyDescent="0.4">
      <c r="A675" s="28">
        <f t="shared" si="21"/>
        <v>959</v>
      </c>
      <c r="B675" s="28">
        <f t="shared" si="20"/>
        <v>0.20429009193054137</v>
      </c>
      <c r="C675" s="28">
        <f>A675+$E$6</f>
        <v>981</v>
      </c>
      <c r="D675" s="28">
        <f>CEILING(C675/$H$3,1)*CEILING($H$2/$H$3,1)/CEILING($H$2/$H$3,1)</f>
        <v>4</v>
      </c>
      <c r="E675" s="28">
        <f>CEILING(C675/$H$3,1)*CEILING($H$2/$H$3,1)/CEILING(C675/$H$3,1)</f>
        <v>1</v>
      </c>
      <c r="F675" s="28">
        <f>$B$5/D675/B675*E675</f>
        <v>1.6520625</v>
      </c>
    </row>
    <row r="676" spans="1:6" x14ac:dyDescent="0.4">
      <c r="A676" s="28">
        <f t="shared" si="21"/>
        <v>960</v>
      </c>
      <c r="B676" s="28">
        <f t="shared" si="20"/>
        <v>0.20408163265306123</v>
      </c>
      <c r="C676" s="28">
        <f>A676+$E$6</f>
        <v>982</v>
      </c>
      <c r="D676" s="28">
        <f>CEILING(C676/$H$3,1)*CEILING($H$2/$H$3,1)/CEILING($H$2/$H$3,1)</f>
        <v>4</v>
      </c>
      <c r="E676" s="28">
        <f>CEILING(C676/$H$3,1)*CEILING($H$2/$H$3,1)/CEILING(C676/$H$3,1)</f>
        <v>1</v>
      </c>
      <c r="F676" s="28">
        <f>$B$5/D676/B676*E676</f>
        <v>1.6537500000000001</v>
      </c>
    </row>
    <row r="677" spans="1:6" x14ac:dyDescent="0.4">
      <c r="A677" s="28">
        <f t="shared" si="21"/>
        <v>961</v>
      </c>
      <c r="B677" s="28">
        <f t="shared" si="20"/>
        <v>0.2038735983690112</v>
      </c>
      <c r="C677" s="28">
        <f>A677+$E$6</f>
        <v>983</v>
      </c>
      <c r="D677" s="28">
        <f>CEILING(C677/$H$3,1)*CEILING($H$2/$H$3,1)/CEILING($H$2/$H$3,1)</f>
        <v>4</v>
      </c>
      <c r="E677" s="28">
        <f>CEILING(C677/$H$3,1)*CEILING($H$2/$H$3,1)/CEILING(C677/$H$3,1)</f>
        <v>1</v>
      </c>
      <c r="F677" s="28">
        <f>$B$5/D677/B677*E677</f>
        <v>1.6554375000000001</v>
      </c>
    </row>
    <row r="678" spans="1:6" x14ac:dyDescent="0.4">
      <c r="A678" s="28">
        <f t="shared" si="21"/>
        <v>962</v>
      </c>
      <c r="B678" s="28">
        <f t="shared" si="20"/>
        <v>0.20366598778004075</v>
      </c>
      <c r="C678" s="28">
        <f>A678+$E$6</f>
        <v>984</v>
      </c>
      <c r="D678" s="28">
        <f>CEILING(C678/$H$3,1)*CEILING($H$2/$H$3,1)/CEILING($H$2/$H$3,1)</f>
        <v>4</v>
      </c>
      <c r="E678" s="28">
        <f>CEILING(C678/$H$3,1)*CEILING($H$2/$H$3,1)/CEILING(C678/$H$3,1)</f>
        <v>1</v>
      </c>
      <c r="F678" s="28">
        <f>$B$5/D678/B678*E678</f>
        <v>1.657125</v>
      </c>
    </row>
    <row r="679" spans="1:6" x14ac:dyDescent="0.4">
      <c r="A679" s="28">
        <f t="shared" si="21"/>
        <v>963</v>
      </c>
      <c r="B679" s="28">
        <f t="shared" si="20"/>
        <v>0.20345879959308241</v>
      </c>
      <c r="C679" s="28">
        <f>A679+$E$6</f>
        <v>985</v>
      </c>
      <c r="D679" s="28">
        <f>CEILING(C679/$H$3,1)*CEILING($H$2/$H$3,1)/CEILING($H$2/$H$3,1)</f>
        <v>4</v>
      </c>
      <c r="E679" s="28">
        <f>CEILING(C679/$H$3,1)*CEILING($H$2/$H$3,1)/CEILING(C679/$H$3,1)</f>
        <v>1</v>
      </c>
      <c r="F679" s="28">
        <f>$B$5/D679/B679*E679</f>
        <v>1.6588125</v>
      </c>
    </row>
    <row r="680" spans="1:6" x14ac:dyDescent="0.4">
      <c r="A680" s="28">
        <f t="shared" si="21"/>
        <v>964</v>
      </c>
      <c r="B680" s="28">
        <f t="shared" si="20"/>
        <v>0.2032520325203252</v>
      </c>
      <c r="C680" s="28">
        <f>A680+$E$6</f>
        <v>986</v>
      </c>
      <c r="D680" s="28">
        <f>CEILING(C680/$H$3,1)*CEILING($H$2/$H$3,1)/CEILING($H$2/$H$3,1)</f>
        <v>4</v>
      </c>
      <c r="E680" s="28">
        <f>CEILING(C680/$H$3,1)*CEILING($H$2/$H$3,1)/CEILING(C680/$H$3,1)</f>
        <v>1</v>
      </c>
      <c r="F680" s="28">
        <f>$B$5/D680/B680*E680</f>
        <v>1.6605000000000001</v>
      </c>
    </row>
    <row r="681" spans="1:6" x14ac:dyDescent="0.4">
      <c r="A681" s="28">
        <f t="shared" si="21"/>
        <v>965</v>
      </c>
      <c r="B681" s="28">
        <f t="shared" si="20"/>
        <v>0.20304568527918782</v>
      </c>
      <c r="C681" s="28">
        <f>A681+$E$6</f>
        <v>987</v>
      </c>
      <c r="D681" s="28">
        <f>CEILING(C681/$H$3,1)*CEILING($H$2/$H$3,1)/CEILING($H$2/$H$3,1)</f>
        <v>4</v>
      </c>
      <c r="E681" s="28">
        <f>CEILING(C681/$H$3,1)*CEILING($H$2/$H$3,1)/CEILING(C681/$H$3,1)</f>
        <v>1</v>
      </c>
      <c r="F681" s="28">
        <f>$B$5/D681/B681*E681</f>
        <v>1.6621875000000002</v>
      </c>
    </row>
    <row r="682" spans="1:6" x14ac:dyDescent="0.4">
      <c r="A682" s="28">
        <f t="shared" si="21"/>
        <v>966</v>
      </c>
      <c r="B682" s="28">
        <f t="shared" si="20"/>
        <v>0.20283975659229209</v>
      </c>
      <c r="C682" s="28">
        <f>A682+$E$6</f>
        <v>988</v>
      </c>
      <c r="D682" s="28">
        <f>CEILING(C682/$H$3,1)*CEILING($H$2/$H$3,1)/CEILING($H$2/$H$3,1)</f>
        <v>4</v>
      </c>
      <c r="E682" s="28">
        <f>CEILING(C682/$H$3,1)*CEILING($H$2/$H$3,1)/CEILING(C682/$H$3,1)</f>
        <v>1</v>
      </c>
      <c r="F682" s="28">
        <f>$B$5/D682/B682*E682</f>
        <v>1.6638750000000002</v>
      </c>
    </row>
    <row r="683" spans="1:6" x14ac:dyDescent="0.4">
      <c r="A683" s="28">
        <f t="shared" si="21"/>
        <v>967</v>
      </c>
      <c r="B683" s="28">
        <f t="shared" si="20"/>
        <v>0.20263424518743667</v>
      </c>
      <c r="C683" s="28">
        <f>A683+$E$6</f>
        <v>989</v>
      </c>
      <c r="D683" s="28">
        <f>CEILING(C683/$H$3,1)*CEILING($H$2/$H$3,1)/CEILING($H$2/$H$3,1)</f>
        <v>4</v>
      </c>
      <c r="E683" s="28">
        <f>CEILING(C683/$H$3,1)*CEILING($H$2/$H$3,1)/CEILING(C683/$H$3,1)</f>
        <v>1</v>
      </c>
      <c r="F683" s="28">
        <f>$B$5/D683/B683*E683</f>
        <v>1.6655625000000003</v>
      </c>
    </row>
    <row r="684" spans="1:6" x14ac:dyDescent="0.4">
      <c r="A684" s="28">
        <f t="shared" si="21"/>
        <v>968</v>
      </c>
      <c r="B684" s="28">
        <f t="shared" si="20"/>
        <v>0.20242914979757085</v>
      </c>
      <c r="C684" s="28">
        <f>A684+$E$6</f>
        <v>990</v>
      </c>
      <c r="D684" s="28">
        <f>CEILING(C684/$H$3,1)*CEILING($H$2/$H$3,1)/CEILING($H$2/$H$3,1)</f>
        <v>4</v>
      </c>
      <c r="E684" s="28">
        <f>CEILING(C684/$H$3,1)*CEILING($H$2/$H$3,1)/CEILING(C684/$H$3,1)</f>
        <v>1</v>
      </c>
      <c r="F684" s="28">
        <f>$B$5/D684/B684*E684</f>
        <v>1.6672500000000001</v>
      </c>
    </row>
    <row r="685" spans="1:6" x14ac:dyDescent="0.4">
      <c r="A685" s="28">
        <f t="shared" si="21"/>
        <v>969</v>
      </c>
      <c r="B685" s="28">
        <f t="shared" si="20"/>
        <v>0.20222446916076844</v>
      </c>
      <c r="C685" s="28">
        <f>A685+$E$6</f>
        <v>991</v>
      </c>
      <c r="D685" s="28">
        <f>CEILING(C685/$H$3,1)*CEILING($H$2/$H$3,1)/CEILING($H$2/$H$3,1)</f>
        <v>4</v>
      </c>
      <c r="E685" s="28">
        <f>CEILING(C685/$H$3,1)*CEILING($H$2/$H$3,1)/CEILING(C685/$H$3,1)</f>
        <v>1</v>
      </c>
      <c r="F685" s="28">
        <f>$B$5/D685/B685*E685</f>
        <v>1.6689375000000002</v>
      </c>
    </row>
    <row r="686" spans="1:6" x14ac:dyDescent="0.4">
      <c r="A686" s="28">
        <f t="shared" si="21"/>
        <v>970</v>
      </c>
      <c r="B686" s="28">
        <f t="shared" si="20"/>
        <v>0.20202020202020202</v>
      </c>
      <c r="C686" s="28">
        <f>A686+$E$6</f>
        <v>992</v>
      </c>
      <c r="D686" s="28">
        <f>CEILING(C686/$H$3,1)*CEILING($H$2/$H$3,1)/CEILING($H$2/$H$3,1)</f>
        <v>4</v>
      </c>
      <c r="E686" s="28">
        <f>CEILING(C686/$H$3,1)*CEILING($H$2/$H$3,1)/CEILING(C686/$H$3,1)</f>
        <v>1</v>
      </c>
      <c r="F686" s="28">
        <f>$B$5/D686/B686*E686</f>
        <v>1.6706250000000002</v>
      </c>
    </row>
    <row r="687" spans="1:6" x14ac:dyDescent="0.4">
      <c r="A687" s="28">
        <f t="shared" si="21"/>
        <v>971</v>
      </c>
      <c r="B687" s="28">
        <f t="shared" si="20"/>
        <v>0.20181634712411706</v>
      </c>
      <c r="C687" s="28">
        <f>A687+$E$6</f>
        <v>993</v>
      </c>
      <c r="D687" s="28">
        <f>CEILING(C687/$H$3,1)*CEILING($H$2/$H$3,1)/CEILING($H$2/$H$3,1)</f>
        <v>4</v>
      </c>
      <c r="E687" s="28">
        <f>CEILING(C687/$H$3,1)*CEILING($H$2/$H$3,1)/CEILING(C687/$H$3,1)</f>
        <v>1</v>
      </c>
      <c r="F687" s="28">
        <f>$B$5/D687/B687*E687</f>
        <v>1.6723125000000001</v>
      </c>
    </row>
    <row r="688" spans="1:6" x14ac:dyDescent="0.4">
      <c r="A688" s="28">
        <f t="shared" si="21"/>
        <v>972</v>
      </c>
      <c r="B688" s="28">
        <f t="shared" si="20"/>
        <v>0.20161290322580644</v>
      </c>
      <c r="C688" s="28">
        <f>A688+$E$6</f>
        <v>994</v>
      </c>
      <c r="D688" s="28">
        <f>CEILING(C688/$H$3,1)*CEILING($H$2/$H$3,1)/CEILING($H$2/$H$3,1)</f>
        <v>4</v>
      </c>
      <c r="E688" s="28">
        <f>CEILING(C688/$H$3,1)*CEILING($H$2/$H$3,1)/CEILING(C688/$H$3,1)</f>
        <v>1</v>
      </c>
      <c r="F688" s="28">
        <f>$B$5/D688/B688*E688</f>
        <v>1.6740000000000002</v>
      </c>
    </row>
    <row r="689" spans="1:6" x14ac:dyDescent="0.4">
      <c r="A689" s="28">
        <f t="shared" si="21"/>
        <v>973</v>
      </c>
      <c r="B689" s="28">
        <f t="shared" si="20"/>
        <v>0.2014098690835851</v>
      </c>
      <c r="C689" s="28">
        <f>A689+$E$6</f>
        <v>995</v>
      </c>
      <c r="D689" s="28">
        <f>CEILING(C689/$H$3,1)*CEILING($H$2/$H$3,1)/CEILING($H$2/$H$3,1)</f>
        <v>4</v>
      </c>
      <c r="E689" s="28">
        <f>CEILING(C689/$H$3,1)*CEILING($H$2/$H$3,1)/CEILING(C689/$H$3,1)</f>
        <v>1</v>
      </c>
      <c r="F689" s="28">
        <f>$B$5/D689/B689*E689</f>
        <v>1.6756875</v>
      </c>
    </row>
    <row r="690" spans="1:6" x14ac:dyDescent="0.4">
      <c r="A690" s="28">
        <f t="shared" si="21"/>
        <v>974</v>
      </c>
      <c r="B690" s="28">
        <f t="shared" si="20"/>
        <v>0.2012072434607646</v>
      </c>
      <c r="C690" s="28">
        <f>A690+$E$6</f>
        <v>996</v>
      </c>
      <c r="D690" s="28">
        <f>CEILING(C690/$H$3,1)*CEILING($H$2/$H$3,1)/CEILING($H$2/$H$3,1)</f>
        <v>4</v>
      </c>
      <c r="E690" s="28">
        <f>CEILING(C690/$H$3,1)*CEILING($H$2/$H$3,1)/CEILING(C690/$H$3,1)</f>
        <v>1</v>
      </c>
      <c r="F690" s="28">
        <f>$B$5/D690/B690*E690</f>
        <v>1.6773750000000001</v>
      </c>
    </row>
    <row r="691" spans="1:6" x14ac:dyDescent="0.4">
      <c r="A691" s="28">
        <f t="shared" si="21"/>
        <v>975</v>
      </c>
      <c r="B691" s="28">
        <f t="shared" si="20"/>
        <v>0.20100502512562815</v>
      </c>
      <c r="C691" s="28">
        <f>A691+$E$6</f>
        <v>997</v>
      </c>
      <c r="D691" s="28">
        <f>CEILING(C691/$H$3,1)*CEILING($H$2/$H$3,1)/CEILING($H$2/$H$3,1)</f>
        <v>4</v>
      </c>
      <c r="E691" s="28">
        <f>CEILING(C691/$H$3,1)*CEILING($H$2/$H$3,1)/CEILING(C691/$H$3,1)</f>
        <v>1</v>
      </c>
      <c r="F691" s="28">
        <f>$B$5/D691/B691*E691</f>
        <v>1.6790625000000001</v>
      </c>
    </row>
    <row r="692" spans="1:6" x14ac:dyDescent="0.4">
      <c r="A692" s="28">
        <f t="shared" si="21"/>
        <v>976</v>
      </c>
      <c r="B692" s="28">
        <f t="shared" si="20"/>
        <v>0.20080321285140562</v>
      </c>
      <c r="C692" s="28">
        <f>A692+$E$6</f>
        <v>998</v>
      </c>
      <c r="D692" s="28">
        <f>CEILING(C692/$H$3,1)*CEILING($H$2/$H$3,1)/CEILING($H$2/$H$3,1)</f>
        <v>4</v>
      </c>
      <c r="E692" s="28">
        <f>CEILING(C692/$H$3,1)*CEILING($H$2/$H$3,1)/CEILING(C692/$H$3,1)</f>
        <v>1</v>
      </c>
      <c r="F692" s="28">
        <f>$B$5/D692/B692*E692</f>
        <v>1.6807500000000002</v>
      </c>
    </row>
    <row r="693" spans="1:6" x14ac:dyDescent="0.4">
      <c r="A693" s="28">
        <f t="shared" si="21"/>
        <v>977</v>
      </c>
      <c r="B693" s="28">
        <f t="shared" si="20"/>
        <v>0.20060180541624875</v>
      </c>
      <c r="C693" s="28">
        <f>A693+$E$6</f>
        <v>999</v>
      </c>
      <c r="D693" s="28">
        <f>CEILING(C693/$H$3,1)*CEILING($H$2/$H$3,1)/CEILING($H$2/$H$3,1)</f>
        <v>4</v>
      </c>
      <c r="E693" s="28">
        <f>CEILING(C693/$H$3,1)*CEILING($H$2/$H$3,1)/CEILING(C693/$H$3,1)</f>
        <v>1</v>
      </c>
      <c r="F693" s="28">
        <f>$B$5/D693/B693*E693</f>
        <v>1.6824375</v>
      </c>
    </row>
    <row r="694" spans="1:6" x14ac:dyDescent="0.4">
      <c r="A694" s="28">
        <f t="shared" si="21"/>
        <v>978</v>
      </c>
      <c r="B694" s="28">
        <f t="shared" si="20"/>
        <v>0.20040080160320642</v>
      </c>
      <c r="C694" s="28">
        <f>A694+$E$6</f>
        <v>1000</v>
      </c>
      <c r="D694" s="28">
        <f>CEILING(C694/$H$3,1)*CEILING($H$2/$H$3,1)/CEILING($H$2/$H$3,1)</f>
        <v>4</v>
      </c>
      <c r="E694" s="28">
        <f>CEILING(C694/$H$3,1)*CEILING($H$2/$H$3,1)/CEILING(C694/$H$3,1)</f>
        <v>1</v>
      </c>
      <c r="F694" s="28">
        <f>$B$5/D694/B694*E694</f>
        <v>1.6841250000000001</v>
      </c>
    </row>
    <row r="695" spans="1:6" x14ac:dyDescent="0.4">
      <c r="A695" s="28">
        <f t="shared" si="21"/>
        <v>979</v>
      </c>
      <c r="B695" s="28">
        <f t="shared" si="20"/>
        <v>0.20020020020020021</v>
      </c>
      <c r="C695" s="28">
        <f>A695+$E$6</f>
        <v>1001</v>
      </c>
      <c r="D695" s="28">
        <f>CEILING(C695/$H$3,1)*CEILING($H$2/$H$3,1)/CEILING($H$2/$H$3,1)</f>
        <v>4</v>
      </c>
      <c r="E695" s="28">
        <f>CEILING(C695/$H$3,1)*CEILING($H$2/$H$3,1)/CEILING(C695/$H$3,1)</f>
        <v>1</v>
      </c>
      <c r="F695" s="28">
        <f>$B$5/D695/B695*E695</f>
        <v>1.6858124999999999</v>
      </c>
    </row>
    <row r="696" spans="1:6" x14ac:dyDescent="0.4">
      <c r="A696" s="28">
        <f t="shared" si="21"/>
        <v>980</v>
      </c>
      <c r="B696" s="28">
        <f t="shared" si="20"/>
        <v>0.2</v>
      </c>
      <c r="C696" s="28">
        <f>A696+$E$6</f>
        <v>1002</v>
      </c>
      <c r="D696" s="28">
        <f>CEILING(C696/$H$3,1)*CEILING($H$2/$H$3,1)/CEILING($H$2/$H$3,1)</f>
        <v>4</v>
      </c>
      <c r="E696" s="28">
        <f>CEILING(C696/$H$3,1)*CEILING($H$2/$H$3,1)/CEILING(C696/$H$3,1)</f>
        <v>1</v>
      </c>
      <c r="F696" s="28">
        <f>$B$5/D696/B696*E696</f>
        <v>1.6875</v>
      </c>
    </row>
    <row r="697" spans="1:6" x14ac:dyDescent="0.4">
      <c r="A697" s="28">
        <f t="shared" si="21"/>
        <v>981</v>
      </c>
      <c r="B697" s="28">
        <f t="shared" si="20"/>
        <v>0.19980019980019981</v>
      </c>
      <c r="C697" s="28">
        <f>A697+$E$6</f>
        <v>1003</v>
      </c>
      <c r="D697" s="28">
        <f>CEILING(C697/$H$3,1)*CEILING($H$2/$H$3,1)/CEILING($H$2/$H$3,1)</f>
        <v>4</v>
      </c>
      <c r="E697" s="28">
        <f>CEILING(C697/$H$3,1)*CEILING($H$2/$H$3,1)/CEILING(C697/$H$3,1)</f>
        <v>1</v>
      </c>
      <c r="F697" s="28">
        <f>$B$5/D697/B697*E697</f>
        <v>1.6891875000000001</v>
      </c>
    </row>
    <row r="698" spans="1:6" x14ac:dyDescent="0.4">
      <c r="A698" s="28">
        <f t="shared" si="21"/>
        <v>982</v>
      </c>
      <c r="B698" s="28">
        <f t="shared" si="20"/>
        <v>0.19960079840319361</v>
      </c>
      <c r="C698" s="28">
        <f>A698+$E$6</f>
        <v>1004</v>
      </c>
      <c r="D698" s="28">
        <f>CEILING(C698/$H$3,1)*CEILING($H$2/$H$3,1)/CEILING($H$2/$H$3,1)</f>
        <v>4</v>
      </c>
      <c r="E698" s="28">
        <f>CEILING(C698/$H$3,1)*CEILING($H$2/$H$3,1)/CEILING(C698/$H$3,1)</f>
        <v>1</v>
      </c>
      <c r="F698" s="28">
        <f>$B$5/D698/B698*E698</f>
        <v>1.6908750000000001</v>
      </c>
    </row>
    <row r="699" spans="1:6" x14ac:dyDescent="0.4">
      <c r="A699" s="28">
        <f t="shared" si="21"/>
        <v>983</v>
      </c>
      <c r="B699" s="28">
        <f t="shared" si="20"/>
        <v>0.19940179461615154</v>
      </c>
      <c r="C699" s="28">
        <f>A699+$E$6</f>
        <v>1005</v>
      </c>
      <c r="D699" s="28">
        <f>CEILING(C699/$H$3,1)*CEILING($H$2/$H$3,1)/CEILING($H$2/$H$3,1)</f>
        <v>4</v>
      </c>
      <c r="E699" s="28">
        <f>CEILING(C699/$H$3,1)*CEILING($H$2/$H$3,1)/CEILING(C699/$H$3,1)</f>
        <v>1</v>
      </c>
      <c r="F699" s="28">
        <f>$B$5/D699/B699*E699</f>
        <v>1.6925625000000002</v>
      </c>
    </row>
    <row r="700" spans="1:6" x14ac:dyDescent="0.4">
      <c r="A700" s="28">
        <f t="shared" si="21"/>
        <v>984</v>
      </c>
      <c r="B700" s="28">
        <f t="shared" si="20"/>
        <v>0.19920318725099601</v>
      </c>
      <c r="C700" s="28">
        <f>A700+$E$6</f>
        <v>1006</v>
      </c>
      <c r="D700" s="28">
        <f>CEILING(C700/$H$3,1)*CEILING($H$2/$H$3,1)/CEILING($H$2/$H$3,1)</f>
        <v>4</v>
      </c>
      <c r="E700" s="28">
        <f>CEILING(C700/$H$3,1)*CEILING($H$2/$H$3,1)/CEILING(C700/$H$3,1)</f>
        <v>1</v>
      </c>
      <c r="F700" s="28">
        <f>$B$5/D700/B700*E700</f>
        <v>1.6942500000000003</v>
      </c>
    </row>
    <row r="701" spans="1:6" x14ac:dyDescent="0.4">
      <c r="A701" s="28">
        <f t="shared" si="21"/>
        <v>985</v>
      </c>
      <c r="B701" s="28">
        <f t="shared" si="20"/>
        <v>0.19900497512437812</v>
      </c>
      <c r="C701" s="28">
        <f>A701+$E$6</f>
        <v>1007</v>
      </c>
      <c r="D701" s="28">
        <f>CEILING(C701/$H$3,1)*CEILING($H$2/$H$3,1)/CEILING($H$2/$H$3,1)</f>
        <v>4</v>
      </c>
      <c r="E701" s="28">
        <f>CEILING(C701/$H$3,1)*CEILING($H$2/$H$3,1)/CEILING(C701/$H$3,1)</f>
        <v>1</v>
      </c>
      <c r="F701" s="28">
        <f>$B$5/D701/B701*E701</f>
        <v>1.6959375000000001</v>
      </c>
    </row>
    <row r="702" spans="1:6" x14ac:dyDescent="0.4">
      <c r="A702" s="28">
        <f t="shared" si="21"/>
        <v>986</v>
      </c>
      <c r="B702" s="28">
        <f t="shared" si="20"/>
        <v>0.19880715705765409</v>
      </c>
      <c r="C702" s="28">
        <f>A702+$E$6</f>
        <v>1008</v>
      </c>
      <c r="D702" s="28">
        <f>CEILING(C702/$H$3,1)*CEILING($H$2/$H$3,1)/CEILING($H$2/$H$3,1)</f>
        <v>4</v>
      </c>
      <c r="E702" s="28">
        <f>CEILING(C702/$H$3,1)*CEILING($H$2/$H$3,1)/CEILING(C702/$H$3,1)</f>
        <v>1</v>
      </c>
      <c r="F702" s="28">
        <f>$B$5/D702/B702*E702</f>
        <v>1.6976249999999999</v>
      </c>
    </row>
    <row r="703" spans="1:6" x14ac:dyDescent="0.4">
      <c r="A703" s="28">
        <f t="shared" si="21"/>
        <v>987</v>
      </c>
      <c r="B703" s="28">
        <f t="shared" si="20"/>
        <v>0.19860973187686196</v>
      </c>
      <c r="C703" s="28">
        <f>A703+$E$6</f>
        <v>1009</v>
      </c>
      <c r="D703" s="28">
        <f>CEILING(C703/$H$3,1)*CEILING($H$2/$H$3,1)/CEILING($H$2/$H$3,1)</f>
        <v>4</v>
      </c>
      <c r="E703" s="28">
        <f>CEILING(C703/$H$3,1)*CEILING($H$2/$H$3,1)/CEILING(C703/$H$3,1)</f>
        <v>1</v>
      </c>
      <c r="F703" s="28">
        <f>$B$5/D703/B703*E703</f>
        <v>1.6993125000000002</v>
      </c>
    </row>
    <row r="704" spans="1:6" x14ac:dyDescent="0.4">
      <c r="A704" s="28">
        <f t="shared" si="21"/>
        <v>988</v>
      </c>
      <c r="B704" s="28">
        <f t="shared" si="20"/>
        <v>0.1984126984126984</v>
      </c>
      <c r="C704" s="28">
        <f>A704+$E$6</f>
        <v>1010</v>
      </c>
      <c r="D704" s="28">
        <f>CEILING(C704/$H$3,1)*CEILING($H$2/$H$3,1)/CEILING($H$2/$H$3,1)</f>
        <v>4</v>
      </c>
      <c r="E704" s="28">
        <f>CEILING(C704/$H$3,1)*CEILING($H$2/$H$3,1)/CEILING(C704/$H$3,1)</f>
        <v>1</v>
      </c>
      <c r="F704" s="28">
        <f>$B$5/D704/B704*E704</f>
        <v>1.7010000000000003</v>
      </c>
    </row>
    <row r="705" spans="1:6" x14ac:dyDescent="0.4">
      <c r="A705" s="28">
        <f t="shared" si="21"/>
        <v>989</v>
      </c>
      <c r="B705" s="28">
        <f t="shared" si="20"/>
        <v>0.19821605550049554</v>
      </c>
      <c r="C705" s="28">
        <f>A705+$E$6</f>
        <v>1011</v>
      </c>
      <c r="D705" s="28">
        <f>CEILING(C705/$H$3,1)*CEILING($H$2/$H$3,1)/CEILING($H$2/$H$3,1)</f>
        <v>4</v>
      </c>
      <c r="E705" s="28">
        <f>CEILING(C705/$H$3,1)*CEILING($H$2/$H$3,1)/CEILING(C705/$H$3,1)</f>
        <v>1</v>
      </c>
      <c r="F705" s="28">
        <f>$B$5/D705/B705*E705</f>
        <v>1.7026875000000001</v>
      </c>
    </row>
    <row r="706" spans="1:6" x14ac:dyDescent="0.4">
      <c r="A706" s="28">
        <f t="shared" si="21"/>
        <v>990</v>
      </c>
      <c r="B706" s="28">
        <f t="shared" si="20"/>
        <v>0.19801980198019803</v>
      </c>
      <c r="C706" s="28">
        <f>A706+$E$6</f>
        <v>1012</v>
      </c>
      <c r="D706" s="28">
        <f>CEILING(C706/$H$3,1)*CEILING($H$2/$H$3,1)/CEILING($H$2/$H$3,1)</f>
        <v>4</v>
      </c>
      <c r="E706" s="28">
        <f>CEILING(C706/$H$3,1)*CEILING($H$2/$H$3,1)/CEILING(C706/$H$3,1)</f>
        <v>1</v>
      </c>
      <c r="F706" s="28">
        <f>$B$5/D706/B706*E706</f>
        <v>1.704375</v>
      </c>
    </row>
    <row r="707" spans="1:6" x14ac:dyDescent="0.4">
      <c r="A707" s="28">
        <f t="shared" si="21"/>
        <v>991</v>
      </c>
      <c r="B707" s="28">
        <f t="shared" si="20"/>
        <v>0.19782393669634027</v>
      </c>
      <c r="C707" s="28">
        <f>A707+$E$6</f>
        <v>1013</v>
      </c>
      <c r="D707" s="28">
        <f>CEILING(C707/$H$3,1)*CEILING($H$2/$H$3,1)/CEILING($H$2/$H$3,1)</f>
        <v>4</v>
      </c>
      <c r="E707" s="28">
        <f>CEILING(C707/$H$3,1)*CEILING($H$2/$H$3,1)/CEILING(C707/$H$3,1)</f>
        <v>1</v>
      </c>
      <c r="F707" s="28">
        <f>$B$5/D707/B707*E707</f>
        <v>1.7060625</v>
      </c>
    </row>
    <row r="708" spans="1:6" x14ac:dyDescent="0.4">
      <c r="A708" s="28">
        <f t="shared" si="21"/>
        <v>992</v>
      </c>
      <c r="B708" s="28">
        <f t="shared" si="20"/>
        <v>0.19762845849802371</v>
      </c>
      <c r="C708" s="28">
        <f>A708+$E$6</f>
        <v>1014</v>
      </c>
      <c r="D708" s="28">
        <f>CEILING(C708/$H$3,1)*CEILING($H$2/$H$3,1)/CEILING($H$2/$H$3,1)</f>
        <v>4</v>
      </c>
      <c r="E708" s="28">
        <f>CEILING(C708/$H$3,1)*CEILING($H$2/$H$3,1)/CEILING(C708/$H$3,1)</f>
        <v>1</v>
      </c>
      <c r="F708" s="28">
        <f>$B$5/D708/B708*E708</f>
        <v>1.7077500000000001</v>
      </c>
    </row>
    <row r="709" spans="1:6" x14ac:dyDescent="0.4">
      <c r="A709" s="28">
        <f t="shared" si="21"/>
        <v>993</v>
      </c>
      <c r="B709" s="28">
        <f t="shared" si="20"/>
        <v>0.19743336623889438</v>
      </c>
      <c r="C709" s="28">
        <f>A709+$E$6</f>
        <v>1015</v>
      </c>
      <c r="D709" s="28">
        <f>CEILING(C709/$H$3,1)*CEILING($H$2/$H$3,1)/CEILING($H$2/$H$3,1)</f>
        <v>4</v>
      </c>
      <c r="E709" s="28">
        <f>CEILING(C709/$H$3,1)*CEILING($H$2/$H$3,1)/CEILING(C709/$H$3,1)</f>
        <v>1</v>
      </c>
      <c r="F709" s="28">
        <f>$B$5/D709/B709*E709</f>
        <v>1.7094375000000002</v>
      </c>
    </row>
    <row r="710" spans="1:6" x14ac:dyDescent="0.4">
      <c r="A710" s="28">
        <f t="shared" si="21"/>
        <v>994</v>
      </c>
      <c r="B710" s="28">
        <f t="shared" si="20"/>
        <v>0.19723865877712032</v>
      </c>
      <c r="C710" s="28">
        <f>A710+$E$6</f>
        <v>1016</v>
      </c>
      <c r="D710" s="28">
        <f>CEILING(C710/$H$3,1)*CEILING($H$2/$H$3,1)/CEILING($H$2/$H$3,1)</f>
        <v>4</v>
      </c>
      <c r="E710" s="28">
        <f>CEILING(C710/$H$3,1)*CEILING($H$2/$H$3,1)/CEILING(C710/$H$3,1)</f>
        <v>1</v>
      </c>
      <c r="F710" s="28">
        <f>$B$5/D710/B710*E710</f>
        <v>1.711125</v>
      </c>
    </row>
    <row r="711" spans="1:6" x14ac:dyDescent="0.4">
      <c r="A711" s="28">
        <f t="shared" si="21"/>
        <v>995</v>
      </c>
      <c r="B711" s="28">
        <f t="shared" si="20"/>
        <v>0.19704433497536947</v>
      </c>
      <c r="C711" s="28">
        <f>A711+$E$6</f>
        <v>1017</v>
      </c>
      <c r="D711" s="28">
        <f>CEILING(C711/$H$3,1)*CEILING($H$2/$H$3,1)/CEILING($H$2/$H$3,1)</f>
        <v>4</v>
      </c>
      <c r="E711" s="28">
        <f>CEILING(C711/$H$3,1)*CEILING($H$2/$H$3,1)/CEILING(C711/$H$3,1)</f>
        <v>1</v>
      </c>
      <c r="F711" s="28">
        <f>$B$5/D711/B711*E711</f>
        <v>1.7128125000000001</v>
      </c>
    </row>
    <row r="712" spans="1:6" x14ac:dyDescent="0.4">
      <c r="A712" s="28">
        <f t="shared" si="21"/>
        <v>996</v>
      </c>
      <c r="B712" s="28">
        <f t="shared" si="20"/>
        <v>0.19685039370078741</v>
      </c>
      <c r="C712" s="28">
        <f>A712+$E$6</f>
        <v>1018</v>
      </c>
      <c r="D712" s="28">
        <f>CEILING(C712/$H$3,1)*CEILING($H$2/$H$3,1)/CEILING($H$2/$H$3,1)</f>
        <v>4</v>
      </c>
      <c r="E712" s="28">
        <f>CEILING(C712/$H$3,1)*CEILING($H$2/$H$3,1)/CEILING(C712/$H$3,1)</f>
        <v>1</v>
      </c>
      <c r="F712" s="28">
        <f>$B$5/D712/B712*E712</f>
        <v>1.7144999999999999</v>
      </c>
    </row>
    <row r="713" spans="1:6" x14ac:dyDescent="0.4">
      <c r="A713" s="28">
        <f t="shared" si="21"/>
        <v>997</v>
      </c>
      <c r="B713" s="28">
        <f t="shared" si="20"/>
        <v>0.19665683382497542</v>
      </c>
      <c r="C713" s="28">
        <f>A713+$E$6</f>
        <v>1019</v>
      </c>
      <c r="D713" s="28">
        <f>CEILING(C713/$H$3,1)*CEILING($H$2/$H$3,1)/CEILING($H$2/$H$3,1)</f>
        <v>4</v>
      </c>
      <c r="E713" s="28">
        <f>CEILING(C713/$H$3,1)*CEILING($H$2/$H$3,1)/CEILING(C713/$H$3,1)</f>
        <v>1</v>
      </c>
      <c r="F713" s="28">
        <f>$B$5/D713/B713*E713</f>
        <v>1.7161875</v>
      </c>
    </row>
    <row r="714" spans="1:6" x14ac:dyDescent="0.4">
      <c r="A714" s="28">
        <f t="shared" si="21"/>
        <v>998</v>
      </c>
      <c r="B714" s="28">
        <f t="shared" si="20"/>
        <v>0.19646365422396855</v>
      </c>
      <c r="C714" s="28">
        <f>A714+$E$6</f>
        <v>1020</v>
      </c>
      <c r="D714" s="28">
        <f>CEILING(C714/$H$3,1)*CEILING($H$2/$H$3,1)/CEILING($H$2/$H$3,1)</f>
        <v>4</v>
      </c>
      <c r="E714" s="28">
        <f>CEILING(C714/$H$3,1)*CEILING($H$2/$H$3,1)/CEILING(C714/$H$3,1)</f>
        <v>1</v>
      </c>
      <c r="F714" s="28">
        <f>$B$5/D714/B714*E714</f>
        <v>1.7178750000000003</v>
      </c>
    </row>
    <row r="715" spans="1:6" x14ac:dyDescent="0.4">
      <c r="A715" s="28">
        <f t="shared" si="21"/>
        <v>999</v>
      </c>
      <c r="B715" s="28">
        <f t="shared" ref="B715:B778" si="22">$B$4/8/(A715+$B$2)</f>
        <v>0.19627085377821393</v>
      </c>
      <c r="C715" s="28">
        <f>A715+$E$6</f>
        <v>1021</v>
      </c>
      <c r="D715" s="28">
        <f>CEILING(C715/$H$3,1)*CEILING($H$2/$H$3,1)/CEILING($H$2/$H$3,1)</f>
        <v>4</v>
      </c>
      <c r="E715" s="28">
        <f>CEILING(C715/$H$3,1)*CEILING($H$2/$H$3,1)/CEILING(C715/$H$3,1)</f>
        <v>1</v>
      </c>
      <c r="F715" s="28">
        <f>$B$5/D715/B715*E715</f>
        <v>1.7195625000000001</v>
      </c>
    </row>
    <row r="716" spans="1:6" x14ac:dyDescent="0.4">
      <c r="A716" s="28">
        <f t="shared" si="21"/>
        <v>1000</v>
      </c>
      <c r="B716" s="28">
        <f t="shared" si="22"/>
        <v>0.19607843137254902</v>
      </c>
      <c r="C716" s="28">
        <f>A716+$E$6</f>
        <v>1022</v>
      </c>
      <c r="D716" s="28">
        <f>CEILING(C716/$H$3,1)*CEILING($H$2/$H$3,1)/CEILING($H$2/$H$3,1)</f>
        <v>4</v>
      </c>
      <c r="E716" s="28">
        <f>CEILING(C716/$H$3,1)*CEILING($H$2/$H$3,1)/CEILING(C716/$H$3,1)</f>
        <v>1</v>
      </c>
      <c r="F716" s="28">
        <f>$B$5/D716/B716*E716</f>
        <v>1.7212500000000002</v>
      </c>
    </row>
    <row r="717" spans="1:6" x14ac:dyDescent="0.4">
      <c r="A717" s="28">
        <f t="shared" ref="A717:A780" si="23">A716+$B$3</f>
        <v>1001</v>
      </c>
      <c r="B717" s="28">
        <f t="shared" si="22"/>
        <v>0.19588638589618021</v>
      </c>
      <c r="C717" s="28">
        <f>A717+$E$6</f>
        <v>1023</v>
      </c>
      <c r="D717" s="28">
        <f>CEILING(C717/$H$3,1)*CEILING($H$2/$H$3,1)/CEILING($H$2/$H$3,1)</f>
        <v>4</v>
      </c>
      <c r="E717" s="28">
        <f>CEILING(C717/$H$3,1)*CEILING($H$2/$H$3,1)/CEILING(C717/$H$3,1)</f>
        <v>1</v>
      </c>
      <c r="F717" s="28">
        <f>$B$5/D717/B717*E717</f>
        <v>1.7229375000000002</v>
      </c>
    </row>
    <row r="718" spans="1:6" x14ac:dyDescent="0.4">
      <c r="A718" s="28">
        <f t="shared" si="23"/>
        <v>1002</v>
      </c>
      <c r="B718" s="28">
        <f t="shared" si="22"/>
        <v>0.19569471624266144</v>
      </c>
      <c r="C718" s="28">
        <f>A718+$E$6</f>
        <v>1024</v>
      </c>
      <c r="D718" s="28">
        <f>CEILING(C718/$H$3,1)*CEILING($H$2/$H$3,1)/CEILING($H$2/$H$3,1)</f>
        <v>4</v>
      </c>
      <c r="E718" s="28">
        <f>CEILING(C718/$H$3,1)*CEILING($H$2/$H$3,1)/CEILING(C718/$H$3,1)</f>
        <v>1</v>
      </c>
      <c r="F718" s="28">
        <f>$B$5/D718/B718*E718</f>
        <v>1.7246250000000003</v>
      </c>
    </row>
    <row r="719" spans="1:6" x14ac:dyDescent="0.4">
      <c r="A719" s="28">
        <f t="shared" si="23"/>
        <v>1003</v>
      </c>
      <c r="B719" s="28">
        <f t="shared" si="22"/>
        <v>0.19550342130987292</v>
      </c>
      <c r="C719" s="28">
        <f>A719+$E$6</f>
        <v>1025</v>
      </c>
      <c r="D719" s="28">
        <f>CEILING(C719/$H$3,1)*CEILING($H$2/$H$3,1)/CEILING($H$2/$H$3,1)</f>
        <v>5</v>
      </c>
      <c r="E719" s="28">
        <f>CEILING(C719/$H$3,1)*CEILING($H$2/$H$3,1)/CEILING(C719/$H$3,1)</f>
        <v>1</v>
      </c>
      <c r="F719" s="28">
        <f>$B$5/D719/B719*E719</f>
        <v>1.3810500000000001</v>
      </c>
    </row>
    <row r="720" spans="1:6" x14ac:dyDescent="0.4">
      <c r="A720" s="28">
        <f t="shared" si="23"/>
        <v>1004</v>
      </c>
      <c r="B720" s="28">
        <f t="shared" si="22"/>
        <v>0.1953125</v>
      </c>
      <c r="C720" s="28">
        <f>A720+$E$6</f>
        <v>1026</v>
      </c>
      <c r="D720" s="28">
        <f>CEILING(C720/$H$3,1)*CEILING($H$2/$H$3,1)/CEILING($H$2/$H$3,1)</f>
        <v>5</v>
      </c>
      <c r="E720" s="28">
        <f>CEILING(C720/$H$3,1)*CEILING($H$2/$H$3,1)/CEILING(C720/$H$3,1)</f>
        <v>1</v>
      </c>
      <c r="F720" s="28">
        <f>$B$5/D720/B720*E720</f>
        <v>1.3824000000000001</v>
      </c>
    </row>
    <row r="721" spans="1:6" x14ac:dyDescent="0.4">
      <c r="A721" s="28">
        <f t="shared" si="23"/>
        <v>1005</v>
      </c>
      <c r="B721" s="28">
        <f t="shared" si="22"/>
        <v>0.1951219512195122</v>
      </c>
      <c r="C721" s="28">
        <f>A721+$E$6</f>
        <v>1027</v>
      </c>
      <c r="D721" s="28">
        <f>CEILING(C721/$H$3,1)*CEILING($H$2/$H$3,1)/CEILING($H$2/$H$3,1)</f>
        <v>5</v>
      </c>
      <c r="E721" s="28">
        <f>CEILING(C721/$H$3,1)*CEILING($H$2/$H$3,1)/CEILING(C721/$H$3,1)</f>
        <v>1</v>
      </c>
      <c r="F721" s="28">
        <f>$B$5/D721/B721*E721</f>
        <v>1.38375</v>
      </c>
    </row>
    <row r="722" spans="1:6" x14ac:dyDescent="0.4">
      <c r="A722" s="28">
        <f t="shared" si="23"/>
        <v>1006</v>
      </c>
      <c r="B722" s="28">
        <f t="shared" si="22"/>
        <v>0.19493177387914229</v>
      </c>
      <c r="C722" s="28">
        <f>A722+$E$6</f>
        <v>1028</v>
      </c>
      <c r="D722" s="28">
        <f>CEILING(C722/$H$3,1)*CEILING($H$2/$H$3,1)/CEILING($H$2/$H$3,1)</f>
        <v>5</v>
      </c>
      <c r="E722" s="28">
        <f>CEILING(C722/$H$3,1)*CEILING($H$2/$H$3,1)/CEILING(C722/$H$3,1)</f>
        <v>1</v>
      </c>
      <c r="F722" s="28">
        <f>$B$5/D722/B722*E722</f>
        <v>1.3851000000000002</v>
      </c>
    </row>
    <row r="723" spans="1:6" x14ac:dyDescent="0.4">
      <c r="A723" s="28">
        <f t="shared" si="23"/>
        <v>1007</v>
      </c>
      <c r="B723" s="28">
        <f t="shared" si="22"/>
        <v>0.19474196689386564</v>
      </c>
      <c r="C723" s="28">
        <f>A723+$E$6</f>
        <v>1029</v>
      </c>
      <c r="D723" s="28">
        <f>CEILING(C723/$H$3,1)*CEILING($H$2/$H$3,1)/CEILING($H$2/$H$3,1)</f>
        <v>5</v>
      </c>
      <c r="E723" s="28">
        <f>CEILING(C723/$H$3,1)*CEILING($H$2/$H$3,1)/CEILING(C723/$H$3,1)</f>
        <v>1</v>
      </c>
      <c r="F723" s="28">
        <f>$B$5/D723/B723*E723</f>
        <v>1.38645</v>
      </c>
    </row>
    <row r="724" spans="1:6" x14ac:dyDescent="0.4">
      <c r="A724" s="28">
        <f t="shared" si="23"/>
        <v>1008</v>
      </c>
      <c r="B724" s="28">
        <f t="shared" si="22"/>
        <v>0.19455252918287938</v>
      </c>
      <c r="C724" s="28">
        <f>A724+$E$6</f>
        <v>1030</v>
      </c>
      <c r="D724" s="28">
        <f>CEILING(C724/$H$3,1)*CEILING($H$2/$H$3,1)/CEILING($H$2/$H$3,1)</f>
        <v>5</v>
      </c>
      <c r="E724" s="28">
        <f>CEILING(C724/$H$3,1)*CEILING($H$2/$H$3,1)/CEILING(C724/$H$3,1)</f>
        <v>1</v>
      </c>
      <c r="F724" s="28">
        <f>$B$5/D724/B724*E724</f>
        <v>1.3878000000000001</v>
      </c>
    </row>
    <row r="725" spans="1:6" x14ac:dyDescent="0.4">
      <c r="A725" s="28">
        <f t="shared" si="23"/>
        <v>1009</v>
      </c>
      <c r="B725" s="28">
        <f t="shared" si="22"/>
        <v>0.19436345966958213</v>
      </c>
      <c r="C725" s="28">
        <f>A725+$E$6</f>
        <v>1031</v>
      </c>
      <c r="D725" s="28">
        <f>CEILING(C725/$H$3,1)*CEILING($H$2/$H$3,1)/CEILING($H$2/$H$3,1)</f>
        <v>5</v>
      </c>
      <c r="E725" s="28">
        <f>CEILING(C725/$H$3,1)*CEILING($H$2/$H$3,1)/CEILING(C725/$H$3,1)</f>
        <v>1</v>
      </c>
      <c r="F725" s="28">
        <f>$B$5/D725/B725*E725</f>
        <v>1.3891500000000001</v>
      </c>
    </row>
    <row r="726" spans="1:6" x14ac:dyDescent="0.4">
      <c r="A726" s="28">
        <f t="shared" si="23"/>
        <v>1010</v>
      </c>
      <c r="B726" s="28">
        <f t="shared" si="22"/>
        <v>0.1941747572815534</v>
      </c>
      <c r="C726" s="28">
        <f>A726+$E$6</f>
        <v>1032</v>
      </c>
      <c r="D726" s="28">
        <f>CEILING(C726/$H$3,1)*CEILING($H$2/$H$3,1)/CEILING($H$2/$H$3,1)</f>
        <v>5</v>
      </c>
      <c r="E726" s="28">
        <f>CEILING(C726/$H$3,1)*CEILING($H$2/$H$3,1)/CEILING(C726/$H$3,1)</f>
        <v>1</v>
      </c>
      <c r="F726" s="28">
        <f>$B$5/D726/B726*E726</f>
        <v>1.3905000000000001</v>
      </c>
    </row>
    <row r="727" spans="1:6" x14ac:dyDescent="0.4">
      <c r="A727" s="28">
        <f t="shared" si="23"/>
        <v>1011</v>
      </c>
      <c r="B727" s="28">
        <f t="shared" si="22"/>
        <v>0.19398642095053345</v>
      </c>
      <c r="C727" s="28">
        <f>A727+$E$6</f>
        <v>1033</v>
      </c>
      <c r="D727" s="28">
        <f>CEILING(C727/$H$3,1)*CEILING($H$2/$H$3,1)/CEILING($H$2/$H$3,1)</f>
        <v>5</v>
      </c>
      <c r="E727" s="28">
        <f>CEILING(C727/$H$3,1)*CEILING($H$2/$H$3,1)/CEILING(C727/$H$3,1)</f>
        <v>1</v>
      </c>
      <c r="F727" s="28">
        <f>$B$5/D727/B727*E727</f>
        <v>1.3918500000000003</v>
      </c>
    </row>
    <row r="728" spans="1:6" x14ac:dyDescent="0.4">
      <c r="A728" s="28">
        <f t="shared" si="23"/>
        <v>1012</v>
      </c>
      <c r="B728" s="28">
        <f t="shared" si="22"/>
        <v>0.19379844961240311</v>
      </c>
      <c r="C728" s="28">
        <f>A728+$E$6</f>
        <v>1034</v>
      </c>
      <c r="D728" s="28">
        <f>CEILING(C728/$H$3,1)*CEILING($H$2/$H$3,1)/CEILING($H$2/$H$3,1)</f>
        <v>5</v>
      </c>
      <c r="E728" s="28">
        <f>CEILING(C728/$H$3,1)*CEILING($H$2/$H$3,1)/CEILING(C728/$H$3,1)</f>
        <v>1</v>
      </c>
      <c r="F728" s="28">
        <f>$B$5/D728/B728*E728</f>
        <v>1.3932</v>
      </c>
    </row>
    <row r="729" spans="1:6" x14ac:dyDescent="0.4">
      <c r="A729" s="28">
        <f t="shared" si="23"/>
        <v>1013</v>
      </c>
      <c r="B729" s="28">
        <f t="shared" si="22"/>
        <v>0.1936108422071636</v>
      </c>
      <c r="C729" s="28">
        <f>A729+$E$6</f>
        <v>1035</v>
      </c>
      <c r="D729" s="28">
        <f>CEILING(C729/$H$3,1)*CEILING($H$2/$H$3,1)/CEILING($H$2/$H$3,1)</f>
        <v>5</v>
      </c>
      <c r="E729" s="28">
        <f>CEILING(C729/$H$3,1)*CEILING($H$2/$H$3,1)/CEILING(C729/$H$3,1)</f>
        <v>1</v>
      </c>
      <c r="F729" s="28">
        <f>$B$5/D729/B729*E729</f>
        <v>1.3945500000000002</v>
      </c>
    </row>
    <row r="730" spans="1:6" x14ac:dyDescent="0.4">
      <c r="A730" s="28">
        <f t="shared" si="23"/>
        <v>1014</v>
      </c>
      <c r="B730" s="28">
        <f t="shared" si="22"/>
        <v>0.19342359767891681</v>
      </c>
      <c r="C730" s="28">
        <f>A730+$E$6</f>
        <v>1036</v>
      </c>
      <c r="D730" s="28">
        <f>CEILING(C730/$H$3,1)*CEILING($H$2/$H$3,1)/CEILING($H$2/$H$3,1)</f>
        <v>5</v>
      </c>
      <c r="E730" s="28">
        <f>CEILING(C730/$H$3,1)*CEILING($H$2/$H$3,1)/CEILING(C730/$H$3,1)</f>
        <v>1</v>
      </c>
      <c r="F730" s="28">
        <f>$B$5/D730/B730*E730</f>
        <v>1.3959000000000001</v>
      </c>
    </row>
    <row r="731" spans="1:6" x14ac:dyDescent="0.4">
      <c r="A731" s="28">
        <f t="shared" si="23"/>
        <v>1015</v>
      </c>
      <c r="B731" s="28">
        <f t="shared" si="22"/>
        <v>0.19323671497584541</v>
      </c>
      <c r="C731" s="28">
        <f>A731+$E$6</f>
        <v>1037</v>
      </c>
      <c r="D731" s="28">
        <f>CEILING(C731/$H$3,1)*CEILING($H$2/$H$3,1)/CEILING($H$2/$H$3,1)</f>
        <v>5</v>
      </c>
      <c r="E731" s="28">
        <f>CEILING(C731/$H$3,1)*CEILING($H$2/$H$3,1)/CEILING(C731/$H$3,1)</f>
        <v>1</v>
      </c>
      <c r="F731" s="28">
        <f>$B$5/D731/B731*E731</f>
        <v>1.3972500000000001</v>
      </c>
    </row>
    <row r="732" spans="1:6" x14ac:dyDescent="0.4">
      <c r="A732" s="28">
        <f t="shared" si="23"/>
        <v>1016</v>
      </c>
      <c r="B732" s="28">
        <f t="shared" si="22"/>
        <v>0.19305019305019305</v>
      </c>
      <c r="C732" s="28">
        <f>A732+$E$6</f>
        <v>1038</v>
      </c>
      <c r="D732" s="28">
        <f>CEILING(C732/$H$3,1)*CEILING($H$2/$H$3,1)/CEILING($H$2/$H$3,1)</f>
        <v>5</v>
      </c>
      <c r="E732" s="28">
        <f>CEILING(C732/$H$3,1)*CEILING($H$2/$H$3,1)/CEILING(C732/$H$3,1)</f>
        <v>1</v>
      </c>
      <c r="F732" s="28">
        <f>$B$5/D732/B732*E732</f>
        <v>1.3986000000000001</v>
      </c>
    </row>
    <row r="733" spans="1:6" x14ac:dyDescent="0.4">
      <c r="A733" s="28">
        <f t="shared" si="23"/>
        <v>1017</v>
      </c>
      <c r="B733" s="28">
        <f t="shared" si="22"/>
        <v>0.19286403085824494</v>
      </c>
      <c r="C733" s="28">
        <f>A733+$E$6</f>
        <v>1039</v>
      </c>
      <c r="D733" s="28">
        <f>CEILING(C733/$H$3,1)*CEILING($H$2/$H$3,1)/CEILING($H$2/$H$3,1)</f>
        <v>5</v>
      </c>
      <c r="E733" s="28">
        <f>CEILING(C733/$H$3,1)*CEILING($H$2/$H$3,1)/CEILING(C733/$H$3,1)</f>
        <v>1</v>
      </c>
      <c r="F733" s="28">
        <f>$B$5/D733/B733*E733</f>
        <v>1.39995</v>
      </c>
    </row>
    <row r="734" spans="1:6" x14ac:dyDescent="0.4">
      <c r="A734" s="28">
        <f t="shared" si="23"/>
        <v>1018</v>
      </c>
      <c r="B734" s="28">
        <f t="shared" si="22"/>
        <v>0.19267822736030829</v>
      </c>
      <c r="C734" s="28">
        <f>A734+$E$6</f>
        <v>1040</v>
      </c>
      <c r="D734" s="28">
        <f>CEILING(C734/$H$3,1)*CEILING($H$2/$H$3,1)/CEILING($H$2/$H$3,1)</f>
        <v>5</v>
      </c>
      <c r="E734" s="28">
        <f>CEILING(C734/$H$3,1)*CEILING($H$2/$H$3,1)/CEILING(C734/$H$3,1)</f>
        <v>1</v>
      </c>
      <c r="F734" s="28">
        <f>$B$5/D734/B734*E734</f>
        <v>1.4013</v>
      </c>
    </row>
    <row r="735" spans="1:6" x14ac:dyDescent="0.4">
      <c r="A735" s="28">
        <f t="shared" si="23"/>
        <v>1019</v>
      </c>
      <c r="B735" s="28">
        <f t="shared" si="22"/>
        <v>0.19249278152069296</v>
      </c>
      <c r="C735" s="28">
        <f>A735+$E$6</f>
        <v>1041</v>
      </c>
      <c r="D735" s="28">
        <f>CEILING(C735/$H$3,1)*CEILING($H$2/$H$3,1)/CEILING($H$2/$H$3,1)</f>
        <v>5</v>
      </c>
      <c r="E735" s="28">
        <f>CEILING(C735/$H$3,1)*CEILING($H$2/$H$3,1)/CEILING(C735/$H$3,1)</f>
        <v>1</v>
      </c>
      <c r="F735" s="28">
        <f>$B$5/D735/B735*E735</f>
        <v>1.4026500000000002</v>
      </c>
    </row>
    <row r="736" spans="1:6" x14ac:dyDescent="0.4">
      <c r="A736" s="28">
        <f t="shared" si="23"/>
        <v>1020</v>
      </c>
      <c r="B736" s="28">
        <f t="shared" si="22"/>
        <v>0.19230769230769232</v>
      </c>
      <c r="C736" s="28">
        <f>A736+$E$6</f>
        <v>1042</v>
      </c>
      <c r="D736" s="28">
        <f>CEILING(C736/$H$3,1)*CEILING($H$2/$H$3,1)/CEILING($H$2/$H$3,1)</f>
        <v>5</v>
      </c>
      <c r="E736" s="28">
        <f>CEILING(C736/$H$3,1)*CEILING($H$2/$H$3,1)/CEILING(C736/$H$3,1)</f>
        <v>1</v>
      </c>
      <c r="F736" s="28">
        <f>$B$5/D736/B736*E736</f>
        <v>1.4039999999999999</v>
      </c>
    </row>
    <row r="737" spans="1:6" x14ac:dyDescent="0.4">
      <c r="A737" s="28">
        <f t="shared" si="23"/>
        <v>1021</v>
      </c>
      <c r="B737" s="28">
        <f t="shared" si="22"/>
        <v>0.19212295869356388</v>
      </c>
      <c r="C737" s="28">
        <f>A737+$E$6</f>
        <v>1043</v>
      </c>
      <c r="D737" s="28">
        <f>CEILING(C737/$H$3,1)*CEILING($H$2/$H$3,1)/CEILING($H$2/$H$3,1)</f>
        <v>5</v>
      </c>
      <c r="E737" s="28">
        <f>CEILING(C737/$H$3,1)*CEILING($H$2/$H$3,1)/CEILING(C737/$H$3,1)</f>
        <v>1</v>
      </c>
      <c r="F737" s="28">
        <f>$B$5/D737/B737*E737</f>
        <v>1.4053500000000001</v>
      </c>
    </row>
    <row r="738" spans="1:6" x14ac:dyDescent="0.4">
      <c r="A738" s="28">
        <f t="shared" si="23"/>
        <v>1022</v>
      </c>
      <c r="B738" s="28">
        <f t="shared" si="22"/>
        <v>0.19193857965451055</v>
      </c>
      <c r="C738" s="28">
        <f>A738+$E$6</f>
        <v>1044</v>
      </c>
      <c r="D738" s="28">
        <f>CEILING(C738/$H$3,1)*CEILING($H$2/$H$3,1)/CEILING($H$2/$H$3,1)</f>
        <v>5</v>
      </c>
      <c r="E738" s="28">
        <f>CEILING(C738/$H$3,1)*CEILING($H$2/$H$3,1)/CEILING(C738/$H$3,1)</f>
        <v>1</v>
      </c>
      <c r="F738" s="28">
        <f>$B$5/D738/B738*E738</f>
        <v>1.4067000000000001</v>
      </c>
    </row>
    <row r="739" spans="1:6" x14ac:dyDescent="0.4">
      <c r="A739" s="28">
        <f t="shared" si="23"/>
        <v>1023</v>
      </c>
      <c r="B739" s="28">
        <f t="shared" si="22"/>
        <v>0.19175455417066156</v>
      </c>
      <c r="C739" s="28">
        <f>A739+$E$6</f>
        <v>1045</v>
      </c>
      <c r="D739" s="28">
        <f>CEILING(C739/$H$3,1)*CEILING($H$2/$H$3,1)/CEILING($H$2/$H$3,1)</f>
        <v>5</v>
      </c>
      <c r="E739" s="28">
        <f>CEILING(C739/$H$3,1)*CEILING($H$2/$H$3,1)/CEILING(C739/$H$3,1)</f>
        <v>1</v>
      </c>
      <c r="F739" s="28">
        <f>$B$5/D739/B739*E739</f>
        <v>1.40805</v>
      </c>
    </row>
    <row r="740" spans="1:6" x14ac:dyDescent="0.4">
      <c r="A740" s="28">
        <f t="shared" si="23"/>
        <v>1024</v>
      </c>
      <c r="B740" s="28">
        <f t="shared" si="22"/>
        <v>0.19157088122605365</v>
      </c>
      <c r="C740" s="28">
        <f>A740+$E$6</f>
        <v>1046</v>
      </c>
      <c r="D740" s="28">
        <f>CEILING(C740/$H$3,1)*CEILING($H$2/$H$3,1)/CEILING($H$2/$H$3,1)</f>
        <v>5</v>
      </c>
      <c r="E740" s="28">
        <f>CEILING(C740/$H$3,1)*CEILING($H$2/$H$3,1)/CEILING(C740/$H$3,1)</f>
        <v>1</v>
      </c>
      <c r="F740" s="28">
        <f>$B$5/D740/B740*E740</f>
        <v>1.4094</v>
      </c>
    </row>
    <row r="741" spans="1:6" x14ac:dyDescent="0.4">
      <c r="A741" s="28">
        <f t="shared" si="23"/>
        <v>1025</v>
      </c>
      <c r="B741" s="28">
        <f t="shared" si="22"/>
        <v>0.19138755980861244</v>
      </c>
      <c r="C741" s="28">
        <f>A741+$E$6</f>
        <v>1047</v>
      </c>
      <c r="D741" s="28">
        <f>CEILING(C741/$H$3,1)*CEILING($H$2/$H$3,1)/CEILING($H$2/$H$3,1)</f>
        <v>5</v>
      </c>
      <c r="E741" s="28">
        <f>CEILING(C741/$H$3,1)*CEILING($H$2/$H$3,1)/CEILING(C741/$H$3,1)</f>
        <v>1</v>
      </c>
      <c r="F741" s="28">
        <f>$B$5/D741/B741*E741</f>
        <v>1.4107500000000002</v>
      </c>
    </row>
    <row r="742" spans="1:6" x14ac:dyDescent="0.4">
      <c r="A742" s="28">
        <f t="shared" si="23"/>
        <v>1026</v>
      </c>
      <c r="B742" s="28">
        <f t="shared" si="22"/>
        <v>0.19120458891013384</v>
      </c>
      <c r="C742" s="28">
        <f>A742+$E$6</f>
        <v>1048</v>
      </c>
      <c r="D742" s="28">
        <f>CEILING(C742/$H$3,1)*CEILING($H$2/$H$3,1)/CEILING($H$2/$H$3,1)</f>
        <v>5</v>
      </c>
      <c r="E742" s="28">
        <f>CEILING(C742/$H$3,1)*CEILING($H$2/$H$3,1)/CEILING(C742/$H$3,1)</f>
        <v>1</v>
      </c>
      <c r="F742" s="28">
        <f>$B$5/D742/B742*E742</f>
        <v>1.4121000000000001</v>
      </c>
    </row>
    <row r="743" spans="1:6" x14ac:dyDescent="0.4">
      <c r="A743" s="28">
        <f t="shared" si="23"/>
        <v>1027</v>
      </c>
      <c r="B743" s="28">
        <f t="shared" si="22"/>
        <v>0.19102196752626552</v>
      </c>
      <c r="C743" s="28">
        <f>A743+$E$6</f>
        <v>1049</v>
      </c>
      <c r="D743" s="28">
        <f>CEILING(C743/$H$3,1)*CEILING($H$2/$H$3,1)/CEILING($H$2/$H$3,1)</f>
        <v>5</v>
      </c>
      <c r="E743" s="28">
        <f>CEILING(C743/$H$3,1)*CEILING($H$2/$H$3,1)/CEILING(C743/$H$3,1)</f>
        <v>1</v>
      </c>
      <c r="F743" s="28">
        <f>$B$5/D743/B743*E743</f>
        <v>1.4134500000000001</v>
      </c>
    </row>
    <row r="744" spans="1:6" x14ac:dyDescent="0.4">
      <c r="A744" s="28">
        <f t="shared" si="23"/>
        <v>1028</v>
      </c>
      <c r="B744" s="28">
        <f t="shared" si="22"/>
        <v>0.19083969465648856</v>
      </c>
      <c r="C744" s="28">
        <f>A744+$E$6</f>
        <v>1050</v>
      </c>
      <c r="D744" s="28">
        <f>CEILING(C744/$H$3,1)*CEILING($H$2/$H$3,1)/CEILING($H$2/$H$3,1)</f>
        <v>5</v>
      </c>
      <c r="E744" s="28">
        <f>CEILING(C744/$H$3,1)*CEILING($H$2/$H$3,1)/CEILING(C744/$H$3,1)</f>
        <v>1</v>
      </c>
      <c r="F744" s="28">
        <f>$B$5/D744/B744*E744</f>
        <v>1.4148000000000001</v>
      </c>
    </row>
    <row r="745" spans="1:6" x14ac:dyDescent="0.4">
      <c r="A745" s="28">
        <f t="shared" si="23"/>
        <v>1029</v>
      </c>
      <c r="B745" s="28">
        <f t="shared" si="22"/>
        <v>0.19065776930409914</v>
      </c>
      <c r="C745" s="28">
        <f>A745+$E$6</f>
        <v>1051</v>
      </c>
      <c r="D745" s="28">
        <f>CEILING(C745/$H$3,1)*CEILING($H$2/$H$3,1)/CEILING($H$2/$H$3,1)</f>
        <v>5</v>
      </c>
      <c r="E745" s="28">
        <f>CEILING(C745/$H$3,1)*CEILING($H$2/$H$3,1)/CEILING(C745/$H$3,1)</f>
        <v>1</v>
      </c>
      <c r="F745" s="28">
        <f>$B$5/D745/B745*E745</f>
        <v>1.41615</v>
      </c>
    </row>
    <row r="746" spans="1:6" x14ac:dyDescent="0.4">
      <c r="A746" s="28">
        <f t="shared" si="23"/>
        <v>1030</v>
      </c>
      <c r="B746" s="28">
        <f t="shared" si="22"/>
        <v>0.19047619047619047</v>
      </c>
      <c r="C746" s="28">
        <f>A746+$E$6</f>
        <v>1052</v>
      </c>
      <c r="D746" s="28">
        <f>CEILING(C746/$H$3,1)*CEILING($H$2/$H$3,1)/CEILING($H$2/$H$3,1)</f>
        <v>5</v>
      </c>
      <c r="E746" s="28">
        <f>CEILING(C746/$H$3,1)*CEILING($H$2/$H$3,1)/CEILING(C746/$H$3,1)</f>
        <v>1</v>
      </c>
      <c r="F746" s="28">
        <f>$B$5/D746/B746*E746</f>
        <v>1.4175000000000002</v>
      </c>
    </row>
    <row r="747" spans="1:6" x14ac:dyDescent="0.4">
      <c r="A747" s="28">
        <f t="shared" si="23"/>
        <v>1031</v>
      </c>
      <c r="B747" s="28">
        <f t="shared" si="22"/>
        <v>0.19029495718363462</v>
      </c>
      <c r="C747" s="28">
        <f>A747+$E$6</f>
        <v>1053</v>
      </c>
      <c r="D747" s="28">
        <f>CEILING(C747/$H$3,1)*CEILING($H$2/$H$3,1)/CEILING($H$2/$H$3,1)</f>
        <v>5</v>
      </c>
      <c r="E747" s="28">
        <f>CEILING(C747/$H$3,1)*CEILING($H$2/$H$3,1)/CEILING(C747/$H$3,1)</f>
        <v>1</v>
      </c>
      <c r="F747" s="28">
        <f>$B$5/D747/B747*E747</f>
        <v>1.4188500000000002</v>
      </c>
    </row>
    <row r="748" spans="1:6" x14ac:dyDescent="0.4">
      <c r="A748" s="28">
        <f t="shared" si="23"/>
        <v>1032</v>
      </c>
      <c r="B748" s="28">
        <f t="shared" si="22"/>
        <v>0.19011406844106463</v>
      </c>
      <c r="C748" s="28">
        <f>A748+$E$6</f>
        <v>1054</v>
      </c>
      <c r="D748" s="28">
        <f>CEILING(C748/$H$3,1)*CEILING($H$2/$H$3,1)/CEILING($H$2/$H$3,1)</f>
        <v>5</v>
      </c>
      <c r="E748" s="28">
        <f>CEILING(C748/$H$3,1)*CEILING($H$2/$H$3,1)/CEILING(C748/$H$3,1)</f>
        <v>1</v>
      </c>
      <c r="F748" s="28">
        <f>$B$5/D748/B748*E748</f>
        <v>1.4202000000000001</v>
      </c>
    </row>
    <row r="749" spans="1:6" x14ac:dyDescent="0.4">
      <c r="A749" s="28">
        <f t="shared" si="23"/>
        <v>1033</v>
      </c>
      <c r="B749" s="28">
        <f t="shared" si="22"/>
        <v>0.18993352326685661</v>
      </c>
      <c r="C749" s="28">
        <f>A749+$E$6</f>
        <v>1055</v>
      </c>
      <c r="D749" s="28">
        <f>CEILING(C749/$H$3,1)*CEILING($H$2/$H$3,1)/CEILING($H$2/$H$3,1)</f>
        <v>5</v>
      </c>
      <c r="E749" s="28">
        <f>CEILING(C749/$H$3,1)*CEILING($H$2/$H$3,1)/CEILING(C749/$H$3,1)</f>
        <v>1</v>
      </c>
      <c r="F749" s="28">
        <f>$B$5/D749/B749*E749</f>
        <v>1.4215500000000001</v>
      </c>
    </row>
    <row r="750" spans="1:6" x14ac:dyDescent="0.4">
      <c r="A750" s="28">
        <f t="shared" si="23"/>
        <v>1034</v>
      </c>
      <c r="B750" s="28">
        <f t="shared" si="22"/>
        <v>0.18975332068311196</v>
      </c>
      <c r="C750" s="28">
        <f>A750+$E$6</f>
        <v>1056</v>
      </c>
      <c r="D750" s="28">
        <f>CEILING(C750/$H$3,1)*CEILING($H$2/$H$3,1)/CEILING($H$2/$H$3,1)</f>
        <v>5</v>
      </c>
      <c r="E750" s="28">
        <f>CEILING(C750/$H$3,1)*CEILING($H$2/$H$3,1)/CEILING(C750/$H$3,1)</f>
        <v>1</v>
      </c>
      <c r="F750" s="28">
        <f>$B$5/D750/B750*E750</f>
        <v>1.4229000000000001</v>
      </c>
    </row>
    <row r="751" spans="1:6" x14ac:dyDescent="0.4">
      <c r="A751" s="28">
        <f t="shared" si="23"/>
        <v>1035</v>
      </c>
      <c r="B751" s="28">
        <f t="shared" si="22"/>
        <v>0.1895734597156398</v>
      </c>
      <c r="C751" s="28">
        <f>A751+$E$6</f>
        <v>1057</v>
      </c>
      <c r="D751" s="28">
        <f>CEILING(C751/$H$3,1)*CEILING($H$2/$H$3,1)/CEILING($H$2/$H$3,1)</f>
        <v>5</v>
      </c>
      <c r="E751" s="28">
        <f>CEILING(C751/$H$3,1)*CEILING($H$2/$H$3,1)/CEILING(C751/$H$3,1)</f>
        <v>1</v>
      </c>
      <c r="F751" s="28">
        <f>$B$5/D751/B751*E751</f>
        <v>1.4242500000000002</v>
      </c>
    </row>
    <row r="752" spans="1:6" x14ac:dyDescent="0.4">
      <c r="A752" s="28">
        <f t="shared" si="23"/>
        <v>1036</v>
      </c>
      <c r="B752" s="28">
        <f t="shared" si="22"/>
        <v>0.18939393939393939</v>
      </c>
      <c r="C752" s="28">
        <f>A752+$E$6</f>
        <v>1058</v>
      </c>
      <c r="D752" s="28">
        <f>CEILING(C752/$H$3,1)*CEILING($H$2/$H$3,1)/CEILING($H$2/$H$3,1)</f>
        <v>5</v>
      </c>
      <c r="E752" s="28">
        <f>CEILING(C752/$H$3,1)*CEILING($H$2/$H$3,1)/CEILING(C752/$H$3,1)</f>
        <v>1</v>
      </c>
      <c r="F752" s="28">
        <f>$B$5/D752/B752*E752</f>
        <v>1.4256000000000002</v>
      </c>
    </row>
    <row r="753" spans="1:6" x14ac:dyDescent="0.4">
      <c r="A753" s="28">
        <f t="shared" si="23"/>
        <v>1037</v>
      </c>
      <c r="B753" s="28">
        <f t="shared" si="22"/>
        <v>0.1892147587511826</v>
      </c>
      <c r="C753" s="28">
        <f>A753+$E$6</f>
        <v>1059</v>
      </c>
      <c r="D753" s="28">
        <f>CEILING(C753/$H$3,1)*CEILING($H$2/$H$3,1)/CEILING($H$2/$H$3,1)</f>
        <v>5</v>
      </c>
      <c r="E753" s="28">
        <f>CEILING(C753/$H$3,1)*CEILING($H$2/$H$3,1)/CEILING(C753/$H$3,1)</f>
        <v>1</v>
      </c>
      <c r="F753" s="28">
        <f>$B$5/D753/B753*E753</f>
        <v>1.4269499999999999</v>
      </c>
    </row>
    <row r="754" spans="1:6" x14ac:dyDescent="0.4">
      <c r="A754" s="28">
        <f t="shared" si="23"/>
        <v>1038</v>
      </c>
      <c r="B754" s="28">
        <f t="shared" si="22"/>
        <v>0.1890359168241966</v>
      </c>
      <c r="C754" s="28">
        <f>A754+$E$6</f>
        <v>1060</v>
      </c>
      <c r="D754" s="28">
        <f>CEILING(C754/$H$3,1)*CEILING($H$2/$H$3,1)/CEILING($H$2/$H$3,1)</f>
        <v>5</v>
      </c>
      <c r="E754" s="28">
        <f>CEILING(C754/$H$3,1)*CEILING($H$2/$H$3,1)/CEILING(C754/$H$3,1)</f>
        <v>1</v>
      </c>
      <c r="F754" s="28">
        <f>$B$5/D754/B754*E754</f>
        <v>1.4283000000000001</v>
      </c>
    </row>
    <row r="755" spans="1:6" x14ac:dyDescent="0.4">
      <c r="A755" s="28">
        <f t="shared" si="23"/>
        <v>1039</v>
      </c>
      <c r="B755" s="28">
        <f t="shared" si="22"/>
        <v>0.18885741265344666</v>
      </c>
      <c r="C755" s="28">
        <f>A755+$E$6</f>
        <v>1061</v>
      </c>
      <c r="D755" s="28">
        <f>CEILING(C755/$H$3,1)*CEILING($H$2/$H$3,1)/CEILING($H$2/$H$3,1)</f>
        <v>5</v>
      </c>
      <c r="E755" s="28">
        <f>CEILING(C755/$H$3,1)*CEILING($H$2/$H$3,1)/CEILING(C755/$H$3,1)</f>
        <v>1</v>
      </c>
      <c r="F755" s="28">
        <f>$B$5/D755/B755*E755</f>
        <v>1.4296500000000001</v>
      </c>
    </row>
    <row r="756" spans="1:6" x14ac:dyDescent="0.4">
      <c r="A756" s="28">
        <f t="shared" si="23"/>
        <v>1040</v>
      </c>
      <c r="B756" s="28">
        <f t="shared" si="22"/>
        <v>0.18867924528301888</v>
      </c>
      <c r="C756" s="28">
        <f>A756+$E$6</f>
        <v>1062</v>
      </c>
      <c r="D756" s="28">
        <f>CEILING(C756/$H$3,1)*CEILING($H$2/$H$3,1)/CEILING($H$2/$H$3,1)</f>
        <v>5</v>
      </c>
      <c r="E756" s="28">
        <f>CEILING(C756/$H$3,1)*CEILING($H$2/$H$3,1)/CEILING(C756/$H$3,1)</f>
        <v>1</v>
      </c>
      <c r="F756" s="28">
        <f>$B$5/D756/B756*E756</f>
        <v>1.431</v>
      </c>
    </row>
    <row r="757" spans="1:6" x14ac:dyDescent="0.4">
      <c r="A757" s="28">
        <f t="shared" si="23"/>
        <v>1041</v>
      </c>
      <c r="B757" s="28">
        <f t="shared" si="22"/>
        <v>0.1885014137606032</v>
      </c>
      <c r="C757" s="28">
        <f>A757+$E$6</f>
        <v>1063</v>
      </c>
      <c r="D757" s="28">
        <f>CEILING(C757/$H$3,1)*CEILING($H$2/$H$3,1)/CEILING($H$2/$H$3,1)</f>
        <v>5</v>
      </c>
      <c r="E757" s="28">
        <f>CEILING(C757/$H$3,1)*CEILING($H$2/$H$3,1)/CEILING(C757/$H$3,1)</f>
        <v>1</v>
      </c>
      <c r="F757" s="28">
        <f>$B$5/D757/B757*E757</f>
        <v>1.4323500000000002</v>
      </c>
    </row>
    <row r="758" spans="1:6" x14ac:dyDescent="0.4">
      <c r="A758" s="28">
        <f t="shared" si="23"/>
        <v>1042</v>
      </c>
      <c r="B758" s="28">
        <f t="shared" si="22"/>
        <v>0.18832391713747645</v>
      </c>
      <c r="C758" s="28">
        <f>A758+$E$6</f>
        <v>1064</v>
      </c>
      <c r="D758" s="28">
        <f>CEILING(C758/$H$3,1)*CEILING($H$2/$H$3,1)/CEILING($H$2/$H$3,1)</f>
        <v>5</v>
      </c>
      <c r="E758" s="28">
        <f>CEILING(C758/$H$3,1)*CEILING($H$2/$H$3,1)/CEILING(C758/$H$3,1)</f>
        <v>1</v>
      </c>
      <c r="F758" s="28">
        <f>$B$5/D758/B758*E758</f>
        <v>1.4337000000000002</v>
      </c>
    </row>
    <row r="759" spans="1:6" x14ac:dyDescent="0.4">
      <c r="A759" s="28">
        <f t="shared" si="23"/>
        <v>1043</v>
      </c>
      <c r="B759" s="28">
        <f t="shared" si="22"/>
        <v>0.18814675446848542</v>
      </c>
      <c r="C759" s="28">
        <f>A759+$E$6</f>
        <v>1065</v>
      </c>
      <c r="D759" s="28">
        <f>CEILING(C759/$H$3,1)*CEILING($H$2/$H$3,1)/CEILING($H$2/$H$3,1)</f>
        <v>5</v>
      </c>
      <c r="E759" s="28">
        <f>CEILING(C759/$H$3,1)*CEILING($H$2/$H$3,1)/CEILING(C759/$H$3,1)</f>
        <v>1</v>
      </c>
      <c r="F759" s="28">
        <f>$B$5/D759/B759*E759</f>
        <v>1.4350500000000002</v>
      </c>
    </row>
    <row r="760" spans="1:6" x14ac:dyDescent="0.4">
      <c r="A760" s="28">
        <f t="shared" si="23"/>
        <v>1044</v>
      </c>
      <c r="B760" s="28">
        <f t="shared" si="22"/>
        <v>0.18796992481203006</v>
      </c>
      <c r="C760" s="28">
        <f>A760+$E$6</f>
        <v>1066</v>
      </c>
      <c r="D760" s="28">
        <f>CEILING(C760/$H$3,1)*CEILING($H$2/$H$3,1)/CEILING($H$2/$H$3,1)</f>
        <v>5</v>
      </c>
      <c r="E760" s="28">
        <f>CEILING(C760/$H$3,1)*CEILING($H$2/$H$3,1)/CEILING(C760/$H$3,1)</f>
        <v>1</v>
      </c>
      <c r="F760" s="28">
        <f>$B$5/D760/B760*E760</f>
        <v>1.4364000000000001</v>
      </c>
    </row>
    <row r="761" spans="1:6" x14ac:dyDescent="0.4">
      <c r="A761" s="28">
        <f t="shared" si="23"/>
        <v>1045</v>
      </c>
      <c r="B761" s="28">
        <f t="shared" si="22"/>
        <v>0.18779342723004694</v>
      </c>
      <c r="C761" s="28">
        <f>A761+$E$6</f>
        <v>1067</v>
      </c>
      <c r="D761" s="28">
        <f>CEILING(C761/$H$3,1)*CEILING($H$2/$H$3,1)/CEILING($H$2/$H$3,1)</f>
        <v>5</v>
      </c>
      <c r="E761" s="28">
        <f>CEILING(C761/$H$3,1)*CEILING($H$2/$H$3,1)/CEILING(C761/$H$3,1)</f>
        <v>1</v>
      </c>
      <c r="F761" s="28">
        <f>$B$5/D761/B761*E761</f>
        <v>1.4377500000000001</v>
      </c>
    </row>
    <row r="762" spans="1:6" x14ac:dyDescent="0.4">
      <c r="A762" s="28">
        <f t="shared" si="23"/>
        <v>1046</v>
      </c>
      <c r="B762" s="28">
        <f t="shared" si="22"/>
        <v>0.18761726078799248</v>
      </c>
      <c r="C762" s="28">
        <f>A762+$E$6</f>
        <v>1068</v>
      </c>
      <c r="D762" s="28">
        <f>CEILING(C762/$H$3,1)*CEILING($H$2/$H$3,1)/CEILING($H$2/$H$3,1)</f>
        <v>5</v>
      </c>
      <c r="E762" s="28">
        <f>CEILING(C762/$H$3,1)*CEILING($H$2/$H$3,1)/CEILING(C762/$H$3,1)</f>
        <v>1</v>
      </c>
      <c r="F762" s="28">
        <f>$B$5/D762/B762*E762</f>
        <v>1.4391000000000003</v>
      </c>
    </row>
    <row r="763" spans="1:6" x14ac:dyDescent="0.4">
      <c r="A763" s="28">
        <f t="shared" si="23"/>
        <v>1047</v>
      </c>
      <c r="B763" s="28">
        <f t="shared" si="22"/>
        <v>0.18744142455482662</v>
      </c>
      <c r="C763" s="28">
        <f>A763+$E$6</f>
        <v>1069</v>
      </c>
      <c r="D763" s="28">
        <f>CEILING(C763/$H$3,1)*CEILING($H$2/$H$3,1)/CEILING($H$2/$H$3,1)</f>
        <v>5</v>
      </c>
      <c r="E763" s="28">
        <f>CEILING(C763/$H$3,1)*CEILING($H$2/$H$3,1)/CEILING(C763/$H$3,1)</f>
        <v>1</v>
      </c>
      <c r="F763" s="28">
        <f>$B$5/D763/B763*E763</f>
        <v>1.44045</v>
      </c>
    </row>
    <row r="764" spans="1:6" x14ac:dyDescent="0.4">
      <c r="A764" s="28">
        <f t="shared" si="23"/>
        <v>1048</v>
      </c>
      <c r="B764" s="28">
        <f t="shared" si="22"/>
        <v>0.18726591760299627</v>
      </c>
      <c r="C764" s="28">
        <f>A764+$E$6</f>
        <v>1070</v>
      </c>
      <c r="D764" s="28">
        <f>CEILING(C764/$H$3,1)*CEILING($H$2/$H$3,1)/CEILING($H$2/$H$3,1)</f>
        <v>5</v>
      </c>
      <c r="E764" s="28">
        <f>CEILING(C764/$H$3,1)*CEILING($H$2/$H$3,1)/CEILING(C764/$H$3,1)</f>
        <v>1</v>
      </c>
      <c r="F764" s="28">
        <f>$B$5/D764/B764*E764</f>
        <v>1.4418</v>
      </c>
    </row>
    <row r="765" spans="1:6" x14ac:dyDescent="0.4">
      <c r="A765" s="28">
        <f t="shared" si="23"/>
        <v>1049</v>
      </c>
      <c r="B765" s="28">
        <f t="shared" si="22"/>
        <v>0.18709073900841908</v>
      </c>
      <c r="C765" s="28">
        <f>A765+$E$6</f>
        <v>1071</v>
      </c>
      <c r="D765" s="28">
        <f>CEILING(C765/$H$3,1)*CEILING($H$2/$H$3,1)/CEILING($H$2/$H$3,1)</f>
        <v>5</v>
      </c>
      <c r="E765" s="28">
        <f>CEILING(C765/$H$3,1)*CEILING($H$2/$H$3,1)/CEILING(C765/$H$3,1)</f>
        <v>1</v>
      </c>
      <c r="F765" s="28">
        <f>$B$5/D765/B765*E765</f>
        <v>1.4431500000000002</v>
      </c>
    </row>
    <row r="766" spans="1:6" x14ac:dyDescent="0.4">
      <c r="A766" s="28">
        <f t="shared" si="23"/>
        <v>1050</v>
      </c>
      <c r="B766" s="28">
        <f t="shared" si="22"/>
        <v>0.18691588785046728</v>
      </c>
      <c r="C766" s="28">
        <f>A766+$E$6</f>
        <v>1072</v>
      </c>
      <c r="D766" s="28">
        <f>CEILING(C766/$H$3,1)*CEILING($H$2/$H$3,1)/CEILING($H$2/$H$3,1)</f>
        <v>5</v>
      </c>
      <c r="E766" s="28">
        <f>CEILING(C766/$H$3,1)*CEILING($H$2/$H$3,1)/CEILING(C766/$H$3,1)</f>
        <v>1</v>
      </c>
      <c r="F766" s="28">
        <f>$B$5/D766/B766*E766</f>
        <v>1.4445000000000001</v>
      </c>
    </row>
    <row r="767" spans="1:6" x14ac:dyDescent="0.4">
      <c r="A767" s="28">
        <f t="shared" si="23"/>
        <v>1051</v>
      </c>
      <c r="B767" s="28">
        <f t="shared" si="22"/>
        <v>0.18674136321195145</v>
      </c>
      <c r="C767" s="28">
        <f>A767+$E$6</f>
        <v>1073</v>
      </c>
      <c r="D767" s="28">
        <f>CEILING(C767/$H$3,1)*CEILING($H$2/$H$3,1)/CEILING($H$2/$H$3,1)</f>
        <v>5</v>
      </c>
      <c r="E767" s="28">
        <f>CEILING(C767/$H$3,1)*CEILING($H$2/$H$3,1)/CEILING(C767/$H$3,1)</f>
        <v>1</v>
      </c>
      <c r="F767" s="28">
        <f>$B$5/D767/B767*E767</f>
        <v>1.4458500000000001</v>
      </c>
    </row>
    <row r="768" spans="1:6" x14ac:dyDescent="0.4">
      <c r="A768" s="28">
        <f t="shared" si="23"/>
        <v>1052</v>
      </c>
      <c r="B768" s="28">
        <f t="shared" si="22"/>
        <v>0.18656716417910449</v>
      </c>
      <c r="C768" s="28">
        <f>A768+$E$6</f>
        <v>1074</v>
      </c>
      <c r="D768" s="28">
        <f>CEILING(C768/$H$3,1)*CEILING($H$2/$H$3,1)/CEILING($H$2/$H$3,1)</f>
        <v>5</v>
      </c>
      <c r="E768" s="28">
        <f>CEILING(C768/$H$3,1)*CEILING($H$2/$H$3,1)/CEILING(C768/$H$3,1)</f>
        <v>1</v>
      </c>
      <c r="F768" s="28">
        <f>$B$5/D768/B768*E768</f>
        <v>1.4472</v>
      </c>
    </row>
    <row r="769" spans="1:6" x14ac:dyDescent="0.4">
      <c r="A769" s="28">
        <f t="shared" si="23"/>
        <v>1053</v>
      </c>
      <c r="B769" s="28">
        <f t="shared" si="22"/>
        <v>0.1863932898415657</v>
      </c>
      <c r="C769" s="28">
        <f>A769+$E$6</f>
        <v>1075</v>
      </c>
      <c r="D769" s="28">
        <f>CEILING(C769/$H$3,1)*CEILING($H$2/$H$3,1)/CEILING($H$2/$H$3,1)</f>
        <v>5</v>
      </c>
      <c r="E769" s="28">
        <f>CEILING(C769/$H$3,1)*CEILING($H$2/$H$3,1)/CEILING(C769/$H$3,1)</f>
        <v>1</v>
      </c>
      <c r="F769" s="28">
        <f>$B$5/D769/B769*E769</f>
        <v>1.4485500000000002</v>
      </c>
    </row>
    <row r="770" spans="1:6" x14ac:dyDescent="0.4">
      <c r="A770" s="28">
        <f t="shared" si="23"/>
        <v>1054</v>
      </c>
      <c r="B770" s="28">
        <f t="shared" si="22"/>
        <v>0.18621973929236499</v>
      </c>
      <c r="C770" s="28">
        <f>A770+$E$6</f>
        <v>1076</v>
      </c>
      <c r="D770" s="28">
        <f>CEILING(C770/$H$3,1)*CEILING($H$2/$H$3,1)/CEILING($H$2/$H$3,1)</f>
        <v>5</v>
      </c>
      <c r="E770" s="28">
        <f>CEILING(C770/$H$3,1)*CEILING($H$2/$H$3,1)/CEILING(C770/$H$3,1)</f>
        <v>1</v>
      </c>
      <c r="F770" s="28">
        <f>$B$5/D770/B770*E770</f>
        <v>1.4499000000000002</v>
      </c>
    </row>
    <row r="771" spans="1:6" x14ac:dyDescent="0.4">
      <c r="A771" s="28">
        <f t="shared" si="23"/>
        <v>1055</v>
      </c>
      <c r="B771" s="28">
        <f t="shared" si="22"/>
        <v>0.18604651162790697</v>
      </c>
      <c r="C771" s="28">
        <f>A771+$E$6</f>
        <v>1077</v>
      </c>
      <c r="D771" s="28">
        <f>CEILING(C771/$H$3,1)*CEILING($H$2/$H$3,1)/CEILING($H$2/$H$3,1)</f>
        <v>5</v>
      </c>
      <c r="E771" s="28">
        <f>CEILING(C771/$H$3,1)*CEILING($H$2/$H$3,1)/CEILING(C771/$H$3,1)</f>
        <v>1</v>
      </c>
      <c r="F771" s="28">
        <f>$B$5/D771/B771*E771</f>
        <v>1.4512500000000002</v>
      </c>
    </row>
    <row r="772" spans="1:6" x14ac:dyDescent="0.4">
      <c r="A772" s="28">
        <f t="shared" si="23"/>
        <v>1056</v>
      </c>
      <c r="B772" s="28">
        <f t="shared" si="22"/>
        <v>0.18587360594795538</v>
      </c>
      <c r="C772" s="28">
        <f>A772+$E$6</f>
        <v>1078</v>
      </c>
      <c r="D772" s="28">
        <f>CEILING(C772/$H$3,1)*CEILING($H$2/$H$3,1)/CEILING($H$2/$H$3,1)</f>
        <v>5</v>
      </c>
      <c r="E772" s="28">
        <f>CEILING(C772/$H$3,1)*CEILING($H$2/$H$3,1)/CEILING(C772/$H$3,1)</f>
        <v>1</v>
      </c>
      <c r="F772" s="28">
        <f>$B$5/D772/B772*E772</f>
        <v>1.4526000000000001</v>
      </c>
    </row>
    <row r="773" spans="1:6" x14ac:dyDescent="0.4">
      <c r="A773" s="28">
        <f t="shared" si="23"/>
        <v>1057</v>
      </c>
      <c r="B773" s="28">
        <f t="shared" si="22"/>
        <v>0.18570102135561745</v>
      </c>
      <c r="C773" s="28">
        <f>A773+$E$6</f>
        <v>1079</v>
      </c>
      <c r="D773" s="28">
        <f>CEILING(C773/$H$3,1)*CEILING($H$2/$H$3,1)/CEILING($H$2/$H$3,1)</f>
        <v>5</v>
      </c>
      <c r="E773" s="28">
        <f>CEILING(C773/$H$3,1)*CEILING($H$2/$H$3,1)/CEILING(C773/$H$3,1)</f>
        <v>1</v>
      </c>
      <c r="F773" s="28">
        <f>$B$5/D773/B773*E773</f>
        <v>1.4539500000000001</v>
      </c>
    </row>
    <row r="774" spans="1:6" x14ac:dyDescent="0.4">
      <c r="A774" s="28">
        <f t="shared" si="23"/>
        <v>1058</v>
      </c>
      <c r="B774" s="28">
        <f t="shared" si="22"/>
        <v>0.18552875695732837</v>
      </c>
      <c r="C774" s="28">
        <f>A774+$E$6</f>
        <v>1080</v>
      </c>
      <c r="D774" s="28">
        <f>CEILING(C774/$H$3,1)*CEILING($H$2/$H$3,1)/CEILING($H$2/$H$3,1)</f>
        <v>5</v>
      </c>
      <c r="E774" s="28">
        <f>CEILING(C774/$H$3,1)*CEILING($H$2/$H$3,1)/CEILING(C774/$H$3,1)</f>
        <v>1</v>
      </c>
      <c r="F774" s="28">
        <f>$B$5/D774/B774*E774</f>
        <v>1.4553000000000003</v>
      </c>
    </row>
    <row r="775" spans="1:6" x14ac:dyDescent="0.4">
      <c r="A775" s="28">
        <f t="shared" si="23"/>
        <v>1059</v>
      </c>
      <c r="B775" s="28">
        <f t="shared" si="22"/>
        <v>0.18535681186283595</v>
      </c>
      <c r="C775" s="28">
        <f>A775+$E$6</f>
        <v>1081</v>
      </c>
      <c r="D775" s="28">
        <f>CEILING(C775/$H$3,1)*CEILING($H$2/$H$3,1)/CEILING($H$2/$H$3,1)</f>
        <v>5</v>
      </c>
      <c r="E775" s="28">
        <f>CEILING(C775/$H$3,1)*CEILING($H$2/$H$3,1)/CEILING(C775/$H$3,1)</f>
        <v>1</v>
      </c>
      <c r="F775" s="28">
        <f>$B$5/D775/B775*E775</f>
        <v>1.4566500000000002</v>
      </c>
    </row>
    <row r="776" spans="1:6" x14ac:dyDescent="0.4">
      <c r="A776" s="28">
        <f t="shared" si="23"/>
        <v>1060</v>
      </c>
      <c r="B776" s="28">
        <f t="shared" si="22"/>
        <v>0.18518518518518517</v>
      </c>
      <c r="C776" s="28">
        <f>A776+$E$6</f>
        <v>1082</v>
      </c>
      <c r="D776" s="28">
        <f>CEILING(C776/$H$3,1)*CEILING($H$2/$H$3,1)/CEILING($H$2/$H$3,1)</f>
        <v>5</v>
      </c>
      <c r="E776" s="28">
        <f>CEILING(C776/$H$3,1)*CEILING($H$2/$H$3,1)/CEILING(C776/$H$3,1)</f>
        <v>1</v>
      </c>
      <c r="F776" s="28">
        <f>$B$5/D776/B776*E776</f>
        <v>1.4580000000000002</v>
      </c>
    </row>
    <row r="777" spans="1:6" x14ac:dyDescent="0.4">
      <c r="A777" s="28">
        <f t="shared" si="23"/>
        <v>1061</v>
      </c>
      <c r="B777" s="28">
        <f t="shared" si="22"/>
        <v>0.18501387604070305</v>
      </c>
      <c r="C777" s="28">
        <f>A777+$E$6</f>
        <v>1083</v>
      </c>
      <c r="D777" s="28">
        <f>CEILING(C777/$H$3,1)*CEILING($H$2/$H$3,1)/CEILING($H$2/$H$3,1)</f>
        <v>5</v>
      </c>
      <c r="E777" s="28">
        <f>CEILING(C777/$H$3,1)*CEILING($H$2/$H$3,1)/CEILING(C777/$H$3,1)</f>
        <v>1</v>
      </c>
      <c r="F777" s="28">
        <f>$B$5/D777/B777*E777</f>
        <v>1.4593500000000001</v>
      </c>
    </row>
    <row r="778" spans="1:6" x14ac:dyDescent="0.4">
      <c r="A778" s="28">
        <f t="shared" si="23"/>
        <v>1062</v>
      </c>
      <c r="B778" s="28">
        <f t="shared" si="22"/>
        <v>0.18484288354898337</v>
      </c>
      <c r="C778" s="28">
        <f>A778+$E$6</f>
        <v>1084</v>
      </c>
      <c r="D778" s="28">
        <f>CEILING(C778/$H$3,1)*CEILING($H$2/$H$3,1)/CEILING($H$2/$H$3,1)</f>
        <v>5</v>
      </c>
      <c r="E778" s="28">
        <f>CEILING(C778/$H$3,1)*CEILING($H$2/$H$3,1)/CEILING(C778/$H$3,1)</f>
        <v>1</v>
      </c>
      <c r="F778" s="28">
        <f>$B$5/D778/B778*E778</f>
        <v>1.4607000000000001</v>
      </c>
    </row>
    <row r="779" spans="1:6" x14ac:dyDescent="0.4">
      <c r="A779" s="28">
        <f t="shared" si="23"/>
        <v>1063</v>
      </c>
      <c r="B779" s="28">
        <f t="shared" ref="B779:B842" si="24">$B$4/8/(A779+$B$2)</f>
        <v>0.18467220683287167</v>
      </c>
      <c r="C779" s="28">
        <f>A779+$E$6</f>
        <v>1085</v>
      </c>
      <c r="D779" s="28">
        <f>CEILING(C779/$H$3,1)*CEILING($H$2/$H$3,1)/CEILING($H$2/$H$3,1)</f>
        <v>5</v>
      </c>
      <c r="E779" s="28">
        <f>CEILING(C779/$H$3,1)*CEILING($H$2/$H$3,1)/CEILING(C779/$H$3,1)</f>
        <v>1</v>
      </c>
      <c r="F779" s="28">
        <f>$B$5/D779/B779*E779</f>
        <v>1.4620500000000001</v>
      </c>
    </row>
    <row r="780" spans="1:6" x14ac:dyDescent="0.4">
      <c r="A780" s="28">
        <f t="shared" si="23"/>
        <v>1064</v>
      </c>
      <c r="B780" s="28">
        <f t="shared" si="24"/>
        <v>0.18450184501845018</v>
      </c>
      <c r="C780" s="28">
        <f>A780+$E$6</f>
        <v>1086</v>
      </c>
      <c r="D780" s="28">
        <f>CEILING(C780/$H$3,1)*CEILING($H$2/$H$3,1)/CEILING($H$2/$H$3,1)</f>
        <v>5</v>
      </c>
      <c r="E780" s="28">
        <f>CEILING(C780/$H$3,1)*CEILING($H$2/$H$3,1)/CEILING(C780/$H$3,1)</f>
        <v>1</v>
      </c>
      <c r="F780" s="28">
        <f>$B$5/D780/B780*E780</f>
        <v>1.4634</v>
      </c>
    </row>
    <row r="781" spans="1:6" x14ac:dyDescent="0.4">
      <c r="A781" s="28">
        <f t="shared" ref="A781:A844" si="25">A780+$B$3</f>
        <v>1065</v>
      </c>
      <c r="B781" s="28">
        <f t="shared" si="24"/>
        <v>0.18433179723502305</v>
      </c>
      <c r="C781" s="28">
        <f>A781+$E$6</f>
        <v>1087</v>
      </c>
      <c r="D781" s="28">
        <f>CEILING(C781/$H$3,1)*CEILING($H$2/$H$3,1)/CEILING($H$2/$H$3,1)</f>
        <v>5</v>
      </c>
      <c r="E781" s="28">
        <f>CEILING(C781/$H$3,1)*CEILING($H$2/$H$3,1)/CEILING(C781/$H$3,1)</f>
        <v>1</v>
      </c>
      <c r="F781" s="28">
        <f>$B$5/D781/B781*E781</f>
        <v>1.46475</v>
      </c>
    </row>
    <row r="782" spans="1:6" x14ac:dyDescent="0.4">
      <c r="A782" s="28">
        <f t="shared" si="25"/>
        <v>1066</v>
      </c>
      <c r="B782" s="28">
        <f t="shared" si="24"/>
        <v>0.18416206261510129</v>
      </c>
      <c r="C782" s="28">
        <f>A782+$E$6</f>
        <v>1088</v>
      </c>
      <c r="D782" s="28">
        <f>CEILING(C782/$H$3,1)*CEILING($H$2/$H$3,1)/CEILING($H$2/$H$3,1)</f>
        <v>5</v>
      </c>
      <c r="E782" s="28">
        <f>CEILING(C782/$H$3,1)*CEILING($H$2/$H$3,1)/CEILING(C782/$H$3,1)</f>
        <v>1</v>
      </c>
      <c r="F782" s="28">
        <f>$B$5/D782/B782*E782</f>
        <v>1.4661000000000002</v>
      </c>
    </row>
    <row r="783" spans="1:6" x14ac:dyDescent="0.4">
      <c r="A783" s="28">
        <f t="shared" si="25"/>
        <v>1067</v>
      </c>
      <c r="B783" s="28">
        <f t="shared" si="24"/>
        <v>0.18399264029438822</v>
      </c>
      <c r="C783" s="28">
        <f>A783+$E$6</f>
        <v>1089</v>
      </c>
      <c r="D783" s="28">
        <f>CEILING(C783/$H$3,1)*CEILING($H$2/$H$3,1)/CEILING($H$2/$H$3,1)</f>
        <v>5</v>
      </c>
      <c r="E783" s="28">
        <f>CEILING(C783/$H$3,1)*CEILING($H$2/$H$3,1)/CEILING(C783/$H$3,1)</f>
        <v>1</v>
      </c>
      <c r="F783" s="28">
        <f>$B$5/D783/B783*E783</f>
        <v>1.4674500000000001</v>
      </c>
    </row>
    <row r="784" spans="1:6" x14ac:dyDescent="0.4">
      <c r="A784" s="28">
        <f t="shared" si="25"/>
        <v>1068</v>
      </c>
      <c r="B784" s="28">
        <f t="shared" si="24"/>
        <v>0.18382352941176472</v>
      </c>
      <c r="C784" s="28">
        <f>A784+$E$6</f>
        <v>1090</v>
      </c>
      <c r="D784" s="28">
        <f>CEILING(C784/$H$3,1)*CEILING($H$2/$H$3,1)/CEILING($H$2/$H$3,1)</f>
        <v>5</v>
      </c>
      <c r="E784" s="28">
        <f>CEILING(C784/$H$3,1)*CEILING($H$2/$H$3,1)/CEILING(C784/$H$3,1)</f>
        <v>1</v>
      </c>
      <c r="F784" s="28">
        <f>$B$5/D784/B784*E784</f>
        <v>1.4687999999999999</v>
      </c>
    </row>
    <row r="785" spans="1:6" x14ac:dyDescent="0.4">
      <c r="A785" s="28">
        <f t="shared" si="25"/>
        <v>1069</v>
      </c>
      <c r="B785" s="28">
        <f t="shared" si="24"/>
        <v>0.18365472910927455</v>
      </c>
      <c r="C785" s="28">
        <f>A785+$E$6</f>
        <v>1091</v>
      </c>
      <c r="D785" s="28">
        <f>CEILING(C785/$H$3,1)*CEILING($H$2/$H$3,1)/CEILING($H$2/$H$3,1)</f>
        <v>5</v>
      </c>
      <c r="E785" s="28">
        <f>CEILING(C785/$H$3,1)*CEILING($H$2/$H$3,1)/CEILING(C785/$H$3,1)</f>
        <v>1</v>
      </c>
      <c r="F785" s="28">
        <f>$B$5/D785/B785*E785</f>
        <v>1.4701500000000003</v>
      </c>
    </row>
    <row r="786" spans="1:6" x14ac:dyDescent="0.4">
      <c r="A786" s="28">
        <f t="shared" si="25"/>
        <v>1070</v>
      </c>
      <c r="B786" s="28">
        <f t="shared" si="24"/>
        <v>0.1834862385321101</v>
      </c>
      <c r="C786" s="28">
        <f>A786+$E$6</f>
        <v>1092</v>
      </c>
      <c r="D786" s="28">
        <f>CEILING(C786/$H$3,1)*CEILING($H$2/$H$3,1)/CEILING($H$2/$H$3,1)</f>
        <v>5</v>
      </c>
      <c r="E786" s="28">
        <f>CEILING(C786/$H$3,1)*CEILING($H$2/$H$3,1)/CEILING(C786/$H$3,1)</f>
        <v>1</v>
      </c>
      <c r="F786" s="28">
        <f>$B$5/D786/B786*E786</f>
        <v>1.4715</v>
      </c>
    </row>
    <row r="787" spans="1:6" x14ac:dyDescent="0.4">
      <c r="A787" s="28">
        <f t="shared" si="25"/>
        <v>1071</v>
      </c>
      <c r="B787" s="28">
        <f t="shared" si="24"/>
        <v>0.18331805682859761</v>
      </c>
      <c r="C787" s="28">
        <f>A787+$E$6</f>
        <v>1093</v>
      </c>
      <c r="D787" s="28">
        <f>CEILING(C787/$H$3,1)*CEILING($H$2/$H$3,1)/CEILING($H$2/$H$3,1)</f>
        <v>5</v>
      </c>
      <c r="E787" s="28">
        <f>CEILING(C787/$H$3,1)*CEILING($H$2/$H$3,1)/CEILING(C787/$H$3,1)</f>
        <v>1</v>
      </c>
      <c r="F787" s="28">
        <f>$B$5/D787/B787*E787</f>
        <v>1.4728500000000002</v>
      </c>
    </row>
    <row r="788" spans="1:6" x14ac:dyDescent="0.4">
      <c r="A788" s="28">
        <f t="shared" si="25"/>
        <v>1072</v>
      </c>
      <c r="B788" s="28">
        <f t="shared" si="24"/>
        <v>0.18315018315018314</v>
      </c>
      <c r="C788" s="28">
        <f>A788+$E$6</f>
        <v>1094</v>
      </c>
      <c r="D788" s="28">
        <f>CEILING(C788/$H$3,1)*CEILING($H$2/$H$3,1)/CEILING($H$2/$H$3,1)</f>
        <v>5</v>
      </c>
      <c r="E788" s="28">
        <f>CEILING(C788/$H$3,1)*CEILING($H$2/$H$3,1)/CEILING(C788/$H$3,1)</f>
        <v>1</v>
      </c>
      <c r="F788" s="28">
        <f>$B$5/D788/B788*E788</f>
        <v>1.4742000000000002</v>
      </c>
    </row>
    <row r="789" spans="1:6" x14ac:dyDescent="0.4">
      <c r="A789" s="28">
        <f t="shared" si="25"/>
        <v>1073</v>
      </c>
      <c r="B789" s="28">
        <f t="shared" si="24"/>
        <v>0.18298261665141813</v>
      </c>
      <c r="C789" s="28">
        <f>A789+$E$6</f>
        <v>1095</v>
      </c>
      <c r="D789" s="28">
        <f>CEILING(C789/$H$3,1)*CEILING($H$2/$H$3,1)/CEILING($H$2/$H$3,1)</f>
        <v>5</v>
      </c>
      <c r="E789" s="28">
        <f>CEILING(C789/$H$3,1)*CEILING($H$2/$H$3,1)/CEILING(C789/$H$3,1)</f>
        <v>1</v>
      </c>
      <c r="F789" s="28">
        <f>$B$5/D789/B789*E789</f>
        <v>1.4755499999999999</v>
      </c>
    </row>
    <row r="790" spans="1:6" x14ac:dyDescent="0.4">
      <c r="A790" s="28">
        <f t="shared" si="25"/>
        <v>1074</v>
      </c>
      <c r="B790" s="28">
        <f t="shared" si="24"/>
        <v>0.18281535648994515</v>
      </c>
      <c r="C790" s="28">
        <f>A790+$E$6</f>
        <v>1096</v>
      </c>
      <c r="D790" s="28">
        <f>CEILING(C790/$H$3,1)*CEILING($H$2/$H$3,1)/CEILING($H$2/$H$3,1)</f>
        <v>5</v>
      </c>
      <c r="E790" s="28">
        <f>CEILING(C790/$H$3,1)*CEILING($H$2/$H$3,1)/CEILING(C790/$H$3,1)</f>
        <v>1</v>
      </c>
      <c r="F790" s="28">
        <f>$B$5/D790/B790*E790</f>
        <v>1.4769000000000001</v>
      </c>
    </row>
    <row r="791" spans="1:6" x14ac:dyDescent="0.4">
      <c r="A791" s="28">
        <f t="shared" si="25"/>
        <v>1075</v>
      </c>
      <c r="B791" s="28">
        <f t="shared" si="24"/>
        <v>0.18264840182648401</v>
      </c>
      <c r="C791" s="28">
        <f>A791+$E$6</f>
        <v>1097</v>
      </c>
      <c r="D791" s="28">
        <f>CEILING(C791/$H$3,1)*CEILING($H$2/$H$3,1)/CEILING($H$2/$H$3,1)</f>
        <v>5</v>
      </c>
      <c r="E791" s="28">
        <f>CEILING(C791/$H$3,1)*CEILING($H$2/$H$3,1)/CEILING(C791/$H$3,1)</f>
        <v>1</v>
      </c>
      <c r="F791" s="28">
        <f>$B$5/D791/B791*E791</f>
        <v>1.4782500000000003</v>
      </c>
    </row>
    <row r="792" spans="1:6" x14ac:dyDescent="0.4">
      <c r="A792" s="28">
        <f t="shared" si="25"/>
        <v>1076</v>
      </c>
      <c r="B792" s="28">
        <f t="shared" si="24"/>
        <v>0.18248175182481752</v>
      </c>
      <c r="C792" s="28">
        <f>A792+$E$6</f>
        <v>1098</v>
      </c>
      <c r="D792" s="28">
        <f>CEILING(C792/$H$3,1)*CEILING($H$2/$H$3,1)/CEILING($H$2/$H$3,1)</f>
        <v>5</v>
      </c>
      <c r="E792" s="28">
        <f>CEILING(C792/$H$3,1)*CEILING($H$2/$H$3,1)/CEILING(C792/$H$3,1)</f>
        <v>1</v>
      </c>
      <c r="F792" s="28">
        <f>$B$5/D792/B792*E792</f>
        <v>1.4796</v>
      </c>
    </row>
    <row r="793" spans="1:6" x14ac:dyDescent="0.4">
      <c r="A793" s="28">
        <f t="shared" si="25"/>
        <v>1077</v>
      </c>
      <c r="B793" s="28">
        <f t="shared" si="24"/>
        <v>0.18231540565177756</v>
      </c>
      <c r="C793" s="28">
        <f>A793+$E$6</f>
        <v>1099</v>
      </c>
      <c r="D793" s="28">
        <f>CEILING(C793/$H$3,1)*CEILING($H$2/$H$3,1)/CEILING($H$2/$H$3,1)</f>
        <v>5</v>
      </c>
      <c r="E793" s="28">
        <f>CEILING(C793/$H$3,1)*CEILING($H$2/$H$3,1)/CEILING(C793/$H$3,1)</f>
        <v>1</v>
      </c>
      <c r="F793" s="28">
        <f>$B$5/D793/B793*E793</f>
        <v>1.4809500000000002</v>
      </c>
    </row>
    <row r="794" spans="1:6" x14ac:dyDescent="0.4">
      <c r="A794" s="28">
        <f t="shared" si="25"/>
        <v>1078</v>
      </c>
      <c r="B794" s="28">
        <f t="shared" si="24"/>
        <v>0.18214936247723132</v>
      </c>
      <c r="C794" s="28">
        <f>A794+$E$6</f>
        <v>1100</v>
      </c>
      <c r="D794" s="28">
        <f>CEILING(C794/$H$3,1)*CEILING($H$2/$H$3,1)/CEILING($H$2/$H$3,1)</f>
        <v>5</v>
      </c>
      <c r="E794" s="28">
        <f>CEILING(C794/$H$3,1)*CEILING($H$2/$H$3,1)/CEILING(C794/$H$3,1)</f>
        <v>1</v>
      </c>
      <c r="F794" s="28">
        <f>$B$5/D794/B794*E794</f>
        <v>1.4823000000000002</v>
      </c>
    </row>
    <row r="795" spans="1:6" x14ac:dyDescent="0.4">
      <c r="A795" s="28">
        <f t="shared" si="25"/>
        <v>1079</v>
      </c>
      <c r="B795" s="28">
        <f t="shared" si="24"/>
        <v>0.18198362147406733</v>
      </c>
      <c r="C795" s="28">
        <f>A795+$E$6</f>
        <v>1101</v>
      </c>
      <c r="D795" s="28">
        <f>CEILING(C795/$H$3,1)*CEILING($H$2/$H$3,1)/CEILING($H$2/$H$3,1)</f>
        <v>5</v>
      </c>
      <c r="E795" s="28">
        <f>CEILING(C795/$H$3,1)*CEILING($H$2/$H$3,1)/CEILING(C795/$H$3,1)</f>
        <v>1</v>
      </c>
      <c r="F795" s="28">
        <f>$B$5/D795/B795*E795</f>
        <v>1.4836500000000001</v>
      </c>
    </row>
    <row r="796" spans="1:6" x14ac:dyDescent="0.4">
      <c r="A796" s="28">
        <f t="shared" si="25"/>
        <v>1080</v>
      </c>
      <c r="B796" s="28">
        <f t="shared" si="24"/>
        <v>0.18181818181818182</v>
      </c>
      <c r="C796" s="28">
        <f>A796+$E$6</f>
        <v>1102</v>
      </c>
      <c r="D796" s="28">
        <f>CEILING(C796/$H$3,1)*CEILING($H$2/$H$3,1)/CEILING($H$2/$H$3,1)</f>
        <v>5</v>
      </c>
      <c r="E796" s="28">
        <f>CEILING(C796/$H$3,1)*CEILING($H$2/$H$3,1)/CEILING(C796/$H$3,1)</f>
        <v>1</v>
      </c>
      <c r="F796" s="28">
        <f>$B$5/D796/B796*E796</f>
        <v>1.4850000000000001</v>
      </c>
    </row>
    <row r="797" spans="1:6" x14ac:dyDescent="0.4">
      <c r="A797" s="28">
        <f t="shared" si="25"/>
        <v>1081</v>
      </c>
      <c r="B797" s="28">
        <f t="shared" si="24"/>
        <v>0.18165304268846502</v>
      </c>
      <c r="C797" s="28">
        <f>A797+$E$6</f>
        <v>1103</v>
      </c>
      <c r="D797" s="28">
        <f>CEILING(C797/$H$3,1)*CEILING($H$2/$H$3,1)/CEILING($H$2/$H$3,1)</f>
        <v>5</v>
      </c>
      <c r="E797" s="28">
        <f>CEILING(C797/$H$3,1)*CEILING($H$2/$H$3,1)/CEILING(C797/$H$3,1)</f>
        <v>1</v>
      </c>
      <c r="F797" s="28">
        <f>$B$5/D797/B797*E797</f>
        <v>1.4863500000000003</v>
      </c>
    </row>
    <row r="798" spans="1:6" x14ac:dyDescent="0.4">
      <c r="A798" s="28">
        <f t="shared" si="25"/>
        <v>1082</v>
      </c>
      <c r="B798" s="28">
        <f t="shared" si="24"/>
        <v>0.18148820326678766</v>
      </c>
      <c r="C798" s="28">
        <f>A798+$E$6</f>
        <v>1104</v>
      </c>
      <c r="D798" s="28">
        <f>CEILING(C798/$H$3,1)*CEILING($H$2/$H$3,1)/CEILING($H$2/$H$3,1)</f>
        <v>5</v>
      </c>
      <c r="E798" s="28">
        <f>CEILING(C798/$H$3,1)*CEILING($H$2/$H$3,1)/CEILING(C798/$H$3,1)</f>
        <v>1</v>
      </c>
      <c r="F798" s="28">
        <f>$B$5/D798/B798*E798</f>
        <v>1.4877</v>
      </c>
    </row>
    <row r="799" spans="1:6" x14ac:dyDescent="0.4">
      <c r="A799" s="28">
        <f t="shared" si="25"/>
        <v>1083</v>
      </c>
      <c r="B799" s="28">
        <f t="shared" si="24"/>
        <v>0.18132366273798731</v>
      </c>
      <c r="C799" s="28">
        <f>A799+$E$6</f>
        <v>1105</v>
      </c>
      <c r="D799" s="28">
        <f>CEILING(C799/$H$3,1)*CEILING($H$2/$H$3,1)/CEILING($H$2/$H$3,1)</f>
        <v>5</v>
      </c>
      <c r="E799" s="28">
        <f>CEILING(C799/$H$3,1)*CEILING($H$2/$H$3,1)/CEILING(C799/$H$3,1)</f>
        <v>1</v>
      </c>
      <c r="F799" s="28">
        <f>$B$5/D799/B799*E799</f>
        <v>1.4890500000000002</v>
      </c>
    </row>
    <row r="800" spans="1:6" x14ac:dyDescent="0.4">
      <c r="A800" s="28">
        <f t="shared" si="25"/>
        <v>1084</v>
      </c>
      <c r="B800" s="28">
        <f t="shared" si="24"/>
        <v>0.18115942028985507</v>
      </c>
      <c r="C800" s="28">
        <f>A800+$E$6</f>
        <v>1106</v>
      </c>
      <c r="D800" s="28">
        <f>CEILING(C800/$H$3,1)*CEILING($H$2/$H$3,1)/CEILING($H$2/$H$3,1)</f>
        <v>5</v>
      </c>
      <c r="E800" s="28">
        <f>CEILING(C800/$H$3,1)*CEILING($H$2/$H$3,1)/CEILING(C800/$H$3,1)</f>
        <v>1</v>
      </c>
      <c r="F800" s="28">
        <f>$B$5/D800/B800*E800</f>
        <v>1.4904000000000002</v>
      </c>
    </row>
    <row r="801" spans="1:6" x14ac:dyDescent="0.4">
      <c r="A801" s="28">
        <f t="shared" si="25"/>
        <v>1085</v>
      </c>
      <c r="B801" s="28">
        <f t="shared" si="24"/>
        <v>0.18099547511312217</v>
      </c>
      <c r="C801" s="28">
        <f>A801+$E$6</f>
        <v>1107</v>
      </c>
      <c r="D801" s="28">
        <f>CEILING(C801/$H$3,1)*CEILING($H$2/$H$3,1)/CEILING($H$2/$H$3,1)</f>
        <v>5</v>
      </c>
      <c r="E801" s="28">
        <f>CEILING(C801/$H$3,1)*CEILING($H$2/$H$3,1)/CEILING(C801/$H$3,1)</f>
        <v>1</v>
      </c>
      <c r="F801" s="28">
        <f>$B$5/D801/B801*E801</f>
        <v>1.4917500000000001</v>
      </c>
    </row>
    <row r="802" spans="1:6" x14ac:dyDescent="0.4">
      <c r="A802" s="28">
        <f t="shared" si="25"/>
        <v>1086</v>
      </c>
      <c r="B802" s="28">
        <f t="shared" si="24"/>
        <v>0.18083182640144665</v>
      </c>
      <c r="C802" s="28">
        <f>A802+$E$6</f>
        <v>1108</v>
      </c>
      <c r="D802" s="28">
        <f>CEILING(C802/$H$3,1)*CEILING($H$2/$H$3,1)/CEILING($H$2/$H$3,1)</f>
        <v>5</v>
      </c>
      <c r="E802" s="28">
        <f>CEILING(C802/$H$3,1)*CEILING($H$2/$H$3,1)/CEILING(C802/$H$3,1)</f>
        <v>1</v>
      </c>
      <c r="F802" s="28">
        <f>$B$5/D802/B802*E802</f>
        <v>1.4931000000000001</v>
      </c>
    </row>
    <row r="803" spans="1:6" x14ac:dyDescent="0.4">
      <c r="A803" s="28">
        <f t="shared" si="25"/>
        <v>1087</v>
      </c>
      <c r="B803" s="28">
        <f t="shared" si="24"/>
        <v>0.18066847335140018</v>
      </c>
      <c r="C803" s="28">
        <f>A803+$E$6</f>
        <v>1109</v>
      </c>
      <c r="D803" s="28">
        <f>CEILING(C803/$H$3,1)*CEILING($H$2/$H$3,1)/CEILING($H$2/$H$3,1)</f>
        <v>5</v>
      </c>
      <c r="E803" s="28">
        <f>CEILING(C803/$H$3,1)*CEILING($H$2/$H$3,1)/CEILING(C803/$H$3,1)</f>
        <v>1</v>
      </c>
      <c r="F803" s="28">
        <f>$B$5/D803/B803*E803</f>
        <v>1.4944500000000001</v>
      </c>
    </row>
    <row r="804" spans="1:6" x14ac:dyDescent="0.4">
      <c r="A804" s="28">
        <f t="shared" si="25"/>
        <v>1088</v>
      </c>
      <c r="B804" s="28">
        <f t="shared" si="24"/>
        <v>0.18050541516245489</v>
      </c>
      <c r="C804" s="28">
        <f>A804+$E$6</f>
        <v>1110</v>
      </c>
      <c r="D804" s="28">
        <f>CEILING(C804/$H$3,1)*CEILING($H$2/$H$3,1)/CEILING($H$2/$H$3,1)</f>
        <v>5</v>
      </c>
      <c r="E804" s="28">
        <f>CEILING(C804/$H$3,1)*CEILING($H$2/$H$3,1)/CEILING(C804/$H$3,1)</f>
        <v>1</v>
      </c>
      <c r="F804" s="28">
        <f>$B$5/D804/B804*E804</f>
        <v>1.4958</v>
      </c>
    </row>
    <row r="805" spans="1:6" x14ac:dyDescent="0.4">
      <c r="A805" s="28">
        <f t="shared" si="25"/>
        <v>1089</v>
      </c>
      <c r="B805" s="28">
        <f t="shared" si="24"/>
        <v>0.18034265103697025</v>
      </c>
      <c r="C805" s="28">
        <f>A805+$E$6</f>
        <v>1111</v>
      </c>
      <c r="D805" s="28">
        <f>CEILING(C805/$H$3,1)*CEILING($H$2/$H$3,1)/CEILING($H$2/$H$3,1)</f>
        <v>5</v>
      </c>
      <c r="E805" s="28">
        <f>CEILING(C805/$H$3,1)*CEILING($H$2/$H$3,1)/CEILING(C805/$H$3,1)</f>
        <v>1</v>
      </c>
      <c r="F805" s="28">
        <f>$B$5/D805/B805*E805</f>
        <v>1.49715</v>
      </c>
    </row>
    <row r="806" spans="1:6" x14ac:dyDescent="0.4">
      <c r="A806" s="28">
        <f t="shared" si="25"/>
        <v>1090</v>
      </c>
      <c r="B806" s="28">
        <f t="shared" si="24"/>
        <v>0.18018018018018017</v>
      </c>
      <c r="C806" s="28">
        <f>A806+$E$6</f>
        <v>1112</v>
      </c>
      <c r="D806" s="28">
        <f>CEILING(C806/$H$3,1)*CEILING($H$2/$H$3,1)/CEILING($H$2/$H$3,1)</f>
        <v>5</v>
      </c>
      <c r="E806" s="28">
        <f>CEILING(C806/$H$3,1)*CEILING($H$2/$H$3,1)/CEILING(C806/$H$3,1)</f>
        <v>1</v>
      </c>
      <c r="F806" s="28">
        <f>$B$5/D806/B806*E806</f>
        <v>1.4985000000000002</v>
      </c>
    </row>
    <row r="807" spans="1:6" x14ac:dyDescent="0.4">
      <c r="A807" s="28">
        <f t="shared" si="25"/>
        <v>1091</v>
      </c>
      <c r="B807" s="28">
        <f t="shared" si="24"/>
        <v>0.18001800180018002</v>
      </c>
      <c r="C807" s="28">
        <f>A807+$E$6</f>
        <v>1113</v>
      </c>
      <c r="D807" s="28">
        <f>CEILING(C807/$H$3,1)*CEILING($H$2/$H$3,1)/CEILING($H$2/$H$3,1)</f>
        <v>5</v>
      </c>
      <c r="E807" s="28">
        <f>CEILING(C807/$H$3,1)*CEILING($H$2/$H$3,1)/CEILING(C807/$H$3,1)</f>
        <v>1</v>
      </c>
      <c r="F807" s="28">
        <f>$B$5/D807/B807*E807</f>
        <v>1.4998500000000001</v>
      </c>
    </row>
    <row r="808" spans="1:6" x14ac:dyDescent="0.4">
      <c r="A808" s="28">
        <f t="shared" si="25"/>
        <v>1092</v>
      </c>
      <c r="B808" s="28">
        <f t="shared" si="24"/>
        <v>0.17985611510791366</v>
      </c>
      <c r="C808" s="28">
        <f>A808+$E$6</f>
        <v>1114</v>
      </c>
      <c r="D808" s="28">
        <f>CEILING(C808/$H$3,1)*CEILING($H$2/$H$3,1)/CEILING($H$2/$H$3,1)</f>
        <v>5</v>
      </c>
      <c r="E808" s="28">
        <f>CEILING(C808/$H$3,1)*CEILING($H$2/$H$3,1)/CEILING(C808/$H$3,1)</f>
        <v>1</v>
      </c>
      <c r="F808" s="28">
        <f>$B$5/D808/B808*E808</f>
        <v>1.5012000000000001</v>
      </c>
    </row>
    <row r="809" spans="1:6" x14ac:dyDescent="0.4">
      <c r="A809" s="28">
        <f t="shared" si="25"/>
        <v>1093</v>
      </c>
      <c r="B809" s="28">
        <f t="shared" si="24"/>
        <v>0.17969451931716082</v>
      </c>
      <c r="C809" s="28">
        <f>A809+$E$6</f>
        <v>1115</v>
      </c>
      <c r="D809" s="28">
        <f>CEILING(C809/$H$3,1)*CEILING($H$2/$H$3,1)/CEILING($H$2/$H$3,1)</f>
        <v>5</v>
      </c>
      <c r="E809" s="28">
        <f>CEILING(C809/$H$3,1)*CEILING($H$2/$H$3,1)/CEILING(C809/$H$3,1)</f>
        <v>1</v>
      </c>
      <c r="F809" s="28">
        <f>$B$5/D809/B809*E809</f>
        <v>1.5025500000000001</v>
      </c>
    </row>
    <row r="810" spans="1:6" x14ac:dyDescent="0.4">
      <c r="A810" s="28">
        <f t="shared" si="25"/>
        <v>1094</v>
      </c>
      <c r="B810" s="28">
        <f t="shared" si="24"/>
        <v>0.17953321364452424</v>
      </c>
      <c r="C810" s="28">
        <f>A810+$E$6</f>
        <v>1116</v>
      </c>
      <c r="D810" s="28">
        <f>CEILING(C810/$H$3,1)*CEILING($H$2/$H$3,1)/CEILING($H$2/$H$3,1)</f>
        <v>5</v>
      </c>
      <c r="E810" s="28">
        <f>CEILING(C810/$H$3,1)*CEILING($H$2/$H$3,1)/CEILING(C810/$H$3,1)</f>
        <v>1</v>
      </c>
      <c r="F810" s="28">
        <f>$B$5/D810/B810*E810</f>
        <v>1.5039</v>
      </c>
    </row>
    <row r="811" spans="1:6" x14ac:dyDescent="0.4">
      <c r="A811" s="28">
        <f t="shared" si="25"/>
        <v>1095</v>
      </c>
      <c r="B811" s="28">
        <f t="shared" si="24"/>
        <v>0.17937219730941703</v>
      </c>
      <c r="C811" s="28">
        <f>A811+$E$6</f>
        <v>1117</v>
      </c>
      <c r="D811" s="28">
        <f>CEILING(C811/$H$3,1)*CEILING($H$2/$H$3,1)/CEILING($H$2/$H$3,1)</f>
        <v>5</v>
      </c>
      <c r="E811" s="28">
        <f>CEILING(C811/$H$3,1)*CEILING($H$2/$H$3,1)/CEILING(C811/$H$3,1)</f>
        <v>1</v>
      </c>
      <c r="F811" s="28">
        <f>$B$5/D811/B811*E811</f>
        <v>1.5052500000000002</v>
      </c>
    </row>
    <row r="812" spans="1:6" x14ac:dyDescent="0.4">
      <c r="A812" s="28">
        <f t="shared" si="25"/>
        <v>1096</v>
      </c>
      <c r="B812" s="28">
        <f t="shared" si="24"/>
        <v>0.17921146953405018</v>
      </c>
      <c r="C812" s="28">
        <f>A812+$E$6</f>
        <v>1118</v>
      </c>
      <c r="D812" s="28">
        <f>CEILING(C812/$H$3,1)*CEILING($H$2/$H$3,1)/CEILING($H$2/$H$3,1)</f>
        <v>5</v>
      </c>
      <c r="E812" s="28">
        <f>CEILING(C812/$H$3,1)*CEILING($H$2/$H$3,1)/CEILING(C812/$H$3,1)</f>
        <v>1</v>
      </c>
      <c r="F812" s="28">
        <f>$B$5/D812/B812*E812</f>
        <v>1.5066000000000002</v>
      </c>
    </row>
    <row r="813" spans="1:6" x14ac:dyDescent="0.4">
      <c r="A813" s="28">
        <f t="shared" si="25"/>
        <v>1097</v>
      </c>
      <c r="B813" s="28">
        <f t="shared" si="24"/>
        <v>0.17905102954341987</v>
      </c>
      <c r="C813" s="28">
        <f>A813+$E$6</f>
        <v>1119</v>
      </c>
      <c r="D813" s="28">
        <f>CEILING(C813/$H$3,1)*CEILING($H$2/$H$3,1)/CEILING($H$2/$H$3,1)</f>
        <v>5</v>
      </c>
      <c r="E813" s="28">
        <f>CEILING(C813/$H$3,1)*CEILING($H$2/$H$3,1)/CEILING(C813/$H$3,1)</f>
        <v>1</v>
      </c>
      <c r="F813" s="28">
        <f>$B$5/D813/B813*E813</f>
        <v>1.5079500000000001</v>
      </c>
    </row>
    <row r="814" spans="1:6" x14ac:dyDescent="0.4">
      <c r="A814" s="28">
        <f t="shared" si="25"/>
        <v>1098</v>
      </c>
      <c r="B814" s="28">
        <f t="shared" si="24"/>
        <v>0.17889087656529518</v>
      </c>
      <c r="C814" s="28">
        <f>A814+$E$6</f>
        <v>1120</v>
      </c>
      <c r="D814" s="28">
        <f>CEILING(C814/$H$3,1)*CEILING($H$2/$H$3,1)/CEILING($H$2/$H$3,1)</f>
        <v>5</v>
      </c>
      <c r="E814" s="28">
        <f>CEILING(C814/$H$3,1)*CEILING($H$2/$H$3,1)/CEILING(C814/$H$3,1)</f>
        <v>1</v>
      </c>
      <c r="F814" s="28">
        <f>$B$5/D814/B814*E814</f>
        <v>1.5093000000000001</v>
      </c>
    </row>
    <row r="815" spans="1:6" x14ac:dyDescent="0.4">
      <c r="A815" s="28">
        <f t="shared" si="25"/>
        <v>1099</v>
      </c>
      <c r="B815" s="28">
        <f t="shared" si="24"/>
        <v>0.17873100983020554</v>
      </c>
      <c r="C815" s="28">
        <f>A815+$E$6</f>
        <v>1121</v>
      </c>
      <c r="D815" s="28">
        <f>CEILING(C815/$H$3,1)*CEILING($H$2/$H$3,1)/CEILING($H$2/$H$3,1)</f>
        <v>5</v>
      </c>
      <c r="E815" s="28">
        <f>CEILING(C815/$H$3,1)*CEILING($H$2/$H$3,1)/CEILING(C815/$H$3,1)</f>
        <v>1</v>
      </c>
      <c r="F815" s="28">
        <f>$B$5/D815/B815*E815</f>
        <v>1.51065</v>
      </c>
    </row>
    <row r="816" spans="1:6" x14ac:dyDescent="0.4">
      <c r="A816" s="28">
        <f t="shared" si="25"/>
        <v>1100</v>
      </c>
      <c r="B816" s="28">
        <f t="shared" si="24"/>
        <v>0.17857142857142858</v>
      </c>
      <c r="C816" s="28">
        <f>A816+$E$6</f>
        <v>1122</v>
      </c>
      <c r="D816" s="28">
        <f>CEILING(C816/$H$3,1)*CEILING($H$2/$H$3,1)/CEILING($H$2/$H$3,1)</f>
        <v>5</v>
      </c>
      <c r="E816" s="28">
        <f>CEILING(C816/$H$3,1)*CEILING($H$2/$H$3,1)/CEILING(C816/$H$3,1)</f>
        <v>1</v>
      </c>
      <c r="F816" s="28">
        <f>$B$5/D816/B816*E816</f>
        <v>1.512</v>
      </c>
    </row>
    <row r="817" spans="1:6" x14ac:dyDescent="0.4">
      <c r="A817" s="28">
        <f t="shared" si="25"/>
        <v>1101</v>
      </c>
      <c r="B817" s="28">
        <f t="shared" si="24"/>
        <v>0.17841213202497769</v>
      </c>
      <c r="C817" s="28">
        <f>A817+$E$6</f>
        <v>1123</v>
      </c>
      <c r="D817" s="28">
        <f>CEILING(C817/$H$3,1)*CEILING($H$2/$H$3,1)/CEILING($H$2/$H$3,1)</f>
        <v>5</v>
      </c>
      <c r="E817" s="28">
        <f>CEILING(C817/$H$3,1)*CEILING($H$2/$H$3,1)/CEILING(C817/$H$3,1)</f>
        <v>1</v>
      </c>
      <c r="F817" s="28">
        <f>$B$5/D817/B817*E817</f>
        <v>1.5133500000000002</v>
      </c>
    </row>
    <row r="818" spans="1:6" x14ac:dyDescent="0.4">
      <c r="A818" s="28">
        <f t="shared" si="25"/>
        <v>1102</v>
      </c>
      <c r="B818" s="28">
        <f t="shared" si="24"/>
        <v>0.17825311942959002</v>
      </c>
      <c r="C818" s="28">
        <f>A818+$E$6</f>
        <v>1124</v>
      </c>
      <c r="D818" s="28">
        <f>CEILING(C818/$H$3,1)*CEILING($H$2/$H$3,1)/CEILING($H$2/$H$3,1)</f>
        <v>5</v>
      </c>
      <c r="E818" s="28">
        <f>CEILING(C818/$H$3,1)*CEILING($H$2/$H$3,1)/CEILING(C818/$H$3,1)</f>
        <v>1</v>
      </c>
      <c r="F818" s="28">
        <f>$B$5/D818/B818*E818</f>
        <v>1.5147000000000002</v>
      </c>
    </row>
    <row r="819" spans="1:6" x14ac:dyDescent="0.4">
      <c r="A819" s="28">
        <f t="shared" si="25"/>
        <v>1103</v>
      </c>
      <c r="B819" s="28">
        <f t="shared" si="24"/>
        <v>0.17809439002671415</v>
      </c>
      <c r="C819" s="28">
        <f>A819+$E$6</f>
        <v>1125</v>
      </c>
      <c r="D819" s="28">
        <f>CEILING(C819/$H$3,1)*CEILING($H$2/$H$3,1)/CEILING($H$2/$H$3,1)</f>
        <v>5</v>
      </c>
      <c r="E819" s="28">
        <f>CEILING(C819/$H$3,1)*CEILING($H$2/$H$3,1)/CEILING(C819/$H$3,1)</f>
        <v>1</v>
      </c>
      <c r="F819" s="28">
        <f>$B$5/D819/B819*E819</f>
        <v>1.5160500000000001</v>
      </c>
    </row>
    <row r="820" spans="1:6" x14ac:dyDescent="0.4">
      <c r="A820" s="28">
        <f t="shared" si="25"/>
        <v>1104</v>
      </c>
      <c r="B820" s="28">
        <f t="shared" si="24"/>
        <v>0.17793594306049823</v>
      </c>
      <c r="C820" s="28">
        <f>A820+$E$6</f>
        <v>1126</v>
      </c>
      <c r="D820" s="28">
        <f>CEILING(C820/$H$3,1)*CEILING($H$2/$H$3,1)/CEILING($H$2/$H$3,1)</f>
        <v>5</v>
      </c>
      <c r="E820" s="28">
        <f>CEILING(C820/$H$3,1)*CEILING($H$2/$H$3,1)/CEILING(C820/$H$3,1)</f>
        <v>1</v>
      </c>
      <c r="F820" s="28">
        <f>$B$5/D820/B820*E820</f>
        <v>1.5174000000000001</v>
      </c>
    </row>
    <row r="821" spans="1:6" x14ac:dyDescent="0.4">
      <c r="A821" s="28">
        <f t="shared" si="25"/>
        <v>1105</v>
      </c>
      <c r="B821" s="28">
        <f t="shared" si="24"/>
        <v>0.17777777777777778</v>
      </c>
      <c r="C821" s="28">
        <f>A821+$E$6</f>
        <v>1127</v>
      </c>
      <c r="D821" s="28">
        <f>CEILING(C821/$H$3,1)*CEILING($H$2/$H$3,1)/CEILING($H$2/$H$3,1)</f>
        <v>5</v>
      </c>
      <c r="E821" s="28">
        <f>CEILING(C821/$H$3,1)*CEILING($H$2/$H$3,1)/CEILING(C821/$H$3,1)</f>
        <v>1</v>
      </c>
      <c r="F821" s="28">
        <f>$B$5/D821/B821*E821</f>
        <v>1.51875</v>
      </c>
    </row>
    <row r="822" spans="1:6" x14ac:dyDescent="0.4">
      <c r="A822" s="28">
        <f t="shared" si="25"/>
        <v>1106</v>
      </c>
      <c r="B822" s="28">
        <f t="shared" si="24"/>
        <v>0.17761989342806395</v>
      </c>
      <c r="C822" s="28">
        <f>A822+$E$6</f>
        <v>1128</v>
      </c>
      <c r="D822" s="28">
        <f>CEILING(C822/$H$3,1)*CEILING($H$2/$H$3,1)/CEILING($H$2/$H$3,1)</f>
        <v>5</v>
      </c>
      <c r="E822" s="28">
        <f>CEILING(C822/$H$3,1)*CEILING($H$2/$H$3,1)/CEILING(C822/$H$3,1)</f>
        <v>1</v>
      </c>
      <c r="F822" s="28">
        <f>$B$5/D822/B822*E822</f>
        <v>1.5201</v>
      </c>
    </row>
    <row r="823" spans="1:6" x14ac:dyDescent="0.4">
      <c r="A823" s="28">
        <f t="shared" si="25"/>
        <v>1107</v>
      </c>
      <c r="B823" s="28">
        <f t="shared" si="24"/>
        <v>0.1774622892635315</v>
      </c>
      <c r="C823" s="28">
        <f>A823+$E$6</f>
        <v>1129</v>
      </c>
      <c r="D823" s="28">
        <f>CEILING(C823/$H$3,1)*CEILING($H$2/$H$3,1)/CEILING($H$2/$H$3,1)</f>
        <v>5</v>
      </c>
      <c r="E823" s="28">
        <f>CEILING(C823/$H$3,1)*CEILING($H$2/$H$3,1)/CEILING(C823/$H$3,1)</f>
        <v>1</v>
      </c>
      <c r="F823" s="28">
        <f>$B$5/D823/B823*E823</f>
        <v>1.5214500000000002</v>
      </c>
    </row>
    <row r="824" spans="1:6" x14ac:dyDescent="0.4">
      <c r="A824" s="28">
        <f t="shared" si="25"/>
        <v>1108</v>
      </c>
      <c r="B824" s="28">
        <f t="shared" si="24"/>
        <v>0.1773049645390071</v>
      </c>
      <c r="C824" s="28">
        <f>A824+$E$6</f>
        <v>1130</v>
      </c>
      <c r="D824" s="28">
        <f>CEILING(C824/$H$3,1)*CEILING($H$2/$H$3,1)/CEILING($H$2/$H$3,1)</f>
        <v>5</v>
      </c>
      <c r="E824" s="28">
        <f>CEILING(C824/$H$3,1)*CEILING($H$2/$H$3,1)/CEILING(C824/$H$3,1)</f>
        <v>1</v>
      </c>
      <c r="F824" s="28">
        <f>$B$5/D824/B824*E824</f>
        <v>1.5228000000000002</v>
      </c>
    </row>
    <row r="825" spans="1:6" x14ac:dyDescent="0.4">
      <c r="A825" s="28">
        <f t="shared" si="25"/>
        <v>1109</v>
      </c>
      <c r="B825" s="28">
        <f t="shared" si="24"/>
        <v>0.17714791851195749</v>
      </c>
      <c r="C825" s="28">
        <f>A825+$E$6</f>
        <v>1131</v>
      </c>
      <c r="D825" s="28">
        <f>CEILING(C825/$H$3,1)*CEILING($H$2/$H$3,1)/CEILING($H$2/$H$3,1)</f>
        <v>5</v>
      </c>
      <c r="E825" s="28">
        <f>CEILING(C825/$H$3,1)*CEILING($H$2/$H$3,1)/CEILING(C825/$H$3,1)</f>
        <v>1</v>
      </c>
      <c r="F825" s="28">
        <f>$B$5/D825/B825*E825</f>
        <v>1.5241500000000001</v>
      </c>
    </row>
    <row r="826" spans="1:6" x14ac:dyDescent="0.4">
      <c r="A826" s="28">
        <f t="shared" si="25"/>
        <v>1110</v>
      </c>
      <c r="B826" s="28">
        <f t="shared" si="24"/>
        <v>0.17699115044247787</v>
      </c>
      <c r="C826" s="28">
        <f>A826+$E$6</f>
        <v>1132</v>
      </c>
      <c r="D826" s="28">
        <f>CEILING(C826/$H$3,1)*CEILING($H$2/$H$3,1)/CEILING($H$2/$H$3,1)</f>
        <v>5</v>
      </c>
      <c r="E826" s="28">
        <f>CEILING(C826/$H$3,1)*CEILING($H$2/$H$3,1)/CEILING(C826/$H$3,1)</f>
        <v>1</v>
      </c>
      <c r="F826" s="28">
        <f>$B$5/D826/B826*E826</f>
        <v>1.5255000000000001</v>
      </c>
    </row>
    <row r="827" spans="1:6" x14ac:dyDescent="0.4">
      <c r="A827" s="28">
        <f t="shared" si="25"/>
        <v>1111</v>
      </c>
      <c r="B827" s="28">
        <f t="shared" si="24"/>
        <v>0.17683465959328029</v>
      </c>
      <c r="C827" s="28">
        <f>A827+$E$6</f>
        <v>1133</v>
      </c>
      <c r="D827" s="28">
        <f>CEILING(C827/$H$3,1)*CEILING($H$2/$H$3,1)/CEILING($H$2/$H$3,1)</f>
        <v>5</v>
      </c>
      <c r="E827" s="28">
        <f>CEILING(C827/$H$3,1)*CEILING($H$2/$H$3,1)/CEILING(C827/$H$3,1)</f>
        <v>1</v>
      </c>
      <c r="F827" s="28">
        <f>$B$5/D827/B827*E827</f>
        <v>1.52685</v>
      </c>
    </row>
    <row r="828" spans="1:6" x14ac:dyDescent="0.4">
      <c r="A828" s="28">
        <f t="shared" si="25"/>
        <v>1112</v>
      </c>
      <c r="B828" s="28">
        <f t="shared" si="24"/>
        <v>0.17667844522968199</v>
      </c>
      <c r="C828" s="28">
        <f>A828+$E$6</f>
        <v>1134</v>
      </c>
      <c r="D828" s="28">
        <f>CEILING(C828/$H$3,1)*CEILING($H$2/$H$3,1)/CEILING($H$2/$H$3,1)</f>
        <v>5</v>
      </c>
      <c r="E828" s="28">
        <f>CEILING(C828/$H$3,1)*CEILING($H$2/$H$3,1)/CEILING(C828/$H$3,1)</f>
        <v>1</v>
      </c>
      <c r="F828" s="28">
        <f>$B$5/D828/B828*E828</f>
        <v>1.5282</v>
      </c>
    </row>
    <row r="829" spans="1:6" x14ac:dyDescent="0.4">
      <c r="A829" s="28">
        <f t="shared" si="25"/>
        <v>1113</v>
      </c>
      <c r="B829" s="28">
        <f t="shared" si="24"/>
        <v>0.17652250661959401</v>
      </c>
      <c r="C829" s="28">
        <f>A829+$E$6</f>
        <v>1135</v>
      </c>
      <c r="D829" s="28">
        <f>CEILING(C829/$H$3,1)*CEILING($H$2/$H$3,1)/CEILING($H$2/$H$3,1)</f>
        <v>5</v>
      </c>
      <c r="E829" s="28">
        <f>CEILING(C829/$H$3,1)*CEILING($H$2/$H$3,1)/CEILING(C829/$H$3,1)</f>
        <v>1</v>
      </c>
      <c r="F829" s="28">
        <f>$B$5/D829/B829*E829</f>
        <v>1.52955</v>
      </c>
    </row>
    <row r="830" spans="1:6" x14ac:dyDescent="0.4">
      <c r="A830" s="28">
        <f t="shared" si="25"/>
        <v>1114</v>
      </c>
      <c r="B830" s="28">
        <f t="shared" si="24"/>
        <v>0.17636684303350969</v>
      </c>
      <c r="C830" s="28">
        <f>A830+$E$6</f>
        <v>1136</v>
      </c>
      <c r="D830" s="28">
        <f>CEILING(C830/$H$3,1)*CEILING($H$2/$H$3,1)/CEILING($H$2/$H$3,1)</f>
        <v>5</v>
      </c>
      <c r="E830" s="28">
        <f>CEILING(C830/$H$3,1)*CEILING($H$2/$H$3,1)/CEILING(C830/$H$3,1)</f>
        <v>1</v>
      </c>
      <c r="F830" s="28">
        <f>$B$5/D830/B830*E830</f>
        <v>1.5309000000000001</v>
      </c>
    </row>
    <row r="831" spans="1:6" x14ac:dyDescent="0.4">
      <c r="A831" s="28">
        <f t="shared" si="25"/>
        <v>1115</v>
      </c>
      <c r="B831" s="28">
        <f t="shared" si="24"/>
        <v>0.1762114537444934</v>
      </c>
      <c r="C831" s="28">
        <f>A831+$E$6</f>
        <v>1137</v>
      </c>
      <c r="D831" s="28">
        <f>CEILING(C831/$H$3,1)*CEILING($H$2/$H$3,1)/CEILING($H$2/$H$3,1)</f>
        <v>5</v>
      </c>
      <c r="E831" s="28">
        <f>CEILING(C831/$H$3,1)*CEILING($H$2/$H$3,1)/CEILING(C831/$H$3,1)</f>
        <v>1</v>
      </c>
      <c r="F831" s="28">
        <f>$B$5/D831/B831*E831</f>
        <v>1.5322500000000001</v>
      </c>
    </row>
    <row r="832" spans="1:6" x14ac:dyDescent="0.4">
      <c r="A832" s="28">
        <f t="shared" si="25"/>
        <v>1116</v>
      </c>
      <c r="B832" s="28">
        <f t="shared" si="24"/>
        <v>0.176056338028169</v>
      </c>
      <c r="C832" s="28">
        <f>A832+$E$6</f>
        <v>1138</v>
      </c>
      <c r="D832" s="28">
        <f>CEILING(C832/$H$3,1)*CEILING($H$2/$H$3,1)/CEILING($H$2/$H$3,1)</f>
        <v>5</v>
      </c>
      <c r="E832" s="28">
        <f>CEILING(C832/$H$3,1)*CEILING($H$2/$H$3,1)/CEILING(C832/$H$3,1)</f>
        <v>1</v>
      </c>
      <c r="F832" s="28">
        <f>$B$5/D832/B832*E832</f>
        <v>1.5336000000000003</v>
      </c>
    </row>
    <row r="833" spans="1:6" x14ac:dyDescent="0.4">
      <c r="A833" s="28">
        <f t="shared" si="25"/>
        <v>1117</v>
      </c>
      <c r="B833" s="28">
        <f t="shared" si="24"/>
        <v>0.17590149516270889</v>
      </c>
      <c r="C833" s="28">
        <f>A833+$E$6</f>
        <v>1139</v>
      </c>
      <c r="D833" s="28">
        <f>CEILING(C833/$H$3,1)*CEILING($H$2/$H$3,1)/CEILING($H$2/$H$3,1)</f>
        <v>5</v>
      </c>
      <c r="E833" s="28">
        <f>CEILING(C833/$H$3,1)*CEILING($H$2/$H$3,1)/CEILING(C833/$H$3,1)</f>
        <v>1</v>
      </c>
      <c r="F833" s="28">
        <f>$B$5/D833/B833*E833</f>
        <v>1.53495</v>
      </c>
    </row>
    <row r="834" spans="1:6" x14ac:dyDescent="0.4">
      <c r="A834" s="28">
        <f t="shared" si="25"/>
        <v>1118</v>
      </c>
      <c r="B834" s="28">
        <f t="shared" si="24"/>
        <v>0.1757469244288225</v>
      </c>
      <c r="C834" s="28">
        <f>A834+$E$6</f>
        <v>1140</v>
      </c>
      <c r="D834" s="28">
        <f>CEILING(C834/$H$3,1)*CEILING($H$2/$H$3,1)/CEILING($H$2/$H$3,1)</f>
        <v>5</v>
      </c>
      <c r="E834" s="28">
        <f>CEILING(C834/$H$3,1)*CEILING($H$2/$H$3,1)/CEILING(C834/$H$3,1)</f>
        <v>1</v>
      </c>
      <c r="F834" s="28">
        <f>$B$5/D834/B834*E834</f>
        <v>1.5363</v>
      </c>
    </row>
    <row r="835" spans="1:6" x14ac:dyDescent="0.4">
      <c r="A835" s="28">
        <f t="shared" si="25"/>
        <v>1119</v>
      </c>
      <c r="B835" s="28">
        <f t="shared" si="24"/>
        <v>0.17559262510974538</v>
      </c>
      <c r="C835" s="28">
        <f>A835+$E$6</f>
        <v>1141</v>
      </c>
      <c r="D835" s="28">
        <f>CEILING(C835/$H$3,1)*CEILING($H$2/$H$3,1)/CEILING($H$2/$H$3,1)</f>
        <v>5</v>
      </c>
      <c r="E835" s="28">
        <f>CEILING(C835/$H$3,1)*CEILING($H$2/$H$3,1)/CEILING(C835/$H$3,1)</f>
        <v>1</v>
      </c>
      <c r="F835" s="28">
        <f>$B$5/D835/B835*E835</f>
        <v>1.5376500000000002</v>
      </c>
    </row>
    <row r="836" spans="1:6" x14ac:dyDescent="0.4">
      <c r="A836" s="28">
        <f t="shared" si="25"/>
        <v>1120</v>
      </c>
      <c r="B836" s="28">
        <f t="shared" si="24"/>
        <v>0.17543859649122806</v>
      </c>
      <c r="C836" s="28">
        <f>A836+$E$6</f>
        <v>1142</v>
      </c>
      <c r="D836" s="28">
        <f>CEILING(C836/$H$3,1)*CEILING($H$2/$H$3,1)/CEILING($H$2/$H$3,1)</f>
        <v>5</v>
      </c>
      <c r="E836" s="28">
        <f>CEILING(C836/$H$3,1)*CEILING($H$2/$H$3,1)/CEILING(C836/$H$3,1)</f>
        <v>1</v>
      </c>
      <c r="F836" s="28">
        <f>$B$5/D836/B836*E836</f>
        <v>1.5390000000000001</v>
      </c>
    </row>
    <row r="837" spans="1:6" x14ac:dyDescent="0.4">
      <c r="A837" s="28">
        <f t="shared" si="25"/>
        <v>1121</v>
      </c>
      <c r="B837" s="28">
        <f t="shared" si="24"/>
        <v>0.17528483786152499</v>
      </c>
      <c r="C837" s="28">
        <f>A837+$E$6</f>
        <v>1143</v>
      </c>
      <c r="D837" s="28">
        <f>CEILING(C837/$H$3,1)*CEILING($H$2/$H$3,1)/CEILING($H$2/$H$3,1)</f>
        <v>5</v>
      </c>
      <c r="E837" s="28">
        <f>CEILING(C837/$H$3,1)*CEILING($H$2/$H$3,1)/CEILING(C837/$H$3,1)</f>
        <v>1</v>
      </c>
      <c r="F837" s="28">
        <f>$B$5/D837/B837*E837</f>
        <v>1.5403500000000001</v>
      </c>
    </row>
    <row r="838" spans="1:6" x14ac:dyDescent="0.4">
      <c r="A838" s="28">
        <f t="shared" si="25"/>
        <v>1122</v>
      </c>
      <c r="B838" s="28">
        <f t="shared" si="24"/>
        <v>0.17513134851138354</v>
      </c>
      <c r="C838" s="28">
        <f>A838+$E$6</f>
        <v>1144</v>
      </c>
      <c r="D838" s="28">
        <f>CEILING(C838/$H$3,1)*CEILING($H$2/$H$3,1)/CEILING($H$2/$H$3,1)</f>
        <v>5</v>
      </c>
      <c r="E838" s="28">
        <f>CEILING(C838/$H$3,1)*CEILING($H$2/$H$3,1)/CEILING(C838/$H$3,1)</f>
        <v>1</v>
      </c>
      <c r="F838" s="28">
        <f>$B$5/D838/B838*E838</f>
        <v>1.5417000000000001</v>
      </c>
    </row>
    <row r="839" spans="1:6" x14ac:dyDescent="0.4">
      <c r="A839" s="28">
        <f t="shared" si="25"/>
        <v>1123</v>
      </c>
      <c r="B839" s="28">
        <f t="shared" si="24"/>
        <v>0.17497812773403323</v>
      </c>
      <c r="C839" s="28">
        <f>A839+$E$6</f>
        <v>1145</v>
      </c>
      <c r="D839" s="28">
        <f>CEILING(C839/$H$3,1)*CEILING($H$2/$H$3,1)/CEILING($H$2/$H$3,1)</f>
        <v>5</v>
      </c>
      <c r="E839" s="28">
        <f>CEILING(C839/$H$3,1)*CEILING($H$2/$H$3,1)/CEILING(C839/$H$3,1)</f>
        <v>1</v>
      </c>
      <c r="F839" s="28">
        <f>$B$5/D839/B839*E839</f>
        <v>1.5430500000000003</v>
      </c>
    </row>
    <row r="840" spans="1:6" x14ac:dyDescent="0.4">
      <c r="A840" s="28">
        <f t="shared" si="25"/>
        <v>1124</v>
      </c>
      <c r="B840" s="28">
        <f t="shared" si="24"/>
        <v>0.17482517482517482</v>
      </c>
      <c r="C840" s="28">
        <f>A840+$E$6</f>
        <v>1146</v>
      </c>
      <c r="D840" s="28">
        <f>CEILING(C840/$H$3,1)*CEILING($H$2/$H$3,1)/CEILING($H$2/$H$3,1)</f>
        <v>5</v>
      </c>
      <c r="E840" s="28">
        <f>CEILING(C840/$H$3,1)*CEILING($H$2/$H$3,1)/CEILING(C840/$H$3,1)</f>
        <v>1</v>
      </c>
      <c r="F840" s="28">
        <f>$B$5/D840/B840*E840</f>
        <v>1.5444000000000002</v>
      </c>
    </row>
    <row r="841" spans="1:6" x14ac:dyDescent="0.4">
      <c r="A841" s="28">
        <f t="shared" si="25"/>
        <v>1125</v>
      </c>
      <c r="B841" s="28">
        <f t="shared" si="24"/>
        <v>0.17467248908296942</v>
      </c>
      <c r="C841" s="28">
        <f>A841+$E$6</f>
        <v>1147</v>
      </c>
      <c r="D841" s="28">
        <f>CEILING(C841/$H$3,1)*CEILING($H$2/$H$3,1)/CEILING($H$2/$H$3,1)</f>
        <v>5</v>
      </c>
      <c r="E841" s="28">
        <f>CEILING(C841/$H$3,1)*CEILING($H$2/$H$3,1)/CEILING(C841/$H$3,1)</f>
        <v>1</v>
      </c>
      <c r="F841" s="28">
        <f>$B$5/D841/B841*E841</f>
        <v>1.5457500000000002</v>
      </c>
    </row>
    <row r="842" spans="1:6" x14ac:dyDescent="0.4">
      <c r="A842" s="28">
        <f t="shared" si="25"/>
        <v>1126</v>
      </c>
      <c r="B842" s="28">
        <f t="shared" si="24"/>
        <v>0.17452006980802792</v>
      </c>
      <c r="C842" s="28">
        <f>A842+$E$6</f>
        <v>1148</v>
      </c>
      <c r="D842" s="28">
        <f>CEILING(C842/$H$3,1)*CEILING($H$2/$H$3,1)/CEILING($H$2/$H$3,1)</f>
        <v>5</v>
      </c>
      <c r="E842" s="28">
        <f>CEILING(C842/$H$3,1)*CEILING($H$2/$H$3,1)/CEILING(C842/$H$3,1)</f>
        <v>1</v>
      </c>
      <c r="F842" s="28">
        <f>$B$5/D842/B842*E842</f>
        <v>1.5471000000000001</v>
      </c>
    </row>
    <row r="843" spans="1:6" x14ac:dyDescent="0.4">
      <c r="A843" s="28">
        <f t="shared" si="25"/>
        <v>1127</v>
      </c>
      <c r="B843" s="28">
        <f t="shared" ref="B843:B906" si="26">$B$4/8/(A843+$B$2)</f>
        <v>0.17436791630340018</v>
      </c>
      <c r="C843" s="28">
        <f>A843+$E$6</f>
        <v>1149</v>
      </c>
      <c r="D843" s="28">
        <f>CEILING(C843/$H$3,1)*CEILING($H$2/$H$3,1)/CEILING($H$2/$H$3,1)</f>
        <v>5</v>
      </c>
      <c r="E843" s="28">
        <f>CEILING(C843/$H$3,1)*CEILING($H$2/$H$3,1)/CEILING(C843/$H$3,1)</f>
        <v>1</v>
      </c>
      <c r="F843" s="28">
        <f>$B$5/D843/B843*E843</f>
        <v>1.5484500000000001</v>
      </c>
    </row>
    <row r="844" spans="1:6" x14ac:dyDescent="0.4">
      <c r="A844" s="28">
        <f t="shared" si="25"/>
        <v>1128</v>
      </c>
      <c r="B844" s="28">
        <f t="shared" si="26"/>
        <v>0.17421602787456447</v>
      </c>
      <c r="C844" s="28">
        <f>A844+$E$6</f>
        <v>1150</v>
      </c>
      <c r="D844" s="28">
        <f>CEILING(C844/$H$3,1)*CEILING($H$2/$H$3,1)/CEILING($H$2/$H$3,1)</f>
        <v>5</v>
      </c>
      <c r="E844" s="28">
        <f>CEILING(C844/$H$3,1)*CEILING($H$2/$H$3,1)/CEILING(C844/$H$3,1)</f>
        <v>1</v>
      </c>
      <c r="F844" s="28">
        <f>$B$5/D844/B844*E844</f>
        <v>1.5498000000000001</v>
      </c>
    </row>
    <row r="845" spans="1:6" x14ac:dyDescent="0.4">
      <c r="A845" s="28">
        <f t="shared" ref="A845:A908" si="27">A844+$B$3</f>
        <v>1129</v>
      </c>
      <c r="B845" s="28">
        <f t="shared" si="26"/>
        <v>0.17406440382941687</v>
      </c>
      <c r="C845" s="28">
        <f>A845+$E$6</f>
        <v>1151</v>
      </c>
      <c r="D845" s="28">
        <f>CEILING(C845/$H$3,1)*CEILING($H$2/$H$3,1)/CEILING($H$2/$H$3,1)</f>
        <v>5</v>
      </c>
      <c r="E845" s="28">
        <f>CEILING(C845/$H$3,1)*CEILING($H$2/$H$3,1)/CEILING(C845/$H$3,1)</f>
        <v>1</v>
      </c>
      <c r="F845" s="28">
        <f>$B$5/D845/B845*E845</f>
        <v>1.5511500000000003</v>
      </c>
    </row>
    <row r="846" spans="1:6" x14ac:dyDescent="0.4">
      <c r="A846" s="28">
        <f t="shared" si="27"/>
        <v>1130</v>
      </c>
      <c r="B846" s="28">
        <f t="shared" si="26"/>
        <v>0.17391304347826086</v>
      </c>
      <c r="C846" s="28">
        <f>A846+$E$6</f>
        <v>1152</v>
      </c>
      <c r="D846" s="28">
        <f>CEILING(C846/$H$3,1)*CEILING($H$2/$H$3,1)/CEILING($H$2/$H$3,1)</f>
        <v>5</v>
      </c>
      <c r="E846" s="28">
        <f>CEILING(C846/$H$3,1)*CEILING($H$2/$H$3,1)/CEILING(C846/$H$3,1)</f>
        <v>1</v>
      </c>
      <c r="F846" s="28">
        <f>$B$5/D846/B846*E846</f>
        <v>1.5525000000000002</v>
      </c>
    </row>
    <row r="847" spans="1:6" x14ac:dyDescent="0.4">
      <c r="A847" s="28">
        <f t="shared" si="27"/>
        <v>1131</v>
      </c>
      <c r="B847" s="28">
        <f t="shared" si="26"/>
        <v>0.1737619461337967</v>
      </c>
      <c r="C847" s="28">
        <f>A847+$E$6</f>
        <v>1153</v>
      </c>
      <c r="D847" s="28">
        <f>CEILING(C847/$H$3,1)*CEILING($H$2/$H$3,1)/CEILING($H$2/$H$3,1)</f>
        <v>5</v>
      </c>
      <c r="E847" s="28">
        <f>CEILING(C847/$H$3,1)*CEILING($H$2/$H$3,1)/CEILING(C847/$H$3,1)</f>
        <v>1</v>
      </c>
      <c r="F847" s="28">
        <f>$B$5/D847/B847*E847</f>
        <v>1.5538500000000002</v>
      </c>
    </row>
    <row r="848" spans="1:6" x14ac:dyDescent="0.4">
      <c r="A848" s="28">
        <f t="shared" si="27"/>
        <v>1132</v>
      </c>
      <c r="B848" s="28">
        <f t="shared" si="26"/>
        <v>0.1736111111111111</v>
      </c>
      <c r="C848" s="28">
        <f>A848+$E$6</f>
        <v>1154</v>
      </c>
      <c r="D848" s="28">
        <f>CEILING(C848/$H$3,1)*CEILING($H$2/$H$3,1)/CEILING($H$2/$H$3,1)</f>
        <v>5</v>
      </c>
      <c r="E848" s="28">
        <f>CEILING(C848/$H$3,1)*CEILING($H$2/$H$3,1)/CEILING(C848/$H$3,1)</f>
        <v>1</v>
      </c>
      <c r="F848" s="28">
        <f>$B$5/D848/B848*E848</f>
        <v>1.5552000000000001</v>
      </c>
    </row>
    <row r="849" spans="1:6" x14ac:dyDescent="0.4">
      <c r="A849" s="28">
        <f t="shared" si="27"/>
        <v>1133</v>
      </c>
      <c r="B849" s="28">
        <f t="shared" si="26"/>
        <v>0.17346053772766695</v>
      </c>
      <c r="C849" s="28">
        <f>A849+$E$6</f>
        <v>1155</v>
      </c>
      <c r="D849" s="28">
        <f>CEILING(C849/$H$3,1)*CEILING($H$2/$H$3,1)/CEILING($H$2/$H$3,1)</f>
        <v>5</v>
      </c>
      <c r="E849" s="28">
        <f>CEILING(C849/$H$3,1)*CEILING($H$2/$H$3,1)/CEILING(C849/$H$3,1)</f>
        <v>1</v>
      </c>
      <c r="F849" s="28">
        <f>$B$5/D849/B849*E849</f>
        <v>1.5565500000000001</v>
      </c>
    </row>
    <row r="850" spans="1:6" x14ac:dyDescent="0.4">
      <c r="A850" s="28">
        <f t="shared" si="27"/>
        <v>1134</v>
      </c>
      <c r="B850" s="28">
        <f t="shared" si="26"/>
        <v>0.1733102253032929</v>
      </c>
      <c r="C850" s="28">
        <f>A850+$E$6</f>
        <v>1156</v>
      </c>
      <c r="D850" s="28">
        <f>CEILING(C850/$H$3,1)*CEILING($H$2/$H$3,1)/CEILING($H$2/$H$3,1)</f>
        <v>5</v>
      </c>
      <c r="E850" s="28">
        <f>CEILING(C850/$H$3,1)*CEILING($H$2/$H$3,1)/CEILING(C850/$H$3,1)</f>
        <v>1</v>
      </c>
      <c r="F850" s="28">
        <f>$B$5/D850/B850*E850</f>
        <v>1.5579000000000001</v>
      </c>
    </row>
    <row r="851" spans="1:6" x14ac:dyDescent="0.4">
      <c r="A851" s="28">
        <f t="shared" si="27"/>
        <v>1135</v>
      </c>
      <c r="B851" s="28">
        <f t="shared" si="26"/>
        <v>0.17316017316017315</v>
      </c>
      <c r="C851" s="28">
        <f>A851+$E$6</f>
        <v>1157</v>
      </c>
      <c r="D851" s="28">
        <f>CEILING(C851/$H$3,1)*CEILING($H$2/$H$3,1)/CEILING($H$2/$H$3,1)</f>
        <v>5</v>
      </c>
      <c r="E851" s="28">
        <f>CEILING(C851/$H$3,1)*CEILING($H$2/$H$3,1)/CEILING(C851/$H$3,1)</f>
        <v>1</v>
      </c>
      <c r="F851" s="28">
        <f>$B$5/D851/B851*E851</f>
        <v>1.5592500000000002</v>
      </c>
    </row>
    <row r="852" spans="1:6" x14ac:dyDescent="0.4">
      <c r="A852" s="28">
        <f t="shared" si="27"/>
        <v>1136</v>
      </c>
      <c r="B852" s="28">
        <f t="shared" si="26"/>
        <v>0.17301038062283736</v>
      </c>
      <c r="C852" s="28">
        <f>A852+$E$6</f>
        <v>1158</v>
      </c>
      <c r="D852" s="28">
        <f>CEILING(C852/$H$3,1)*CEILING($H$2/$H$3,1)/CEILING($H$2/$H$3,1)</f>
        <v>5</v>
      </c>
      <c r="E852" s="28">
        <f>CEILING(C852/$H$3,1)*CEILING($H$2/$H$3,1)/CEILING(C852/$H$3,1)</f>
        <v>1</v>
      </c>
      <c r="F852" s="28">
        <f>$B$5/D852/B852*E852</f>
        <v>1.5606000000000002</v>
      </c>
    </row>
    <row r="853" spans="1:6" x14ac:dyDescent="0.4">
      <c r="A853" s="28">
        <f t="shared" si="27"/>
        <v>1137</v>
      </c>
      <c r="B853" s="28">
        <f t="shared" si="26"/>
        <v>0.17286084701815038</v>
      </c>
      <c r="C853" s="28">
        <f>A853+$E$6</f>
        <v>1159</v>
      </c>
      <c r="D853" s="28">
        <f>CEILING(C853/$H$3,1)*CEILING($H$2/$H$3,1)/CEILING($H$2/$H$3,1)</f>
        <v>5</v>
      </c>
      <c r="E853" s="28">
        <f>CEILING(C853/$H$3,1)*CEILING($H$2/$H$3,1)/CEILING(C853/$H$3,1)</f>
        <v>1</v>
      </c>
      <c r="F853" s="28">
        <f>$B$5/D853/B853*E853</f>
        <v>1.5619500000000002</v>
      </c>
    </row>
    <row r="854" spans="1:6" x14ac:dyDescent="0.4">
      <c r="A854" s="28">
        <f t="shared" si="27"/>
        <v>1138</v>
      </c>
      <c r="B854" s="28">
        <f t="shared" si="26"/>
        <v>0.17271157167530224</v>
      </c>
      <c r="C854" s="28">
        <f>A854+$E$6</f>
        <v>1160</v>
      </c>
      <c r="D854" s="28">
        <f>CEILING(C854/$H$3,1)*CEILING($H$2/$H$3,1)/CEILING($H$2/$H$3,1)</f>
        <v>5</v>
      </c>
      <c r="E854" s="28">
        <f>CEILING(C854/$H$3,1)*CEILING($H$2/$H$3,1)/CEILING(C854/$H$3,1)</f>
        <v>1</v>
      </c>
      <c r="F854" s="28">
        <f>$B$5/D854/B854*E854</f>
        <v>1.5633000000000001</v>
      </c>
    </row>
    <row r="855" spans="1:6" x14ac:dyDescent="0.4">
      <c r="A855" s="28">
        <f t="shared" si="27"/>
        <v>1139</v>
      </c>
      <c r="B855" s="28">
        <f t="shared" si="26"/>
        <v>0.17256255392579811</v>
      </c>
      <c r="C855" s="28">
        <f>A855+$E$6</f>
        <v>1161</v>
      </c>
      <c r="D855" s="28">
        <f>CEILING(C855/$H$3,1)*CEILING($H$2/$H$3,1)/CEILING($H$2/$H$3,1)</f>
        <v>5</v>
      </c>
      <c r="E855" s="28">
        <f>CEILING(C855/$H$3,1)*CEILING($H$2/$H$3,1)/CEILING(C855/$H$3,1)</f>
        <v>1</v>
      </c>
      <c r="F855" s="28">
        <f>$B$5/D855/B855*E855</f>
        <v>1.5646500000000001</v>
      </c>
    </row>
    <row r="856" spans="1:6" x14ac:dyDescent="0.4">
      <c r="A856" s="28">
        <f t="shared" si="27"/>
        <v>1140</v>
      </c>
      <c r="B856" s="28">
        <f t="shared" si="26"/>
        <v>0.17241379310344829</v>
      </c>
      <c r="C856" s="28">
        <f>A856+$E$6</f>
        <v>1162</v>
      </c>
      <c r="D856" s="28">
        <f>CEILING(C856/$H$3,1)*CEILING($H$2/$H$3,1)/CEILING($H$2/$H$3,1)</f>
        <v>5</v>
      </c>
      <c r="E856" s="28">
        <f>CEILING(C856/$H$3,1)*CEILING($H$2/$H$3,1)/CEILING(C856/$H$3,1)</f>
        <v>1</v>
      </c>
      <c r="F856" s="28">
        <f>$B$5/D856/B856*E856</f>
        <v>1.5660000000000001</v>
      </c>
    </row>
    <row r="857" spans="1:6" x14ac:dyDescent="0.4">
      <c r="A857" s="28">
        <f t="shared" si="27"/>
        <v>1141</v>
      </c>
      <c r="B857" s="28">
        <f t="shared" si="26"/>
        <v>0.17226528854435832</v>
      </c>
      <c r="C857" s="28">
        <f>A857+$E$6</f>
        <v>1163</v>
      </c>
      <c r="D857" s="28">
        <f>CEILING(C857/$H$3,1)*CEILING($H$2/$H$3,1)/CEILING($H$2/$H$3,1)</f>
        <v>5</v>
      </c>
      <c r="E857" s="28">
        <f>CEILING(C857/$H$3,1)*CEILING($H$2/$H$3,1)/CEILING(C857/$H$3,1)</f>
        <v>1</v>
      </c>
      <c r="F857" s="28">
        <f>$B$5/D857/B857*E857</f>
        <v>1.56735</v>
      </c>
    </row>
    <row r="858" spans="1:6" x14ac:dyDescent="0.4">
      <c r="A858" s="28">
        <f t="shared" si="27"/>
        <v>1142</v>
      </c>
      <c r="B858" s="28">
        <f t="shared" si="26"/>
        <v>0.1721170395869191</v>
      </c>
      <c r="C858" s="28">
        <f>A858+$E$6</f>
        <v>1164</v>
      </c>
      <c r="D858" s="28">
        <f>CEILING(C858/$H$3,1)*CEILING($H$2/$H$3,1)/CEILING($H$2/$H$3,1)</f>
        <v>5</v>
      </c>
      <c r="E858" s="28">
        <f>CEILING(C858/$H$3,1)*CEILING($H$2/$H$3,1)/CEILING(C858/$H$3,1)</f>
        <v>1</v>
      </c>
      <c r="F858" s="28">
        <f>$B$5/D858/B858*E858</f>
        <v>1.5687000000000002</v>
      </c>
    </row>
    <row r="859" spans="1:6" x14ac:dyDescent="0.4">
      <c r="A859" s="28">
        <f t="shared" si="27"/>
        <v>1143</v>
      </c>
      <c r="B859" s="28">
        <f t="shared" si="26"/>
        <v>0.17196904557179707</v>
      </c>
      <c r="C859" s="28">
        <f>A859+$E$6</f>
        <v>1165</v>
      </c>
      <c r="D859" s="28">
        <f>CEILING(C859/$H$3,1)*CEILING($H$2/$H$3,1)/CEILING($H$2/$H$3,1)</f>
        <v>5</v>
      </c>
      <c r="E859" s="28">
        <f>CEILING(C859/$H$3,1)*CEILING($H$2/$H$3,1)/CEILING(C859/$H$3,1)</f>
        <v>1</v>
      </c>
      <c r="F859" s="28">
        <f>$B$5/D859/B859*E859</f>
        <v>1.5700500000000002</v>
      </c>
    </row>
    <row r="860" spans="1:6" x14ac:dyDescent="0.4">
      <c r="A860" s="28">
        <f t="shared" si="27"/>
        <v>1144</v>
      </c>
      <c r="B860" s="28">
        <f t="shared" si="26"/>
        <v>0.1718213058419244</v>
      </c>
      <c r="C860" s="28">
        <f>A860+$E$6</f>
        <v>1166</v>
      </c>
      <c r="D860" s="28">
        <f>CEILING(C860/$H$3,1)*CEILING($H$2/$H$3,1)/CEILING($H$2/$H$3,1)</f>
        <v>5</v>
      </c>
      <c r="E860" s="28">
        <f>CEILING(C860/$H$3,1)*CEILING($H$2/$H$3,1)/CEILING(C860/$H$3,1)</f>
        <v>1</v>
      </c>
      <c r="F860" s="28">
        <f>$B$5/D860/B860*E860</f>
        <v>1.5714000000000001</v>
      </c>
    </row>
    <row r="861" spans="1:6" x14ac:dyDescent="0.4">
      <c r="A861" s="28">
        <f t="shared" si="27"/>
        <v>1145</v>
      </c>
      <c r="B861" s="28">
        <f t="shared" si="26"/>
        <v>0.17167381974248927</v>
      </c>
      <c r="C861" s="28">
        <f>A861+$E$6</f>
        <v>1167</v>
      </c>
      <c r="D861" s="28">
        <f>CEILING(C861/$H$3,1)*CEILING($H$2/$H$3,1)/CEILING($H$2/$H$3,1)</f>
        <v>5</v>
      </c>
      <c r="E861" s="28">
        <f>CEILING(C861/$H$3,1)*CEILING($H$2/$H$3,1)/CEILING(C861/$H$3,1)</f>
        <v>1</v>
      </c>
      <c r="F861" s="28">
        <f>$B$5/D861/B861*E861</f>
        <v>1.5727500000000001</v>
      </c>
    </row>
    <row r="862" spans="1:6" x14ac:dyDescent="0.4">
      <c r="A862" s="28">
        <f t="shared" si="27"/>
        <v>1146</v>
      </c>
      <c r="B862" s="28">
        <f t="shared" si="26"/>
        <v>0.17152658662092624</v>
      </c>
      <c r="C862" s="28">
        <f>A862+$E$6</f>
        <v>1168</v>
      </c>
      <c r="D862" s="28">
        <f>CEILING(C862/$H$3,1)*CEILING($H$2/$H$3,1)/CEILING($H$2/$H$3,1)</f>
        <v>5</v>
      </c>
      <c r="E862" s="28">
        <f>CEILING(C862/$H$3,1)*CEILING($H$2/$H$3,1)/CEILING(C862/$H$3,1)</f>
        <v>1</v>
      </c>
      <c r="F862" s="28">
        <f>$B$5/D862/B862*E862</f>
        <v>1.5741000000000003</v>
      </c>
    </row>
    <row r="863" spans="1:6" x14ac:dyDescent="0.4">
      <c r="A863" s="28">
        <f t="shared" si="27"/>
        <v>1147</v>
      </c>
      <c r="B863" s="28">
        <f t="shared" si="26"/>
        <v>0.17137960582690659</v>
      </c>
      <c r="C863" s="28">
        <f>A863+$E$6</f>
        <v>1169</v>
      </c>
      <c r="D863" s="28">
        <f>CEILING(C863/$H$3,1)*CEILING($H$2/$H$3,1)/CEILING($H$2/$H$3,1)</f>
        <v>5</v>
      </c>
      <c r="E863" s="28">
        <f>CEILING(C863/$H$3,1)*CEILING($H$2/$H$3,1)/CEILING(C863/$H$3,1)</f>
        <v>1</v>
      </c>
      <c r="F863" s="28">
        <f>$B$5/D863/B863*E863</f>
        <v>1.5754500000000002</v>
      </c>
    </row>
    <row r="864" spans="1:6" x14ac:dyDescent="0.4">
      <c r="A864" s="28">
        <f t="shared" si="27"/>
        <v>1148</v>
      </c>
      <c r="B864" s="28">
        <f t="shared" si="26"/>
        <v>0.17123287671232876</v>
      </c>
      <c r="C864" s="28">
        <f>A864+$E$6</f>
        <v>1170</v>
      </c>
      <c r="D864" s="28">
        <f>CEILING(C864/$H$3,1)*CEILING($H$2/$H$3,1)/CEILING($H$2/$H$3,1)</f>
        <v>5</v>
      </c>
      <c r="E864" s="28">
        <f>CEILING(C864/$H$3,1)*CEILING($H$2/$H$3,1)/CEILING(C864/$H$3,1)</f>
        <v>1</v>
      </c>
      <c r="F864" s="28">
        <f>$B$5/D864/B864*E864</f>
        <v>1.5768000000000002</v>
      </c>
    </row>
    <row r="865" spans="1:6" x14ac:dyDescent="0.4">
      <c r="A865" s="28">
        <f t="shared" si="27"/>
        <v>1149</v>
      </c>
      <c r="B865" s="28">
        <f t="shared" si="26"/>
        <v>0.17108639863130881</v>
      </c>
      <c r="C865" s="28">
        <f>A865+$E$6</f>
        <v>1171</v>
      </c>
      <c r="D865" s="28">
        <f>CEILING(C865/$H$3,1)*CEILING($H$2/$H$3,1)/CEILING($H$2/$H$3,1)</f>
        <v>5</v>
      </c>
      <c r="E865" s="28">
        <f>CEILING(C865/$H$3,1)*CEILING($H$2/$H$3,1)/CEILING(C865/$H$3,1)</f>
        <v>1</v>
      </c>
      <c r="F865" s="28">
        <f>$B$5/D865/B865*E865</f>
        <v>1.5781500000000002</v>
      </c>
    </row>
    <row r="866" spans="1:6" x14ac:dyDescent="0.4">
      <c r="A866" s="28">
        <f t="shared" si="27"/>
        <v>1150</v>
      </c>
      <c r="B866" s="28">
        <f t="shared" si="26"/>
        <v>0.17094017094017094</v>
      </c>
      <c r="C866" s="28">
        <f>A866+$E$6</f>
        <v>1172</v>
      </c>
      <c r="D866" s="28">
        <f>CEILING(C866/$H$3,1)*CEILING($H$2/$H$3,1)/CEILING($H$2/$H$3,1)</f>
        <v>5</v>
      </c>
      <c r="E866" s="28">
        <f>CEILING(C866/$H$3,1)*CEILING($H$2/$H$3,1)/CEILING(C866/$H$3,1)</f>
        <v>1</v>
      </c>
      <c r="F866" s="28">
        <f>$B$5/D866/B866*E866</f>
        <v>1.5795000000000001</v>
      </c>
    </row>
    <row r="867" spans="1:6" x14ac:dyDescent="0.4">
      <c r="A867" s="28">
        <f t="shared" si="27"/>
        <v>1151</v>
      </c>
      <c r="B867" s="28">
        <f t="shared" si="26"/>
        <v>0.17079419299743809</v>
      </c>
      <c r="C867" s="28">
        <f>A867+$E$6</f>
        <v>1173</v>
      </c>
      <c r="D867" s="28">
        <f>CEILING(C867/$H$3,1)*CEILING($H$2/$H$3,1)/CEILING($H$2/$H$3,1)</f>
        <v>5</v>
      </c>
      <c r="E867" s="28">
        <f>CEILING(C867/$H$3,1)*CEILING($H$2/$H$3,1)/CEILING(C867/$H$3,1)</f>
        <v>1</v>
      </c>
      <c r="F867" s="28">
        <f>$B$5/D867/B867*E867</f>
        <v>1.5808500000000001</v>
      </c>
    </row>
    <row r="868" spans="1:6" x14ac:dyDescent="0.4">
      <c r="A868" s="28">
        <f t="shared" si="27"/>
        <v>1152</v>
      </c>
      <c r="B868" s="28">
        <f t="shared" si="26"/>
        <v>0.17064846416382254</v>
      </c>
      <c r="C868" s="28">
        <f>A868+$E$6</f>
        <v>1174</v>
      </c>
      <c r="D868" s="28">
        <f>CEILING(C868/$H$3,1)*CEILING($H$2/$H$3,1)/CEILING($H$2/$H$3,1)</f>
        <v>5</v>
      </c>
      <c r="E868" s="28">
        <f>CEILING(C868/$H$3,1)*CEILING($H$2/$H$3,1)/CEILING(C868/$H$3,1)</f>
        <v>1</v>
      </c>
      <c r="F868" s="28">
        <f>$B$5/D868/B868*E868</f>
        <v>1.5822000000000001</v>
      </c>
    </row>
    <row r="869" spans="1:6" x14ac:dyDescent="0.4">
      <c r="A869" s="28">
        <f t="shared" si="27"/>
        <v>1153</v>
      </c>
      <c r="B869" s="28">
        <f t="shared" si="26"/>
        <v>0.17050298380221654</v>
      </c>
      <c r="C869" s="28">
        <f>A869+$E$6</f>
        <v>1175</v>
      </c>
      <c r="D869" s="28">
        <f>CEILING(C869/$H$3,1)*CEILING($H$2/$H$3,1)/CEILING($H$2/$H$3,1)</f>
        <v>5</v>
      </c>
      <c r="E869" s="28">
        <f>CEILING(C869/$H$3,1)*CEILING($H$2/$H$3,1)/CEILING(C869/$H$3,1)</f>
        <v>1</v>
      </c>
      <c r="F869" s="28">
        <f>$B$5/D869/B869*E869</f>
        <v>1.58355</v>
      </c>
    </row>
    <row r="870" spans="1:6" x14ac:dyDescent="0.4">
      <c r="A870" s="28">
        <f t="shared" si="27"/>
        <v>1154</v>
      </c>
      <c r="B870" s="28">
        <f t="shared" si="26"/>
        <v>0.17035775127768313</v>
      </c>
      <c r="C870" s="28">
        <f>A870+$E$6</f>
        <v>1176</v>
      </c>
      <c r="D870" s="28">
        <f>CEILING(C870/$H$3,1)*CEILING($H$2/$H$3,1)/CEILING($H$2/$H$3,1)</f>
        <v>5</v>
      </c>
      <c r="E870" s="28">
        <f>CEILING(C870/$H$3,1)*CEILING($H$2/$H$3,1)/CEILING(C870/$H$3,1)</f>
        <v>1</v>
      </c>
      <c r="F870" s="28">
        <f>$B$5/D870/B870*E870</f>
        <v>1.5849000000000002</v>
      </c>
    </row>
    <row r="871" spans="1:6" x14ac:dyDescent="0.4">
      <c r="A871" s="28">
        <f t="shared" si="27"/>
        <v>1155</v>
      </c>
      <c r="B871" s="28">
        <f t="shared" si="26"/>
        <v>0.1702127659574468</v>
      </c>
      <c r="C871" s="28">
        <f>A871+$E$6</f>
        <v>1177</v>
      </c>
      <c r="D871" s="28">
        <f>CEILING(C871/$H$3,1)*CEILING($H$2/$H$3,1)/CEILING($H$2/$H$3,1)</f>
        <v>5</v>
      </c>
      <c r="E871" s="28">
        <f>CEILING(C871/$H$3,1)*CEILING($H$2/$H$3,1)/CEILING(C871/$H$3,1)</f>
        <v>1</v>
      </c>
      <c r="F871" s="28">
        <f>$B$5/D871/B871*E871</f>
        <v>1.5862500000000002</v>
      </c>
    </row>
    <row r="872" spans="1:6" x14ac:dyDescent="0.4">
      <c r="A872" s="28">
        <f t="shared" si="27"/>
        <v>1156</v>
      </c>
      <c r="B872" s="28">
        <f t="shared" si="26"/>
        <v>0.17006802721088435</v>
      </c>
      <c r="C872" s="28">
        <f>A872+$E$6</f>
        <v>1178</v>
      </c>
      <c r="D872" s="28">
        <f>CEILING(C872/$H$3,1)*CEILING($H$2/$H$3,1)/CEILING($H$2/$H$3,1)</f>
        <v>5</v>
      </c>
      <c r="E872" s="28">
        <f>CEILING(C872/$H$3,1)*CEILING($H$2/$H$3,1)/CEILING(C872/$H$3,1)</f>
        <v>1</v>
      </c>
      <c r="F872" s="28">
        <f>$B$5/D872/B872*E872</f>
        <v>1.5876000000000001</v>
      </c>
    </row>
    <row r="873" spans="1:6" x14ac:dyDescent="0.4">
      <c r="A873" s="28">
        <f t="shared" si="27"/>
        <v>1157</v>
      </c>
      <c r="B873" s="28">
        <f t="shared" si="26"/>
        <v>0.16992353440951571</v>
      </c>
      <c r="C873" s="28">
        <f>A873+$E$6</f>
        <v>1179</v>
      </c>
      <c r="D873" s="28">
        <f>CEILING(C873/$H$3,1)*CEILING($H$2/$H$3,1)/CEILING($H$2/$H$3,1)</f>
        <v>5</v>
      </c>
      <c r="E873" s="28">
        <f>CEILING(C873/$H$3,1)*CEILING($H$2/$H$3,1)/CEILING(C873/$H$3,1)</f>
        <v>1</v>
      </c>
      <c r="F873" s="28">
        <f>$B$5/D873/B873*E873</f>
        <v>1.5889500000000001</v>
      </c>
    </row>
    <row r="874" spans="1:6" x14ac:dyDescent="0.4">
      <c r="A874" s="28">
        <f t="shared" si="27"/>
        <v>1158</v>
      </c>
      <c r="B874" s="28">
        <f t="shared" si="26"/>
        <v>0.1697792869269949</v>
      </c>
      <c r="C874" s="28">
        <f>A874+$E$6</f>
        <v>1180</v>
      </c>
      <c r="D874" s="28">
        <f>CEILING(C874/$H$3,1)*CEILING($H$2/$H$3,1)/CEILING($H$2/$H$3,1)</f>
        <v>5</v>
      </c>
      <c r="E874" s="28">
        <f>CEILING(C874/$H$3,1)*CEILING($H$2/$H$3,1)/CEILING(C874/$H$3,1)</f>
        <v>1</v>
      </c>
      <c r="F874" s="28">
        <f>$B$5/D874/B874*E874</f>
        <v>1.5903000000000003</v>
      </c>
    </row>
    <row r="875" spans="1:6" x14ac:dyDescent="0.4">
      <c r="A875" s="28">
        <f t="shared" si="27"/>
        <v>1159</v>
      </c>
      <c r="B875" s="28">
        <f t="shared" si="26"/>
        <v>0.16963528413910092</v>
      </c>
      <c r="C875" s="28">
        <f>A875+$E$6</f>
        <v>1181</v>
      </c>
      <c r="D875" s="28">
        <f>CEILING(C875/$H$3,1)*CEILING($H$2/$H$3,1)/CEILING($H$2/$H$3,1)</f>
        <v>5</v>
      </c>
      <c r="E875" s="28">
        <f>CEILING(C875/$H$3,1)*CEILING($H$2/$H$3,1)/CEILING(C875/$H$3,1)</f>
        <v>1</v>
      </c>
      <c r="F875" s="28">
        <f>$B$5/D875/B875*E875</f>
        <v>1.5916500000000002</v>
      </c>
    </row>
    <row r="876" spans="1:6" x14ac:dyDescent="0.4">
      <c r="A876" s="28">
        <f t="shared" si="27"/>
        <v>1160</v>
      </c>
      <c r="B876" s="28">
        <f t="shared" si="26"/>
        <v>0.16949152542372881</v>
      </c>
      <c r="C876" s="28">
        <f>A876+$E$6</f>
        <v>1182</v>
      </c>
      <c r="D876" s="28">
        <f>CEILING(C876/$H$3,1)*CEILING($H$2/$H$3,1)/CEILING($H$2/$H$3,1)</f>
        <v>5</v>
      </c>
      <c r="E876" s="28">
        <f>CEILING(C876/$H$3,1)*CEILING($H$2/$H$3,1)/CEILING(C876/$H$3,1)</f>
        <v>1</v>
      </c>
      <c r="F876" s="28">
        <f>$B$5/D876/B876*E876</f>
        <v>1.5930000000000002</v>
      </c>
    </row>
    <row r="877" spans="1:6" x14ac:dyDescent="0.4">
      <c r="A877" s="28">
        <f t="shared" si="27"/>
        <v>1161</v>
      </c>
      <c r="B877" s="28">
        <f t="shared" si="26"/>
        <v>0.16934801016088061</v>
      </c>
      <c r="C877" s="28">
        <f>A877+$E$6</f>
        <v>1183</v>
      </c>
      <c r="D877" s="28">
        <f>CEILING(C877/$H$3,1)*CEILING($H$2/$H$3,1)/CEILING($H$2/$H$3,1)</f>
        <v>5</v>
      </c>
      <c r="E877" s="28">
        <f>CEILING(C877/$H$3,1)*CEILING($H$2/$H$3,1)/CEILING(C877/$H$3,1)</f>
        <v>1</v>
      </c>
      <c r="F877" s="28">
        <f>$B$5/D877/B877*E877</f>
        <v>1.5943500000000002</v>
      </c>
    </row>
    <row r="878" spans="1:6" x14ac:dyDescent="0.4">
      <c r="A878" s="28">
        <f t="shared" si="27"/>
        <v>1162</v>
      </c>
      <c r="B878" s="28">
        <f t="shared" si="26"/>
        <v>0.16920473773265651</v>
      </c>
      <c r="C878" s="28">
        <f>A878+$E$6</f>
        <v>1184</v>
      </c>
      <c r="D878" s="28">
        <f>CEILING(C878/$H$3,1)*CEILING($H$2/$H$3,1)/CEILING($H$2/$H$3,1)</f>
        <v>5</v>
      </c>
      <c r="E878" s="28">
        <f>CEILING(C878/$H$3,1)*CEILING($H$2/$H$3,1)/CEILING(C878/$H$3,1)</f>
        <v>1</v>
      </c>
      <c r="F878" s="28">
        <f>$B$5/D878/B878*E878</f>
        <v>1.5957000000000001</v>
      </c>
    </row>
    <row r="879" spans="1:6" x14ac:dyDescent="0.4">
      <c r="A879" s="28">
        <f t="shared" si="27"/>
        <v>1163</v>
      </c>
      <c r="B879" s="28">
        <f t="shared" si="26"/>
        <v>0.16906170752324598</v>
      </c>
      <c r="C879" s="28">
        <f>A879+$E$6</f>
        <v>1185</v>
      </c>
      <c r="D879" s="28">
        <f>CEILING(C879/$H$3,1)*CEILING($H$2/$H$3,1)/CEILING($H$2/$H$3,1)</f>
        <v>5</v>
      </c>
      <c r="E879" s="28">
        <f>CEILING(C879/$H$3,1)*CEILING($H$2/$H$3,1)/CEILING(C879/$H$3,1)</f>
        <v>1</v>
      </c>
      <c r="F879" s="28">
        <f>$B$5/D879/B879*E879</f>
        <v>1.5970500000000001</v>
      </c>
    </row>
    <row r="880" spans="1:6" x14ac:dyDescent="0.4">
      <c r="A880" s="28">
        <f t="shared" si="27"/>
        <v>1164</v>
      </c>
      <c r="B880" s="28">
        <f t="shared" si="26"/>
        <v>0.16891891891891891</v>
      </c>
      <c r="C880" s="28">
        <f>A880+$E$6</f>
        <v>1186</v>
      </c>
      <c r="D880" s="28">
        <f>CEILING(C880/$H$3,1)*CEILING($H$2/$H$3,1)/CEILING($H$2/$H$3,1)</f>
        <v>5</v>
      </c>
      <c r="E880" s="28">
        <f>CEILING(C880/$H$3,1)*CEILING($H$2/$H$3,1)/CEILING(C880/$H$3,1)</f>
        <v>1</v>
      </c>
      <c r="F880" s="28">
        <f>$B$5/D880/B880*E880</f>
        <v>1.5984</v>
      </c>
    </row>
    <row r="881" spans="1:6" x14ac:dyDescent="0.4">
      <c r="A881" s="28">
        <f t="shared" si="27"/>
        <v>1165</v>
      </c>
      <c r="B881" s="28">
        <f t="shared" si="26"/>
        <v>0.16877637130801687</v>
      </c>
      <c r="C881" s="28">
        <f>A881+$E$6</f>
        <v>1187</v>
      </c>
      <c r="D881" s="28">
        <f>CEILING(C881/$H$3,1)*CEILING($H$2/$H$3,1)/CEILING($H$2/$H$3,1)</f>
        <v>5</v>
      </c>
      <c r="E881" s="28">
        <f>CEILING(C881/$H$3,1)*CEILING($H$2/$H$3,1)/CEILING(C881/$H$3,1)</f>
        <v>1</v>
      </c>
      <c r="F881" s="28">
        <f>$B$5/D881/B881*E881</f>
        <v>1.5997500000000002</v>
      </c>
    </row>
    <row r="882" spans="1:6" x14ac:dyDescent="0.4">
      <c r="A882" s="28">
        <f t="shared" si="27"/>
        <v>1166</v>
      </c>
      <c r="B882" s="28">
        <f t="shared" si="26"/>
        <v>0.16863406408094436</v>
      </c>
      <c r="C882" s="28">
        <f>A882+$E$6</f>
        <v>1188</v>
      </c>
      <c r="D882" s="28">
        <f>CEILING(C882/$H$3,1)*CEILING($H$2/$H$3,1)/CEILING($H$2/$H$3,1)</f>
        <v>5</v>
      </c>
      <c r="E882" s="28">
        <f>CEILING(C882/$H$3,1)*CEILING($H$2/$H$3,1)/CEILING(C882/$H$3,1)</f>
        <v>1</v>
      </c>
      <c r="F882" s="28">
        <f>$B$5/D882/B882*E882</f>
        <v>1.6011</v>
      </c>
    </row>
    <row r="883" spans="1:6" x14ac:dyDescent="0.4">
      <c r="A883" s="28">
        <f t="shared" si="27"/>
        <v>1167</v>
      </c>
      <c r="B883" s="28">
        <f t="shared" si="26"/>
        <v>0.16849199663016007</v>
      </c>
      <c r="C883" s="28">
        <f>A883+$E$6</f>
        <v>1189</v>
      </c>
      <c r="D883" s="28">
        <f>CEILING(C883/$H$3,1)*CEILING($H$2/$H$3,1)/CEILING($H$2/$H$3,1)</f>
        <v>5</v>
      </c>
      <c r="E883" s="28">
        <f>CEILING(C883/$H$3,1)*CEILING($H$2/$H$3,1)/CEILING(C883/$H$3,1)</f>
        <v>1</v>
      </c>
      <c r="F883" s="28">
        <f>$B$5/D883/B883*E883</f>
        <v>1.6024500000000002</v>
      </c>
    </row>
    <row r="884" spans="1:6" x14ac:dyDescent="0.4">
      <c r="A884" s="28">
        <f t="shared" si="27"/>
        <v>1168</v>
      </c>
      <c r="B884" s="28">
        <f t="shared" si="26"/>
        <v>0.16835016835016836</v>
      </c>
      <c r="C884" s="28">
        <f>A884+$E$6</f>
        <v>1190</v>
      </c>
      <c r="D884" s="28">
        <f>CEILING(C884/$H$3,1)*CEILING($H$2/$H$3,1)/CEILING($H$2/$H$3,1)</f>
        <v>5</v>
      </c>
      <c r="E884" s="28">
        <f>CEILING(C884/$H$3,1)*CEILING($H$2/$H$3,1)/CEILING(C884/$H$3,1)</f>
        <v>1</v>
      </c>
      <c r="F884" s="28">
        <f>$B$5/D884/B884*E884</f>
        <v>1.6037999999999999</v>
      </c>
    </row>
    <row r="885" spans="1:6" x14ac:dyDescent="0.4">
      <c r="A885" s="28">
        <f t="shared" si="27"/>
        <v>1169</v>
      </c>
      <c r="B885" s="28">
        <f t="shared" si="26"/>
        <v>0.16820857863751051</v>
      </c>
      <c r="C885" s="28">
        <f>A885+$E$6</f>
        <v>1191</v>
      </c>
      <c r="D885" s="28">
        <f>CEILING(C885/$H$3,1)*CEILING($H$2/$H$3,1)/CEILING($H$2/$H$3,1)</f>
        <v>5</v>
      </c>
      <c r="E885" s="28">
        <f>CEILING(C885/$H$3,1)*CEILING($H$2/$H$3,1)/CEILING(C885/$H$3,1)</f>
        <v>1</v>
      </c>
      <c r="F885" s="28">
        <f>$B$5/D885/B885*E885</f>
        <v>1.6051500000000001</v>
      </c>
    </row>
    <row r="886" spans="1:6" x14ac:dyDescent="0.4">
      <c r="A886" s="28">
        <f t="shared" si="27"/>
        <v>1170</v>
      </c>
      <c r="B886" s="28">
        <f t="shared" si="26"/>
        <v>0.16806722689075632</v>
      </c>
      <c r="C886" s="28">
        <f>A886+$E$6</f>
        <v>1192</v>
      </c>
      <c r="D886" s="28">
        <f>CEILING(C886/$H$3,1)*CEILING($H$2/$H$3,1)/CEILING($H$2/$H$3,1)</f>
        <v>5</v>
      </c>
      <c r="E886" s="28">
        <f>CEILING(C886/$H$3,1)*CEILING($H$2/$H$3,1)/CEILING(C886/$H$3,1)</f>
        <v>1</v>
      </c>
      <c r="F886" s="28">
        <f>$B$5/D886/B886*E886</f>
        <v>1.6065</v>
      </c>
    </row>
    <row r="887" spans="1:6" x14ac:dyDescent="0.4">
      <c r="A887" s="28">
        <f t="shared" si="27"/>
        <v>1171</v>
      </c>
      <c r="B887" s="28">
        <f t="shared" si="26"/>
        <v>0.16792611251049538</v>
      </c>
      <c r="C887" s="28">
        <f>A887+$E$6</f>
        <v>1193</v>
      </c>
      <c r="D887" s="28">
        <f>CEILING(C887/$H$3,1)*CEILING($H$2/$H$3,1)/CEILING($H$2/$H$3,1)</f>
        <v>5</v>
      </c>
      <c r="E887" s="28">
        <f>CEILING(C887/$H$3,1)*CEILING($H$2/$H$3,1)/CEILING(C887/$H$3,1)</f>
        <v>1</v>
      </c>
      <c r="F887" s="28">
        <f>$B$5/D887/B887*E887</f>
        <v>1.60785</v>
      </c>
    </row>
    <row r="888" spans="1:6" x14ac:dyDescent="0.4">
      <c r="A888" s="28">
        <f t="shared" si="27"/>
        <v>1172</v>
      </c>
      <c r="B888" s="28">
        <f t="shared" si="26"/>
        <v>0.16778523489932887</v>
      </c>
      <c r="C888" s="28">
        <f>A888+$E$6</f>
        <v>1194</v>
      </c>
      <c r="D888" s="28">
        <f>CEILING(C888/$H$3,1)*CEILING($H$2/$H$3,1)/CEILING($H$2/$H$3,1)</f>
        <v>5</v>
      </c>
      <c r="E888" s="28">
        <f>CEILING(C888/$H$3,1)*CEILING($H$2/$H$3,1)/CEILING(C888/$H$3,1)</f>
        <v>1</v>
      </c>
      <c r="F888" s="28">
        <f>$B$5/D888/B888*E888</f>
        <v>1.6092</v>
      </c>
    </row>
    <row r="889" spans="1:6" x14ac:dyDescent="0.4">
      <c r="A889" s="28">
        <f t="shared" si="27"/>
        <v>1173</v>
      </c>
      <c r="B889" s="28">
        <f t="shared" si="26"/>
        <v>0.16764459346186086</v>
      </c>
      <c r="C889" s="28">
        <f>A889+$E$6</f>
        <v>1195</v>
      </c>
      <c r="D889" s="28">
        <f>CEILING(C889/$H$3,1)*CEILING($H$2/$H$3,1)/CEILING($H$2/$H$3,1)</f>
        <v>5</v>
      </c>
      <c r="E889" s="28">
        <f>CEILING(C889/$H$3,1)*CEILING($H$2/$H$3,1)/CEILING(C889/$H$3,1)</f>
        <v>1</v>
      </c>
      <c r="F889" s="28">
        <f>$B$5/D889/B889*E889</f>
        <v>1.6105499999999999</v>
      </c>
    </row>
    <row r="890" spans="1:6" x14ac:dyDescent="0.4">
      <c r="A890" s="28">
        <f t="shared" si="27"/>
        <v>1174</v>
      </c>
      <c r="B890" s="28">
        <f t="shared" si="26"/>
        <v>0.16750418760469013</v>
      </c>
      <c r="C890" s="28">
        <f>A890+$E$6</f>
        <v>1196</v>
      </c>
      <c r="D890" s="28">
        <f>CEILING(C890/$H$3,1)*CEILING($H$2/$H$3,1)/CEILING($H$2/$H$3,1)</f>
        <v>5</v>
      </c>
      <c r="E890" s="28">
        <f>CEILING(C890/$H$3,1)*CEILING($H$2/$H$3,1)/CEILING(C890/$H$3,1)</f>
        <v>1</v>
      </c>
      <c r="F890" s="28">
        <f>$B$5/D890/B890*E890</f>
        <v>1.6118999999999999</v>
      </c>
    </row>
    <row r="891" spans="1:6" x14ac:dyDescent="0.4">
      <c r="A891" s="28">
        <f t="shared" si="27"/>
        <v>1175</v>
      </c>
      <c r="B891" s="28">
        <f t="shared" si="26"/>
        <v>0.16736401673640167</v>
      </c>
      <c r="C891" s="28">
        <f>A891+$E$6</f>
        <v>1197</v>
      </c>
      <c r="D891" s="28">
        <f>CEILING(C891/$H$3,1)*CEILING($H$2/$H$3,1)/CEILING($H$2/$H$3,1)</f>
        <v>5</v>
      </c>
      <c r="E891" s="28">
        <f>CEILING(C891/$H$3,1)*CEILING($H$2/$H$3,1)/CEILING(C891/$H$3,1)</f>
        <v>1</v>
      </c>
      <c r="F891" s="28">
        <f>$B$5/D891/B891*E891</f>
        <v>1.6132500000000001</v>
      </c>
    </row>
    <row r="892" spans="1:6" x14ac:dyDescent="0.4">
      <c r="A892" s="28">
        <f t="shared" si="27"/>
        <v>1176</v>
      </c>
      <c r="B892" s="28">
        <f t="shared" si="26"/>
        <v>0.16722408026755853</v>
      </c>
      <c r="C892" s="28">
        <f>A892+$E$6</f>
        <v>1198</v>
      </c>
      <c r="D892" s="28">
        <f>CEILING(C892/$H$3,1)*CEILING($H$2/$H$3,1)/CEILING($H$2/$H$3,1)</f>
        <v>5</v>
      </c>
      <c r="E892" s="28">
        <f>CEILING(C892/$H$3,1)*CEILING($H$2/$H$3,1)/CEILING(C892/$H$3,1)</f>
        <v>1</v>
      </c>
      <c r="F892" s="28">
        <f>$B$5/D892/B892*E892</f>
        <v>1.6146</v>
      </c>
    </row>
    <row r="893" spans="1:6" x14ac:dyDescent="0.4">
      <c r="A893" s="28">
        <f t="shared" si="27"/>
        <v>1177</v>
      </c>
      <c r="B893" s="28">
        <f t="shared" si="26"/>
        <v>0.16708437761069339</v>
      </c>
      <c r="C893" s="28">
        <f>A893+$E$6</f>
        <v>1199</v>
      </c>
      <c r="D893" s="28">
        <f>CEILING(C893/$H$3,1)*CEILING($H$2/$H$3,1)/CEILING($H$2/$H$3,1)</f>
        <v>5</v>
      </c>
      <c r="E893" s="28">
        <f>CEILING(C893/$H$3,1)*CEILING($H$2/$H$3,1)/CEILING(C893/$H$3,1)</f>
        <v>1</v>
      </c>
      <c r="F893" s="28">
        <f>$B$5/D893/B893*E893</f>
        <v>1.6159500000000002</v>
      </c>
    </row>
    <row r="894" spans="1:6" x14ac:dyDescent="0.4">
      <c r="A894" s="28">
        <f t="shared" si="27"/>
        <v>1178</v>
      </c>
      <c r="B894" s="28">
        <f t="shared" si="26"/>
        <v>0.1669449081803005</v>
      </c>
      <c r="C894" s="28">
        <f>A894+$E$6</f>
        <v>1200</v>
      </c>
      <c r="D894" s="28">
        <f>CEILING(C894/$H$3,1)*CEILING($H$2/$H$3,1)/CEILING($H$2/$H$3,1)</f>
        <v>5</v>
      </c>
      <c r="E894" s="28">
        <f>CEILING(C894/$H$3,1)*CEILING($H$2/$H$3,1)/CEILING(C894/$H$3,1)</f>
        <v>1</v>
      </c>
      <c r="F894" s="28">
        <f>$B$5/D894/B894*E894</f>
        <v>1.6173000000000002</v>
      </c>
    </row>
    <row r="895" spans="1:6" x14ac:dyDescent="0.4">
      <c r="A895" s="28">
        <f t="shared" si="27"/>
        <v>1179</v>
      </c>
      <c r="B895" s="28">
        <f t="shared" si="26"/>
        <v>0.16680567139282734</v>
      </c>
      <c r="C895" s="28">
        <f>A895+$E$6</f>
        <v>1201</v>
      </c>
      <c r="D895" s="28">
        <f>CEILING(C895/$H$3,1)*CEILING($H$2/$H$3,1)/CEILING($H$2/$H$3,1)</f>
        <v>5</v>
      </c>
      <c r="E895" s="28">
        <f>CEILING(C895/$H$3,1)*CEILING($H$2/$H$3,1)/CEILING(C895/$H$3,1)</f>
        <v>1</v>
      </c>
      <c r="F895" s="28">
        <f>$B$5/D895/B895*E895</f>
        <v>1.6186500000000001</v>
      </c>
    </row>
    <row r="896" spans="1:6" x14ac:dyDescent="0.4">
      <c r="A896" s="28">
        <f t="shared" si="27"/>
        <v>1180</v>
      </c>
      <c r="B896" s="28">
        <f t="shared" si="26"/>
        <v>0.16666666666666666</v>
      </c>
      <c r="C896" s="28">
        <f>A896+$E$6</f>
        <v>1202</v>
      </c>
      <c r="D896" s="28">
        <f>CEILING(C896/$H$3,1)*CEILING($H$2/$H$3,1)/CEILING($H$2/$H$3,1)</f>
        <v>5</v>
      </c>
      <c r="E896" s="28">
        <f>CEILING(C896/$H$3,1)*CEILING($H$2/$H$3,1)/CEILING(C896/$H$3,1)</f>
        <v>1</v>
      </c>
      <c r="F896" s="28">
        <f>$B$5/D896/B896*E896</f>
        <v>1.62</v>
      </c>
    </row>
    <row r="897" spans="1:6" x14ac:dyDescent="0.4">
      <c r="A897" s="28">
        <f t="shared" si="27"/>
        <v>1181</v>
      </c>
      <c r="B897" s="28">
        <f t="shared" si="26"/>
        <v>0.16652789342214822</v>
      </c>
      <c r="C897" s="28">
        <f>A897+$E$6</f>
        <v>1203</v>
      </c>
      <c r="D897" s="28">
        <f>CEILING(C897/$H$3,1)*CEILING($H$2/$H$3,1)/CEILING($H$2/$H$3,1)</f>
        <v>5</v>
      </c>
      <c r="E897" s="28">
        <f>CEILING(C897/$H$3,1)*CEILING($H$2/$H$3,1)/CEILING(C897/$H$3,1)</f>
        <v>1</v>
      </c>
      <c r="F897" s="28">
        <f>$B$5/D897/B897*E897</f>
        <v>1.6213500000000001</v>
      </c>
    </row>
    <row r="898" spans="1:6" x14ac:dyDescent="0.4">
      <c r="A898" s="28">
        <f t="shared" si="27"/>
        <v>1182</v>
      </c>
      <c r="B898" s="28">
        <f t="shared" si="26"/>
        <v>0.16638935108153077</v>
      </c>
      <c r="C898" s="28">
        <f>A898+$E$6</f>
        <v>1204</v>
      </c>
      <c r="D898" s="28">
        <f>CEILING(C898/$H$3,1)*CEILING($H$2/$H$3,1)/CEILING($H$2/$H$3,1)</f>
        <v>5</v>
      </c>
      <c r="E898" s="28">
        <f>CEILING(C898/$H$3,1)*CEILING($H$2/$H$3,1)/CEILING(C898/$H$3,1)</f>
        <v>1</v>
      </c>
      <c r="F898" s="28">
        <f>$B$5/D898/B898*E898</f>
        <v>1.6227000000000003</v>
      </c>
    </row>
    <row r="899" spans="1:6" x14ac:dyDescent="0.4">
      <c r="A899" s="28">
        <f t="shared" si="27"/>
        <v>1183</v>
      </c>
      <c r="B899" s="28">
        <f t="shared" si="26"/>
        <v>0.16625103906899419</v>
      </c>
      <c r="C899" s="28">
        <f>A899+$E$6</f>
        <v>1205</v>
      </c>
      <c r="D899" s="28">
        <f>CEILING(C899/$H$3,1)*CEILING($H$2/$H$3,1)/CEILING($H$2/$H$3,1)</f>
        <v>5</v>
      </c>
      <c r="E899" s="28">
        <f>CEILING(C899/$H$3,1)*CEILING($H$2/$H$3,1)/CEILING(C899/$H$3,1)</f>
        <v>1</v>
      </c>
      <c r="F899" s="28">
        <f>$B$5/D899/B899*E899</f>
        <v>1.62405</v>
      </c>
    </row>
    <row r="900" spans="1:6" x14ac:dyDescent="0.4">
      <c r="A900" s="28">
        <f t="shared" si="27"/>
        <v>1184</v>
      </c>
      <c r="B900" s="28">
        <f t="shared" si="26"/>
        <v>0.16611295681063123</v>
      </c>
      <c r="C900" s="28">
        <f>A900+$E$6</f>
        <v>1206</v>
      </c>
      <c r="D900" s="28">
        <f>CEILING(C900/$H$3,1)*CEILING($H$2/$H$3,1)/CEILING($H$2/$H$3,1)</f>
        <v>5</v>
      </c>
      <c r="E900" s="28">
        <f>CEILING(C900/$H$3,1)*CEILING($H$2/$H$3,1)/CEILING(C900/$H$3,1)</f>
        <v>1</v>
      </c>
      <c r="F900" s="28">
        <f>$B$5/D900/B900*E900</f>
        <v>1.6254</v>
      </c>
    </row>
    <row r="901" spans="1:6" x14ac:dyDescent="0.4">
      <c r="A901" s="28">
        <f t="shared" si="27"/>
        <v>1185</v>
      </c>
      <c r="B901" s="28">
        <f t="shared" si="26"/>
        <v>0.16597510373443983</v>
      </c>
      <c r="C901" s="28">
        <f>A901+$E$6</f>
        <v>1207</v>
      </c>
      <c r="D901" s="28">
        <f>CEILING(C901/$H$3,1)*CEILING($H$2/$H$3,1)/CEILING($H$2/$H$3,1)</f>
        <v>5</v>
      </c>
      <c r="E901" s="28">
        <f>CEILING(C901/$H$3,1)*CEILING($H$2/$H$3,1)/CEILING(C901/$H$3,1)</f>
        <v>1</v>
      </c>
      <c r="F901" s="28">
        <f>$B$5/D901/B901*E901</f>
        <v>1.6267500000000001</v>
      </c>
    </row>
    <row r="902" spans="1:6" x14ac:dyDescent="0.4">
      <c r="A902" s="28">
        <f t="shared" si="27"/>
        <v>1186</v>
      </c>
      <c r="B902" s="28">
        <f t="shared" si="26"/>
        <v>0.16583747927031509</v>
      </c>
      <c r="C902" s="28">
        <f>A902+$E$6</f>
        <v>1208</v>
      </c>
      <c r="D902" s="28">
        <f>CEILING(C902/$H$3,1)*CEILING($H$2/$H$3,1)/CEILING($H$2/$H$3,1)</f>
        <v>5</v>
      </c>
      <c r="E902" s="28">
        <f>CEILING(C902/$H$3,1)*CEILING($H$2/$H$3,1)/CEILING(C902/$H$3,1)</f>
        <v>1</v>
      </c>
      <c r="F902" s="28">
        <f>$B$5/D902/B902*E902</f>
        <v>1.6281000000000001</v>
      </c>
    </row>
    <row r="903" spans="1:6" x14ac:dyDescent="0.4">
      <c r="A903" s="28">
        <f t="shared" si="27"/>
        <v>1187</v>
      </c>
      <c r="B903" s="28">
        <f t="shared" si="26"/>
        <v>0.16570008285004142</v>
      </c>
      <c r="C903" s="28">
        <f>A903+$E$6</f>
        <v>1209</v>
      </c>
      <c r="D903" s="28">
        <f>CEILING(C903/$H$3,1)*CEILING($H$2/$H$3,1)/CEILING($H$2/$H$3,1)</f>
        <v>5</v>
      </c>
      <c r="E903" s="28">
        <f>CEILING(C903/$H$3,1)*CEILING($H$2/$H$3,1)/CEILING(C903/$H$3,1)</f>
        <v>1</v>
      </c>
      <c r="F903" s="28">
        <f>$B$5/D903/B903*E903</f>
        <v>1.6294500000000001</v>
      </c>
    </row>
    <row r="904" spans="1:6" x14ac:dyDescent="0.4">
      <c r="A904" s="28">
        <f t="shared" si="27"/>
        <v>1188</v>
      </c>
      <c r="B904" s="28">
        <f t="shared" si="26"/>
        <v>0.16556291390728478</v>
      </c>
      <c r="C904" s="28">
        <f>A904+$E$6</f>
        <v>1210</v>
      </c>
      <c r="D904" s="28">
        <f>CEILING(C904/$H$3,1)*CEILING($H$2/$H$3,1)/CEILING($H$2/$H$3,1)</f>
        <v>5</v>
      </c>
      <c r="E904" s="28">
        <f>CEILING(C904/$H$3,1)*CEILING($H$2/$H$3,1)/CEILING(C904/$H$3,1)</f>
        <v>1</v>
      </c>
      <c r="F904" s="28">
        <f>$B$5/D904/B904*E904</f>
        <v>1.6308</v>
      </c>
    </row>
    <row r="905" spans="1:6" x14ac:dyDescent="0.4">
      <c r="A905" s="28">
        <f t="shared" si="27"/>
        <v>1189</v>
      </c>
      <c r="B905" s="28">
        <f t="shared" si="26"/>
        <v>0.16542597187758479</v>
      </c>
      <c r="C905" s="28">
        <f>A905+$E$6</f>
        <v>1211</v>
      </c>
      <c r="D905" s="28">
        <f>CEILING(C905/$H$3,1)*CEILING($H$2/$H$3,1)/CEILING($H$2/$H$3,1)</f>
        <v>5</v>
      </c>
      <c r="E905" s="28">
        <f>CEILING(C905/$H$3,1)*CEILING($H$2/$H$3,1)/CEILING(C905/$H$3,1)</f>
        <v>1</v>
      </c>
      <c r="F905" s="28">
        <f>$B$5/D905/B905*E905</f>
        <v>1.63215</v>
      </c>
    </row>
    <row r="906" spans="1:6" x14ac:dyDescent="0.4">
      <c r="A906" s="28">
        <f t="shared" si="27"/>
        <v>1190</v>
      </c>
      <c r="B906" s="28">
        <f t="shared" si="26"/>
        <v>0.16528925619834711</v>
      </c>
      <c r="C906" s="28">
        <f>A906+$E$6</f>
        <v>1212</v>
      </c>
      <c r="D906" s="28">
        <f>CEILING(C906/$H$3,1)*CEILING($H$2/$H$3,1)/CEILING($H$2/$H$3,1)</f>
        <v>5</v>
      </c>
      <c r="E906" s="28">
        <f>CEILING(C906/$H$3,1)*CEILING($H$2/$H$3,1)/CEILING(C906/$H$3,1)</f>
        <v>1</v>
      </c>
      <c r="F906" s="28">
        <f>$B$5/D906/B906*E906</f>
        <v>1.6335</v>
      </c>
    </row>
    <row r="907" spans="1:6" x14ac:dyDescent="0.4">
      <c r="A907" s="28">
        <f t="shared" si="27"/>
        <v>1191</v>
      </c>
      <c r="B907" s="28">
        <f t="shared" ref="B907:B970" si="28">$B$4/8/(A907+$B$2)</f>
        <v>0.16515276630883569</v>
      </c>
      <c r="C907" s="28">
        <f>A907+$E$6</f>
        <v>1213</v>
      </c>
      <c r="D907" s="28">
        <f>CEILING(C907/$H$3,1)*CEILING($H$2/$H$3,1)/CEILING($H$2/$H$3,1)</f>
        <v>5</v>
      </c>
      <c r="E907" s="28">
        <f>CEILING(C907/$H$3,1)*CEILING($H$2/$H$3,1)/CEILING(C907/$H$3,1)</f>
        <v>1</v>
      </c>
      <c r="F907" s="28">
        <f>$B$5/D907/B907*E907</f>
        <v>1.6348499999999999</v>
      </c>
    </row>
    <row r="908" spans="1:6" x14ac:dyDescent="0.4">
      <c r="A908" s="28">
        <f t="shared" si="27"/>
        <v>1192</v>
      </c>
      <c r="B908" s="28">
        <f t="shared" si="28"/>
        <v>0.16501650165016502</v>
      </c>
      <c r="C908" s="28">
        <f>A908+$E$6</f>
        <v>1214</v>
      </c>
      <c r="D908" s="28">
        <f>CEILING(C908/$H$3,1)*CEILING($H$2/$H$3,1)/CEILING($H$2/$H$3,1)</f>
        <v>5</v>
      </c>
      <c r="E908" s="28">
        <f>CEILING(C908/$H$3,1)*CEILING($H$2/$H$3,1)/CEILING(C908/$H$3,1)</f>
        <v>1</v>
      </c>
      <c r="F908" s="28">
        <f>$B$5/D908/B908*E908</f>
        <v>1.6362000000000001</v>
      </c>
    </row>
    <row r="909" spans="1:6" x14ac:dyDescent="0.4">
      <c r="A909" s="28">
        <f t="shared" ref="A909:A972" si="29">A908+$B$3</f>
        <v>1193</v>
      </c>
      <c r="B909" s="28">
        <f t="shared" si="28"/>
        <v>0.16488046166529266</v>
      </c>
      <c r="C909" s="28">
        <f>A909+$E$6</f>
        <v>1215</v>
      </c>
      <c r="D909" s="28">
        <f>CEILING(C909/$H$3,1)*CEILING($H$2/$H$3,1)/CEILING($H$2/$H$3,1)</f>
        <v>5</v>
      </c>
      <c r="E909" s="28">
        <f>CEILING(C909/$H$3,1)*CEILING($H$2/$H$3,1)/CEILING(C909/$H$3,1)</f>
        <v>1</v>
      </c>
      <c r="F909" s="28">
        <f>$B$5/D909/B909*E909</f>
        <v>1.6375500000000001</v>
      </c>
    </row>
    <row r="910" spans="1:6" x14ac:dyDescent="0.4">
      <c r="A910" s="28">
        <f t="shared" si="29"/>
        <v>1194</v>
      </c>
      <c r="B910" s="28">
        <f t="shared" si="28"/>
        <v>0.16474464579901152</v>
      </c>
      <c r="C910" s="28">
        <f>A910+$E$6</f>
        <v>1216</v>
      </c>
      <c r="D910" s="28">
        <f>CEILING(C910/$H$3,1)*CEILING($H$2/$H$3,1)/CEILING($H$2/$H$3,1)</f>
        <v>5</v>
      </c>
      <c r="E910" s="28">
        <f>CEILING(C910/$H$3,1)*CEILING($H$2/$H$3,1)/CEILING(C910/$H$3,1)</f>
        <v>1</v>
      </c>
      <c r="F910" s="28">
        <f>$B$5/D910/B910*E910</f>
        <v>1.6389000000000002</v>
      </c>
    </row>
    <row r="911" spans="1:6" x14ac:dyDescent="0.4">
      <c r="A911" s="28">
        <f t="shared" si="29"/>
        <v>1195</v>
      </c>
      <c r="B911" s="28">
        <f t="shared" si="28"/>
        <v>0.16460905349794239</v>
      </c>
      <c r="C911" s="28">
        <f>A911+$E$6</f>
        <v>1217</v>
      </c>
      <c r="D911" s="28">
        <f>CEILING(C911/$H$3,1)*CEILING($H$2/$H$3,1)/CEILING($H$2/$H$3,1)</f>
        <v>5</v>
      </c>
      <c r="E911" s="28">
        <f>CEILING(C911/$H$3,1)*CEILING($H$2/$H$3,1)/CEILING(C911/$H$3,1)</f>
        <v>1</v>
      </c>
      <c r="F911" s="28">
        <f>$B$5/D911/B911*E911</f>
        <v>1.6402500000000002</v>
      </c>
    </row>
    <row r="912" spans="1:6" x14ac:dyDescent="0.4">
      <c r="A912" s="28">
        <f t="shared" si="29"/>
        <v>1196</v>
      </c>
      <c r="B912" s="28">
        <f t="shared" si="28"/>
        <v>0.16447368421052633</v>
      </c>
      <c r="C912" s="28">
        <f>A912+$E$6</f>
        <v>1218</v>
      </c>
      <c r="D912" s="28">
        <f>CEILING(C912/$H$3,1)*CEILING($H$2/$H$3,1)/CEILING($H$2/$H$3,1)</f>
        <v>5</v>
      </c>
      <c r="E912" s="28">
        <f>CEILING(C912/$H$3,1)*CEILING($H$2/$H$3,1)/CEILING(C912/$H$3,1)</f>
        <v>1</v>
      </c>
      <c r="F912" s="28">
        <f>$B$5/D912/B912*E912</f>
        <v>1.6415999999999999</v>
      </c>
    </row>
    <row r="913" spans="1:6" x14ac:dyDescent="0.4">
      <c r="A913" s="28">
        <f t="shared" si="29"/>
        <v>1197</v>
      </c>
      <c r="B913" s="28">
        <f t="shared" si="28"/>
        <v>0.16433853738701726</v>
      </c>
      <c r="C913" s="28">
        <f>A913+$E$6</f>
        <v>1219</v>
      </c>
      <c r="D913" s="28">
        <f>CEILING(C913/$H$3,1)*CEILING($H$2/$H$3,1)/CEILING($H$2/$H$3,1)</f>
        <v>5</v>
      </c>
      <c r="E913" s="28">
        <f>CEILING(C913/$H$3,1)*CEILING($H$2/$H$3,1)/CEILING(C913/$H$3,1)</f>
        <v>1</v>
      </c>
      <c r="F913" s="28">
        <f>$B$5/D913/B913*E913</f>
        <v>1.6429500000000001</v>
      </c>
    </row>
    <row r="914" spans="1:6" x14ac:dyDescent="0.4">
      <c r="A914" s="28">
        <f t="shared" si="29"/>
        <v>1198</v>
      </c>
      <c r="B914" s="28">
        <f t="shared" si="28"/>
        <v>0.16420361247947454</v>
      </c>
      <c r="C914" s="28">
        <f>A914+$E$6</f>
        <v>1220</v>
      </c>
      <c r="D914" s="28">
        <f>CEILING(C914/$H$3,1)*CEILING($H$2/$H$3,1)/CEILING($H$2/$H$3,1)</f>
        <v>5</v>
      </c>
      <c r="E914" s="28">
        <f>CEILING(C914/$H$3,1)*CEILING($H$2/$H$3,1)/CEILING(C914/$H$3,1)</f>
        <v>1</v>
      </c>
      <c r="F914" s="28">
        <f>$B$5/D914/B914*E914</f>
        <v>1.6443000000000001</v>
      </c>
    </row>
    <row r="915" spans="1:6" x14ac:dyDescent="0.4">
      <c r="A915" s="28">
        <f t="shared" si="29"/>
        <v>1199</v>
      </c>
      <c r="B915" s="28">
        <f t="shared" si="28"/>
        <v>0.16406890894175555</v>
      </c>
      <c r="C915" s="28">
        <f>A915+$E$6</f>
        <v>1221</v>
      </c>
      <c r="D915" s="28">
        <f>CEILING(C915/$H$3,1)*CEILING($H$2/$H$3,1)/CEILING($H$2/$H$3,1)</f>
        <v>5</v>
      </c>
      <c r="E915" s="28">
        <f>CEILING(C915/$H$3,1)*CEILING($H$2/$H$3,1)/CEILING(C915/$H$3,1)</f>
        <v>1</v>
      </c>
      <c r="F915" s="28">
        <f>$B$5/D915/B915*E915</f>
        <v>1.6456500000000001</v>
      </c>
    </row>
    <row r="916" spans="1:6" x14ac:dyDescent="0.4">
      <c r="A916" s="28">
        <f t="shared" si="29"/>
        <v>1200</v>
      </c>
      <c r="B916" s="28">
        <f t="shared" si="28"/>
        <v>0.16393442622950818</v>
      </c>
      <c r="C916" s="28">
        <f>A916+$E$6</f>
        <v>1222</v>
      </c>
      <c r="D916" s="28">
        <f>CEILING(C916/$H$3,1)*CEILING($H$2/$H$3,1)/CEILING($H$2/$H$3,1)</f>
        <v>5</v>
      </c>
      <c r="E916" s="28">
        <f>CEILING(C916/$H$3,1)*CEILING($H$2/$H$3,1)/CEILING(C916/$H$3,1)</f>
        <v>1</v>
      </c>
      <c r="F916" s="28">
        <f>$B$5/D916/B916*E916</f>
        <v>1.6470000000000002</v>
      </c>
    </row>
    <row r="917" spans="1:6" x14ac:dyDescent="0.4">
      <c r="A917" s="28">
        <f t="shared" si="29"/>
        <v>1201</v>
      </c>
      <c r="B917" s="28">
        <f t="shared" si="28"/>
        <v>0.16380016380016379</v>
      </c>
      <c r="C917" s="28">
        <f>A917+$E$6</f>
        <v>1223</v>
      </c>
      <c r="D917" s="28">
        <f>CEILING(C917/$H$3,1)*CEILING($H$2/$H$3,1)/CEILING($H$2/$H$3,1)</f>
        <v>5</v>
      </c>
      <c r="E917" s="28">
        <f>CEILING(C917/$H$3,1)*CEILING($H$2/$H$3,1)/CEILING(C917/$H$3,1)</f>
        <v>1</v>
      </c>
      <c r="F917" s="28">
        <f>$B$5/D917/B917*E917</f>
        <v>1.6483500000000002</v>
      </c>
    </row>
    <row r="918" spans="1:6" x14ac:dyDescent="0.4">
      <c r="A918" s="28">
        <f t="shared" si="29"/>
        <v>1202</v>
      </c>
      <c r="B918" s="28">
        <f t="shared" si="28"/>
        <v>0.16366612111292964</v>
      </c>
      <c r="C918" s="28">
        <f>A918+$E$6</f>
        <v>1224</v>
      </c>
      <c r="D918" s="28">
        <f>CEILING(C918/$H$3,1)*CEILING($H$2/$H$3,1)/CEILING($H$2/$H$3,1)</f>
        <v>5</v>
      </c>
      <c r="E918" s="28">
        <f>CEILING(C918/$H$3,1)*CEILING($H$2/$H$3,1)/CEILING(C918/$H$3,1)</f>
        <v>1</v>
      </c>
      <c r="F918" s="28">
        <f>$B$5/D918/B918*E918</f>
        <v>1.6496999999999999</v>
      </c>
    </row>
    <row r="919" spans="1:6" x14ac:dyDescent="0.4">
      <c r="A919" s="28">
        <f t="shared" si="29"/>
        <v>1203</v>
      </c>
      <c r="B919" s="28">
        <f t="shared" si="28"/>
        <v>0.16353229762878169</v>
      </c>
      <c r="C919" s="28">
        <f>A919+$E$6</f>
        <v>1225</v>
      </c>
      <c r="D919" s="28">
        <f>CEILING(C919/$H$3,1)*CEILING($H$2/$H$3,1)/CEILING($H$2/$H$3,1)</f>
        <v>5</v>
      </c>
      <c r="E919" s="28">
        <f>CEILING(C919/$H$3,1)*CEILING($H$2/$H$3,1)/CEILING(C919/$H$3,1)</f>
        <v>1</v>
      </c>
      <c r="F919" s="28">
        <f>$B$5/D919/B919*E919</f>
        <v>1.6510500000000001</v>
      </c>
    </row>
    <row r="920" spans="1:6" x14ac:dyDescent="0.4">
      <c r="A920" s="28">
        <f t="shared" si="29"/>
        <v>1204</v>
      </c>
      <c r="B920" s="28">
        <f t="shared" si="28"/>
        <v>0.16339869281045752</v>
      </c>
      <c r="C920" s="28">
        <f>A920+$E$6</f>
        <v>1226</v>
      </c>
      <c r="D920" s="28">
        <f>CEILING(C920/$H$3,1)*CEILING($H$2/$H$3,1)/CEILING($H$2/$H$3,1)</f>
        <v>5</v>
      </c>
      <c r="E920" s="28">
        <f>CEILING(C920/$H$3,1)*CEILING($H$2/$H$3,1)/CEILING(C920/$H$3,1)</f>
        <v>1</v>
      </c>
      <c r="F920" s="28">
        <f>$B$5/D920/B920*E920</f>
        <v>1.6524000000000001</v>
      </c>
    </row>
    <row r="921" spans="1:6" x14ac:dyDescent="0.4">
      <c r="A921" s="28">
        <f t="shared" si="29"/>
        <v>1205</v>
      </c>
      <c r="B921" s="28">
        <f t="shared" si="28"/>
        <v>0.16326530612244897</v>
      </c>
      <c r="C921" s="28">
        <f>A921+$E$6</f>
        <v>1227</v>
      </c>
      <c r="D921" s="28">
        <f>CEILING(C921/$H$3,1)*CEILING($H$2/$H$3,1)/CEILING($H$2/$H$3,1)</f>
        <v>5</v>
      </c>
      <c r="E921" s="28">
        <f>CEILING(C921/$H$3,1)*CEILING($H$2/$H$3,1)/CEILING(C921/$H$3,1)</f>
        <v>1</v>
      </c>
      <c r="F921" s="28">
        <f>$B$5/D921/B921*E921</f>
        <v>1.6537500000000003</v>
      </c>
    </row>
    <row r="922" spans="1:6" x14ac:dyDescent="0.4">
      <c r="A922" s="28">
        <f t="shared" si="29"/>
        <v>1206</v>
      </c>
      <c r="B922" s="28">
        <f t="shared" si="28"/>
        <v>0.16313213703099511</v>
      </c>
      <c r="C922" s="28">
        <f>A922+$E$6</f>
        <v>1228</v>
      </c>
      <c r="D922" s="28">
        <f>CEILING(C922/$H$3,1)*CEILING($H$2/$H$3,1)/CEILING($H$2/$H$3,1)</f>
        <v>5</v>
      </c>
      <c r="E922" s="28">
        <f>CEILING(C922/$H$3,1)*CEILING($H$2/$H$3,1)/CEILING(C922/$H$3,1)</f>
        <v>1</v>
      </c>
      <c r="F922" s="28">
        <f>$B$5/D922/B922*E922</f>
        <v>1.6551</v>
      </c>
    </row>
    <row r="923" spans="1:6" x14ac:dyDescent="0.4">
      <c r="A923" s="28">
        <f t="shared" si="29"/>
        <v>1207</v>
      </c>
      <c r="B923" s="28">
        <f t="shared" si="28"/>
        <v>0.16299918500407498</v>
      </c>
      <c r="C923" s="28">
        <f>A923+$E$6</f>
        <v>1229</v>
      </c>
      <c r="D923" s="28">
        <f>CEILING(C923/$H$3,1)*CEILING($H$2/$H$3,1)/CEILING($H$2/$H$3,1)</f>
        <v>5</v>
      </c>
      <c r="E923" s="28">
        <f>CEILING(C923/$H$3,1)*CEILING($H$2/$H$3,1)/CEILING(C923/$H$3,1)</f>
        <v>1</v>
      </c>
      <c r="F923" s="28">
        <f>$B$5/D923/B923*E923</f>
        <v>1.6564500000000002</v>
      </c>
    </row>
    <row r="924" spans="1:6" x14ac:dyDescent="0.4">
      <c r="A924" s="28">
        <f t="shared" si="29"/>
        <v>1208</v>
      </c>
      <c r="B924" s="28">
        <f t="shared" si="28"/>
        <v>0.16286644951140064</v>
      </c>
      <c r="C924" s="28">
        <f>A924+$E$6</f>
        <v>1230</v>
      </c>
      <c r="D924" s="28">
        <f>CEILING(C924/$H$3,1)*CEILING($H$2/$H$3,1)/CEILING($H$2/$H$3,1)</f>
        <v>5</v>
      </c>
      <c r="E924" s="28">
        <f>CEILING(C924/$H$3,1)*CEILING($H$2/$H$3,1)/CEILING(C924/$H$3,1)</f>
        <v>1</v>
      </c>
      <c r="F924" s="28">
        <f>$B$5/D924/B924*E924</f>
        <v>1.6578000000000002</v>
      </c>
    </row>
    <row r="925" spans="1:6" x14ac:dyDescent="0.4">
      <c r="A925" s="28">
        <f t="shared" si="29"/>
        <v>1209</v>
      </c>
      <c r="B925" s="28">
        <f t="shared" si="28"/>
        <v>0.16273393002441008</v>
      </c>
      <c r="C925" s="28">
        <f>A925+$E$6</f>
        <v>1231</v>
      </c>
      <c r="D925" s="28">
        <f>CEILING(C925/$H$3,1)*CEILING($H$2/$H$3,1)/CEILING($H$2/$H$3,1)</f>
        <v>5</v>
      </c>
      <c r="E925" s="28">
        <f>CEILING(C925/$H$3,1)*CEILING($H$2/$H$3,1)/CEILING(C925/$H$3,1)</f>
        <v>1</v>
      </c>
      <c r="F925" s="28">
        <f>$B$5/D925/B925*E925</f>
        <v>1.6591500000000001</v>
      </c>
    </row>
    <row r="926" spans="1:6" x14ac:dyDescent="0.4">
      <c r="A926" s="28">
        <f t="shared" si="29"/>
        <v>1210</v>
      </c>
      <c r="B926" s="28">
        <f t="shared" si="28"/>
        <v>0.16260162601626016</v>
      </c>
      <c r="C926" s="28">
        <f>A926+$E$6</f>
        <v>1232</v>
      </c>
      <c r="D926" s="28">
        <f>CEILING(C926/$H$3,1)*CEILING($H$2/$H$3,1)/CEILING($H$2/$H$3,1)</f>
        <v>5</v>
      </c>
      <c r="E926" s="28">
        <f>CEILING(C926/$H$3,1)*CEILING($H$2/$H$3,1)/CEILING(C926/$H$3,1)</f>
        <v>1</v>
      </c>
      <c r="F926" s="28">
        <f>$B$5/D926/B926*E926</f>
        <v>1.6605000000000001</v>
      </c>
    </row>
    <row r="927" spans="1:6" x14ac:dyDescent="0.4">
      <c r="A927" s="28">
        <f t="shared" si="29"/>
        <v>1211</v>
      </c>
      <c r="B927" s="28">
        <f t="shared" si="28"/>
        <v>0.16246953696181965</v>
      </c>
      <c r="C927" s="28">
        <f>A927+$E$6</f>
        <v>1233</v>
      </c>
      <c r="D927" s="28">
        <f>CEILING(C927/$H$3,1)*CEILING($H$2/$H$3,1)/CEILING($H$2/$H$3,1)</f>
        <v>5</v>
      </c>
      <c r="E927" s="28">
        <f>CEILING(C927/$H$3,1)*CEILING($H$2/$H$3,1)/CEILING(C927/$H$3,1)</f>
        <v>1</v>
      </c>
      <c r="F927" s="28">
        <f>$B$5/D927/B927*E927</f>
        <v>1.6618500000000003</v>
      </c>
    </row>
    <row r="928" spans="1:6" x14ac:dyDescent="0.4">
      <c r="A928" s="28">
        <f t="shared" si="29"/>
        <v>1212</v>
      </c>
      <c r="B928" s="28">
        <f t="shared" si="28"/>
        <v>0.16233766233766234</v>
      </c>
      <c r="C928" s="28">
        <f>A928+$E$6</f>
        <v>1234</v>
      </c>
      <c r="D928" s="28">
        <f>CEILING(C928/$H$3,1)*CEILING($H$2/$H$3,1)/CEILING($H$2/$H$3,1)</f>
        <v>5</v>
      </c>
      <c r="E928" s="28">
        <f>CEILING(C928/$H$3,1)*CEILING($H$2/$H$3,1)/CEILING(C928/$H$3,1)</f>
        <v>1</v>
      </c>
      <c r="F928" s="28">
        <f>$B$5/D928/B928*E928</f>
        <v>1.6632000000000002</v>
      </c>
    </row>
    <row r="929" spans="1:6" x14ac:dyDescent="0.4">
      <c r="A929" s="28">
        <f t="shared" si="29"/>
        <v>1213</v>
      </c>
      <c r="B929" s="28">
        <f t="shared" si="28"/>
        <v>0.16220600162206</v>
      </c>
      <c r="C929" s="28">
        <f>A929+$E$6</f>
        <v>1235</v>
      </c>
      <c r="D929" s="28">
        <f>CEILING(C929/$H$3,1)*CEILING($H$2/$H$3,1)/CEILING($H$2/$H$3,1)</f>
        <v>5</v>
      </c>
      <c r="E929" s="28">
        <f>CEILING(C929/$H$3,1)*CEILING($H$2/$H$3,1)/CEILING(C929/$H$3,1)</f>
        <v>1</v>
      </c>
      <c r="F929" s="28">
        <f>$B$5/D929/B929*E929</f>
        <v>1.6645500000000002</v>
      </c>
    </row>
    <row r="930" spans="1:6" x14ac:dyDescent="0.4">
      <c r="A930" s="28">
        <f t="shared" si="29"/>
        <v>1214</v>
      </c>
      <c r="B930" s="28">
        <f t="shared" si="28"/>
        <v>0.16207455429497569</v>
      </c>
      <c r="C930" s="28">
        <f>A930+$E$6</f>
        <v>1236</v>
      </c>
      <c r="D930" s="28">
        <f>CEILING(C930/$H$3,1)*CEILING($H$2/$H$3,1)/CEILING($H$2/$H$3,1)</f>
        <v>5</v>
      </c>
      <c r="E930" s="28">
        <f>CEILING(C930/$H$3,1)*CEILING($H$2/$H$3,1)/CEILING(C930/$H$3,1)</f>
        <v>1</v>
      </c>
      <c r="F930" s="28">
        <f>$B$5/D930/B930*E930</f>
        <v>1.6659000000000002</v>
      </c>
    </row>
    <row r="931" spans="1:6" x14ac:dyDescent="0.4">
      <c r="A931" s="28">
        <f t="shared" si="29"/>
        <v>1215</v>
      </c>
      <c r="B931" s="28">
        <f t="shared" si="28"/>
        <v>0.16194331983805668</v>
      </c>
      <c r="C931" s="28">
        <f>A931+$E$6</f>
        <v>1237</v>
      </c>
      <c r="D931" s="28">
        <f>CEILING(C931/$H$3,1)*CEILING($H$2/$H$3,1)/CEILING($H$2/$H$3,1)</f>
        <v>5</v>
      </c>
      <c r="E931" s="28">
        <f>CEILING(C931/$H$3,1)*CEILING($H$2/$H$3,1)/CEILING(C931/$H$3,1)</f>
        <v>1</v>
      </c>
      <c r="F931" s="28">
        <f>$B$5/D931/B931*E931</f>
        <v>1.6672500000000001</v>
      </c>
    </row>
    <row r="932" spans="1:6" x14ac:dyDescent="0.4">
      <c r="A932" s="28">
        <f t="shared" si="29"/>
        <v>1216</v>
      </c>
      <c r="B932" s="28">
        <f t="shared" si="28"/>
        <v>0.16181229773462782</v>
      </c>
      <c r="C932" s="28">
        <f>A932+$E$6</f>
        <v>1238</v>
      </c>
      <c r="D932" s="28">
        <f>CEILING(C932/$H$3,1)*CEILING($H$2/$H$3,1)/CEILING($H$2/$H$3,1)</f>
        <v>5</v>
      </c>
      <c r="E932" s="28">
        <f>CEILING(C932/$H$3,1)*CEILING($H$2/$H$3,1)/CEILING(C932/$H$3,1)</f>
        <v>1</v>
      </c>
      <c r="F932" s="28">
        <f>$B$5/D932/B932*E932</f>
        <v>1.6686000000000001</v>
      </c>
    </row>
    <row r="933" spans="1:6" x14ac:dyDescent="0.4">
      <c r="A933" s="28">
        <f t="shared" si="29"/>
        <v>1217</v>
      </c>
      <c r="B933" s="28">
        <f t="shared" si="28"/>
        <v>0.16168148746968472</v>
      </c>
      <c r="C933" s="28">
        <f>A933+$E$6</f>
        <v>1239</v>
      </c>
      <c r="D933" s="28">
        <f>CEILING(C933/$H$3,1)*CEILING($H$2/$H$3,1)/CEILING($H$2/$H$3,1)</f>
        <v>5</v>
      </c>
      <c r="E933" s="28">
        <f>CEILING(C933/$H$3,1)*CEILING($H$2/$H$3,1)/CEILING(C933/$H$3,1)</f>
        <v>1</v>
      </c>
      <c r="F933" s="28">
        <f>$B$5/D933/B933*E933</f>
        <v>1.66995</v>
      </c>
    </row>
    <row r="934" spans="1:6" x14ac:dyDescent="0.4">
      <c r="A934" s="28">
        <f t="shared" si="29"/>
        <v>1218</v>
      </c>
      <c r="B934" s="28">
        <f t="shared" si="28"/>
        <v>0.16155088852988692</v>
      </c>
      <c r="C934" s="28">
        <f>A934+$E$6</f>
        <v>1240</v>
      </c>
      <c r="D934" s="28">
        <f>CEILING(C934/$H$3,1)*CEILING($H$2/$H$3,1)/CEILING($H$2/$H$3,1)</f>
        <v>5</v>
      </c>
      <c r="E934" s="28">
        <f>CEILING(C934/$H$3,1)*CEILING($H$2/$H$3,1)/CEILING(C934/$H$3,1)</f>
        <v>1</v>
      </c>
      <c r="F934" s="28">
        <f>$B$5/D934/B934*E934</f>
        <v>1.6713</v>
      </c>
    </row>
    <row r="935" spans="1:6" x14ac:dyDescent="0.4">
      <c r="A935" s="28">
        <f t="shared" si="29"/>
        <v>1219</v>
      </c>
      <c r="B935" s="28">
        <f t="shared" si="28"/>
        <v>0.16142050040355124</v>
      </c>
      <c r="C935" s="28">
        <f>A935+$E$6</f>
        <v>1241</v>
      </c>
      <c r="D935" s="28">
        <f>CEILING(C935/$H$3,1)*CEILING($H$2/$H$3,1)/CEILING($H$2/$H$3,1)</f>
        <v>5</v>
      </c>
      <c r="E935" s="28">
        <f>CEILING(C935/$H$3,1)*CEILING($H$2/$H$3,1)/CEILING(C935/$H$3,1)</f>
        <v>1</v>
      </c>
      <c r="F935" s="28">
        <f>$B$5/D935/B935*E935</f>
        <v>1.6726500000000002</v>
      </c>
    </row>
    <row r="936" spans="1:6" x14ac:dyDescent="0.4">
      <c r="A936" s="28">
        <f t="shared" si="29"/>
        <v>1220</v>
      </c>
      <c r="B936" s="28">
        <f t="shared" si="28"/>
        <v>0.16129032258064516</v>
      </c>
      <c r="C936" s="28">
        <f>A936+$E$6</f>
        <v>1242</v>
      </c>
      <c r="D936" s="28">
        <f>CEILING(C936/$H$3,1)*CEILING($H$2/$H$3,1)/CEILING($H$2/$H$3,1)</f>
        <v>5</v>
      </c>
      <c r="E936" s="28">
        <f>CEILING(C936/$H$3,1)*CEILING($H$2/$H$3,1)/CEILING(C936/$H$3,1)</f>
        <v>1</v>
      </c>
      <c r="F936" s="28">
        <f>$B$5/D936/B936*E936</f>
        <v>1.6740000000000002</v>
      </c>
    </row>
    <row r="937" spans="1:6" x14ac:dyDescent="0.4">
      <c r="A937" s="28">
        <f t="shared" si="29"/>
        <v>1221</v>
      </c>
      <c r="B937" s="28">
        <f t="shared" si="28"/>
        <v>0.16116035455278002</v>
      </c>
      <c r="C937" s="28">
        <f>A937+$E$6</f>
        <v>1243</v>
      </c>
      <c r="D937" s="28">
        <f>CEILING(C937/$H$3,1)*CEILING($H$2/$H$3,1)/CEILING($H$2/$H$3,1)</f>
        <v>5</v>
      </c>
      <c r="E937" s="28">
        <f>CEILING(C937/$H$3,1)*CEILING($H$2/$H$3,1)/CEILING(C937/$H$3,1)</f>
        <v>1</v>
      </c>
      <c r="F937" s="28">
        <f>$B$5/D937/B937*E937</f>
        <v>1.6753500000000001</v>
      </c>
    </row>
    <row r="938" spans="1:6" x14ac:dyDescent="0.4">
      <c r="A938" s="28">
        <f t="shared" si="29"/>
        <v>1222</v>
      </c>
      <c r="B938" s="28">
        <f t="shared" si="28"/>
        <v>0.1610305958132045</v>
      </c>
      <c r="C938" s="28">
        <f>A938+$E$6</f>
        <v>1244</v>
      </c>
      <c r="D938" s="28">
        <f>CEILING(C938/$H$3,1)*CEILING($H$2/$H$3,1)/CEILING($H$2/$H$3,1)</f>
        <v>5</v>
      </c>
      <c r="E938" s="28">
        <f>CEILING(C938/$H$3,1)*CEILING($H$2/$H$3,1)/CEILING(C938/$H$3,1)</f>
        <v>1</v>
      </c>
      <c r="F938" s="28">
        <f>$B$5/D938/B938*E938</f>
        <v>1.6767000000000001</v>
      </c>
    </row>
    <row r="939" spans="1:6" x14ac:dyDescent="0.4">
      <c r="A939" s="28">
        <f t="shared" si="29"/>
        <v>1223</v>
      </c>
      <c r="B939" s="28">
        <f t="shared" si="28"/>
        <v>0.16090104585679807</v>
      </c>
      <c r="C939" s="28">
        <f>A939+$E$6</f>
        <v>1245</v>
      </c>
      <c r="D939" s="28">
        <f>CEILING(C939/$H$3,1)*CEILING($H$2/$H$3,1)/CEILING($H$2/$H$3,1)</f>
        <v>5</v>
      </c>
      <c r="E939" s="28">
        <f>CEILING(C939/$H$3,1)*CEILING($H$2/$H$3,1)/CEILING(C939/$H$3,1)</f>
        <v>1</v>
      </c>
      <c r="F939" s="28">
        <f>$B$5/D939/B939*E939</f>
        <v>1.67805</v>
      </c>
    </row>
    <row r="940" spans="1:6" x14ac:dyDescent="0.4">
      <c r="A940" s="28">
        <f t="shared" si="29"/>
        <v>1224</v>
      </c>
      <c r="B940" s="28">
        <f t="shared" si="28"/>
        <v>0.16077170418006431</v>
      </c>
      <c r="C940" s="28">
        <f>A940+$E$6</f>
        <v>1246</v>
      </c>
      <c r="D940" s="28">
        <f>CEILING(C940/$H$3,1)*CEILING($H$2/$H$3,1)/CEILING($H$2/$H$3,1)</f>
        <v>5</v>
      </c>
      <c r="E940" s="28">
        <f>CEILING(C940/$H$3,1)*CEILING($H$2/$H$3,1)/CEILING(C940/$H$3,1)</f>
        <v>1</v>
      </c>
      <c r="F940" s="28">
        <f>$B$5/D940/B940*E940</f>
        <v>1.6794</v>
      </c>
    </row>
    <row r="941" spans="1:6" x14ac:dyDescent="0.4">
      <c r="A941" s="28">
        <f t="shared" si="29"/>
        <v>1225</v>
      </c>
      <c r="B941" s="28">
        <f t="shared" si="28"/>
        <v>0.1606425702811245</v>
      </c>
      <c r="C941" s="28">
        <f>A941+$E$6</f>
        <v>1247</v>
      </c>
      <c r="D941" s="28">
        <f>CEILING(C941/$H$3,1)*CEILING($H$2/$H$3,1)/CEILING($H$2/$H$3,1)</f>
        <v>5</v>
      </c>
      <c r="E941" s="28">
        <f>CEILING(C941/$H$3,1)*CEILING($H$2/$H$3,1)/CEILING(C941/$H$3,1)</f>
        <v>1</v>
      </c>
      <c r="F941" s="28">
        <f>$B$5/D941/B941*E941</f>
        <v>1.6807500000000002</v>
      </c>
    </row>
    <row r="942" spans="1:6" x14ac:dyDescent="0.4">
      <c r="A942" s="28">
        <f t="shared" si="29"/>
        <v>1226</v>
      </c>
      <c r="B942" s="28">
        <f t="shared" si="28"/>
        <v>0.16051364365971107</v>
      </c>
      <c r="C942" s="28">
        <f>A942+$E$6</f>
        <v>1248</v>
      </c>
      <c r="D942" s="28">
        <f>CEILING(C942/$H$3,1)*CEILING($H$2/$H$3,1)/CEILING($H$2/$H$3,1)</f>
        <v>5</v>
      </c>
      <c r="E942" s="28">
        <f>CEILING(C942/$H$3,1)*CEILING($H$2/$H$3,1)/CEILING(C942/$H$3,1)</f>
        <v>1</v>
      </c>
      <c r="F942" s="28">
        <f>$B$5/D942/B942*E942</f>
        <v>1.6821000000000002</v>
      </c>
    </row>
    <row r="943" spans="1:6" x14ac:dyDescent="0.4">
      <c r="A943" s="28">
        <f t="shared" si="29"/>
        <v>1227</v>
      </c>
      <c r="B943" s="28">
        <f t="shared" si="28"/>
        <v>0.16038492381716118</v>
      </c>
      <c r="C943" s="28">
        <f>A943+$E$6</f>
        <v>1249</v>
      </c>
      <c r="D943" s="28">
        <f>CEILING(C943/$H$3,1)*CEILING($H$2/$H$3,1)/CEILING($H$2/$H$3,1)</f>
        <v>5</v>
      </c>
      <c r="E943" s="28">
        <f>CEILING(C943/$H$3,1)*CEILING($H$2/$H$3,1)/CEILING(C943/$H$3,1)</f>
        <v>1</v>
      </c>
      <c r="F943" s="28">
        <f>$B$5/D943/B943*E943</f>
        <v>1.6834500000000001</v>
      </c>
    </row>
    <row r="944" spans="1:6" x14ac:dyDescent="0.4">
      <c r="A944" s="28">
        <f t="shared" si="29"/>
        <v>1228</v>
      </c>
      <c r="B944" s="28">
        <f t="shared" si="28"/>
        <v>0.16025641025641027</v>
      </c>
      <c r="C944" s="28">
        <f>A944+$E$6</f>
        <v>1250</v>
      </c>
      <c r="D944" s="28">
        <f>CEILING(C944/$H$3,1)*CEILING($H$2/$H$3,1)/CEILING($H$2/$H$3,1)</f>
        <v>5</v>
      </c>
      <c r="E944" s="28">
        <f>CEILING(C944/$H$3,1)*CEILING($H$2/$H$3,1)/CEILING(C944/$H$3,1)</f>
        <v>1</v>
      </c>
      <c r="F944" s="28">
        <f>$B$5/D944/B944*E944</f>
        <v>1.6848000000000001</v>
      </c>
    </row>
    <row r="945" spans="1:6" x14ac:dyDescent="0.4">
      <c r="A945" s="28">
        <f t="shared" si="29"/>
        <v>1229</v>
      </c>
      <c r="B945" s="28">
        <f t="shared" si="28"/>
        <v>0.16012810248198558</v>
      </c>
      <c r="C945" s="28">
        <f>A945+$E$6</f>
        <v>1251</v>
      </c>
      <c r="D945" s="28">
        <f>CEILING(C945/$H$3,1)*CEILING($H$2/$H$3,1)/CEILING($H$2/$H$3,1)</f>
        <v>5</v>
      </c>
      <c r="E945" s="28">
        <f>CEILING(C945/$H$3,1)*CEILING($H$2/$H$3,1)/CEILING(C945/$H$3,1)</f>
        <v>1</v>
      </c>
      <c r="F945" s="28">
        <f>$B$5/D945/B945*E945</f>
        <v>1.6861500000000003</v>
      </c>
    </row>
    <row r="946" spans="1:6" x14ac:dyDescent="0.4">
      <c r="A946" s="28">
        <f t="shared" si="29"/>
        <v>1230</v>
      </c>
      <c r="B946" s="28">
        <f t="shared" si="28"/>
        <v>0.16</v>
      </c>
      <c r="C946" s="28">
        <f>A946+$E$6</f>
        <v>1252</v>
      </c>
      <c r="D946" s="28">
        <f>CEILING(C946/$H$3,1)*CEILING($H$2/$H$3,1)/CEILING($H$2/$H$3,1)</f>
        <v>5</v>
      </c>
      <c r="E946" s="28">
        <f>CEILING(C946/$H$3,1)*CEILING($H$2/$H$3,1)/CEILING(C946/$H$3,1)</f>
        <v>1</v>
      </c>
      <c r="F946" s="28">
        <f>$B$5/D946/B946*E946</f>
        <v>1.6875</v>
      </c>
    </row>
    <row r="947" spans="1:6" x14ac:dyDescent="0.4">
      <c r="A947" s="28">
        <f t="shared" si="29"/>
        <v>1231</v>
      </c>
      <c r="B947" s="28">
        <f t="shared" si="28"/>
        <v>0.15987210231814547</v>
      </c>
      <c r="C947" s="28">
        <f>A947+$E$6</f>
        <v>1253</v>
      </c>
      <c r="D947" s="28">
        <f>CEILING(C947/$H$3,1)*CEILING($H$2/$H$3,1)/CEILING($H$2/$H$3,1)</f>
        <v>5</v>
      </c>
      <c r="E947" s="28">
        <f>CEILING(C947/$H$3,1)*CEILING($H$2/$H$3,1)/CEILING(C947/$H$3,1)</f>
        <v>1</v>
      </c>
      <c r="F947" s="28">
        <f>$B$5/D947/B947*E947</f>
        <v>1.6888500000000002</v>
      </c>
    </row>
    <row r="948" spans="1:6" x14ac:dyDescent="0.4">
      <c r="A948" s="28">
        <f t="shared" si="29"/>
        <v>1232</v>
      </c>
      <c r="B948" s="28">
        <f t="shared" si="28"/>
        <v>0.15974440894568689</v>
      </c>
      <c r="C948" s="28">
        <f>A948+$E$6</f>
        <v>1254</v>
      </c>
      <c r="D948" s="28">
        <f>CEILING(C948/$H$3,1)*CEILING($H$2/$H$3,1)/CEILING($H$2/$H$3,1)</f>
        <v>5</v>
      </c>
      <c r="E948" s="28">
        <f>CEILING(C948/$H$3,1)*CEILING($H$2/$H$3,1)/CEILING(C948/$H$3,1)</f>
        <v>1</v>
      </c>
      <c r="F948" s="28">
        <f>$B$5/D948/B948*E948</f>
        <v>1.6902000000000001</v>
      </c>
    </row>
    <row r="949" spans="1:6" x14ac:dyDescent="0.4">
      <c r="A949" s="28">
        <f t="shared" si="29"/>
        <v>1233</v>
      </c>
      <c r="B949" s="28">
        <f t="shared" si="28"/>
        <v>0.15961691939345571</v>
      </c>
      <c r="C949" s="28">
        <f>A949+$E$6</f>
        <v>1255</v>
      </c>
      <c r="D949" s="28">
        <f>CEILING(C949/$H$3,1)*CEILING($H$2/$H$3,1)/CEILING($H$2/$H$3,1)</f>
        <v>5</v>
      </c>
      <c r="E949" s="28">
        <f>CEILING(C949/$H$3,1)*CEILING($H$2/$H$3,1)/CEILING(C949/$H$3,1)</f>
        <v>1</v>
      </c>
      <c r="F949" s="28">
        <f>$B$5/D949/B949*E949</f>
        <v>1.6915500000000001</v>
      </c>
    </row>
    <row r="950" spans="1:6" x14ac:dyDescent="0.4">
      <c r="A950" s="28">
        <f t="shared" si="29"/>
        <v>1234</v>
      </c>
      <c r="B950" s="28">
        <f t="shared" si="28"/>
        <v>0.15948963317384371</v>
      </c>
      <c r="C950" s="28">
        <f>A950+$E$6</f>
        <v>1256</v>
      </c>
      <c r="D950" s="28">
        <f>CEILING(C950/$H$3,1)*CEILING($H$2/$H$3,1)/CEILING($H$2/$H$3,1)</f>
        <v>5</v>
      </c>
      <c r="E950" s="28">
        <f>CEILING(C950/$H$3,1)*CEILING($H$2/$H$3,1)/CEILING(C950/$H$3,1)</f>
        <v>1</v>
      </c>
      <c r="F950" s="28">
        <f>$B$5/D950/B950*E950</f>
        <v>1.6929000000000001</v>
      </c>
    </row>
    <row r="951" spans="1:6" x14ac:dyDescent="0.4">
      <c r="A951" s="28">
        <f t="shared" si="29"/>
        <v>1235</v>
      </c>
      <c r="B951" s="28">
        <f t="shared" si="28"/>
        <v>0.15936254980079681</v>
      </c>
      <c r="C951" s="28">
        <f>A951+$E$6</f>
        <v>1257</v>
      </c>
      <c r="D951" s="28">
        <f>CEILING(C951/$H$3,1)*CEILING($H$2/$H$3,1)/CEILING($H$2/$H$3,1)</f>
        <v>5</v>
      </c>
      <c r="E951" s="28">
        <f>CEILING(C951/$H$3,1)*CEILING($H$2/$H$3,1)/CEILING(C951/$H$3,1)</f>
        <v>1</v>
      </c>
      <c r="F951" s="28">
        <f>$B$5/D951/B951*E951</f>
        <v>1.69425</v>
      </c>
    </row>
    <row r="952" spans="1:6" x14ac:dyDescent="0.4">
      <c r="A952" s="28">
        <f t="shared" si="29"/>
        <v>1236</v>
      </c>
      <c r="B952" s="28">
        <f t="shared" si="28"/>
        <v>0.15923566878980891</v>
      </c>
      <c r="C952" s="28">
        <f>A952+$E$6</f>
        <v>1258</v>
      </c>
      <c r="D952" s="28">
        <f>CEILING(C952/$H$3,1)*CEILING($H$2/$H$3,1)/CEILING($H$2/$H$3,1)</f>
        <v>5</v>
      </c>
      <c r="E952" s="28">
        <f>CEILING(C952/$H$3,1)*CEILING($H$2/$H$3,1)/CEILING(C952/$H$3,1)</f>
        <v>1</v>
      </c>
      <c r="F952" s="28">
        <f>$B$5/D952/B952*E952</f>
        <v>1.6956000000000002</v>
      </c>
    </row>
    <row r="953" spans="1:6" x14ac:dyDescent="0.4">
      <c r="A953" s="28">
        <f t="shared" si="29"/>
        <v>1237</v>
      </c>
      <c r="B953" s="28">
        <f t="shared" si="28"/>
        <v>0.15910898965791567</v>
      </c>
      <c r="C953" s="28">
        <f>A953+$E$6</f>
        <v>1259</v>
      </c>
      <c r="D953" s="28">
        <f>CEILING(C953/$H$3,1)*CEILING($H$2/$H$3,1)/CEILING($H$2/$H$3,1)</f>
        <v>5</v>
      </c>
      <c r="E953" s="28">
        <f>CEILING(C953/$H$3,1)*CEILING($H$2/$H$3,1)/CEILING(C953/$H$3,1)</f>
        <v>1</v>
      </c>
      <c r="F953" s="28">
        <f>$B$5/D953/B953*E953</f>
        <v>1.6969500000000002</v>
      </c>
    </row>
    <row r="954" spans="1:6" x14ac:dyDescent="0.4">
      <c r="A954" s="28">
        <f t="shared" si="29"/>
        <v>1238</v>
      </c>
      <c r="B954" s="28">
        <f t="shared" si="28"/>
        <v>0.1589825119236884</v>
      </c>
      <c r="C954" s="28">
        <f>A954+$E$6</f>
        <v>1260</v>
      </c>
      <c r="D954" s="28">
        <f>CEILING(C954/$H$3,1)*CEILING($H$2/$H$3,1)/CEILING($H$2/$H$3,1)</f>
        <v>5</v>
      </c>
      <c r="E954" s="28">
        <f>CEILING(C954/$H$3,1)*CEILING($H$2/$H$3,1)/CEILING(C954/$H$3,1)</f>
        <v>1</v>
      </c>
      <c r="F954" s="28">
        <f>$B$5/D954/B954*E954</f>
        <v>1.6983000000000001</v>
      </c>
    </row>
    <row r="955" spans="1:6" x14ac:dyDescent="0.4">
      <c r="A955" s="28">
        <f t="shared" si="29"/>
        <v>1239</v>
      </c>
      <c r="B955" s="28">
        <f t="shared" si="28"/>
        <v>0.15885623510722796</v>
      </c>
      <c r="C955" s="28">
        <f>A955+$E$6</f>
        <v>1261</v>
      </c>
      <c r="D955" s="28">
        <f>CEILING(C955/$H$3,1)*CEILING($H$2/$H$3,1)/CEILING($H$2/$H$3,1)</f>
        <v>5</v>
      </c>
      <c r="E955" s="28">
        <f>CEILING(C955/$H$3,1)*CEILING($H$2/$H$3,1)/CEILING(C955/$H$3,1)</f>
        <v>1</v>
      </c>
      <c r="F955" s="28">
        <f>$B$5/D955/B955*E955</f>
        <v>1.6996500000000001</v>
      </c>
    </row>
    <row r="956" spans="1:6" x14ac:dyDescent="0.4">
      <c r="A956" s="28">
        <f t="shared" si="29"/>
        <v>1240</v>
      </c>
      <c r="B956" s="28">
        <f t="shared" si="28"/>
        <v>0.15873015873015872</v>
      </c>
      <c r="C956" s="28">
        <f>A956+$E$6</f>
        <v>1262</v>
      </c>
      <c r="D956" s="28">
        <f>CEILING(C956/$H$3,1)*CEILING($H$2/$H$3,1)/CEILING($H$2/$H$3,1)</f>
        <v>5</v>
      </c>
      <c r="E956" s="28">
        <f>CEILING(C956/$H$3,1)*CEILING($H$2/$H$3,1)/CEILING(C956/$H$3,1)</f>
        <v>1</v>
      </c>
      <c r="F956" s="28">
        <f>$B$5/D956/B956*E956</f>
        <v>1.7010000000000003</v>
      </c>
    </row>
    <row r="957" spans="1:6" x14ac:dyDescent="0.4">
      <c r="A957" s="28">
        <f t="shared" si="29"/>
        <v>1241</v>
      </c>
      <c r="B957" s="28">
        <f t="shared" si="28"/>
        <v>0.15860428231562251</v>
      </c>
      <c r="C957" s="28">
        <f>A957+$E$6</f>
        <v>1263</v>
      </c>
      <c r="D957" s="28">
        <f>CEILING(C957/$H$3,1)*CEILING($H$2/$H$3,1)/CEILING($H$2/$H$3,1)</f>
        <v>5</v>
      </c>
      <c r="E957" s="28">
        <f>CEILING(C957/$H$3,1)*CEILING($H$2/$H$3,1)/CEILING(C957/$H$3,1)</f>
        <v>1</v>
      </c>
      <c r="F957" s="28">
        <f>$B$5/D957/B957*E957</f>
        <v>1.7023500000000003</v>
      </c>
    </row>
    <row r="958" spans="1:6" x14ac:dyDescent="0.4">
      <c r="A958" s="28">
        <f t="shared" si="29"/>
        <v>1242</v>
      </c>
      <c r="B958" s="28">
        <f t="shared" si="28"/>
        <v>0.15847860538827258</v>
      </c>
      <c r="C958" s="28">
        <f>A958+$E$6</f>
        <v>1264</v>
      </c>
      <c r="D958" s="28">
        <f>CEILING(C958/$H$3,1)*CEILING($H$2/$H$3,1)/CEILING($H$2/$H$3,1)</f>
        <v>5</v>
      </c>
      <c r="E958" s="28">
        <f>CEILING(C958/$H$3,1)*CEILING($H$2/$H$3,1)/CEILING(C958/$H$3,1)</f>
        <v>1</v>
      </c>
      <c r="F958" s="28">
        <f>$B$5/D958/B958*E958</f>
        <v>1.7037000000000002</v>
      </c>
    </row>
    <row r="959" spans="1:6" x14ac:dyDescent="0.4">
      <c r="A959" s="28">
        <f t="shared" si="29"/>
        <v>1243</v>
      </c>
      <c r="B959" s="28">
        <f t="shared" si="28"/>
        <v>0.15835312747426761</v>
      </c>
      <c r="C959" s="28">
        <f>A959+$E$6</f>
        <v>1265</v>
      </c>
      <c r="D959" s="28">
        <f>CEILING(C959/$H$3,1)*CEILING($H$2/$H$3,1)/CEILING($H$2/$H$3,1)</f>
        <v>5</v>
      </c>
      <c r="E959" s="28">
        <f>CEILING(C959/$H$3,1)*CEILING($H$2/$H$3,1)/CEILING(C959/$H$3,1)</f>
        <v>1</v>
      </c>
      <c r="F959" s="28">
        <f>$B$5/D959/B959*E959</f>
        <v>1.7050500000000002</v>
      </c>
    </row>
    <row r="960" spans="1:6" x14ac:dyDescent="0.4">
      <c r="A960" s="28">
        <f t="shared" si="29"/>
        <v>1244</v>
      </c>
      <c r="B960" s="28">
        <f t="shared" si="28"/>
        <v>0.15822784810126583</v>
      </c>
      <c r="C960" s="28">
        <f>A960+$E$6</f>
        <v>1266</v>
      </c>
      <c r="D960" s="28">
        <f>CEILING(C960/$H$3,1)*CEILING($H$2/$H$3,1)/CEILING($H$2/$H$3,1)</f>
        <v>5</v>
      </c>
      <c r="E960" s="28">
        <f>CEILING(C960/$H$3,1)*CEILING($H$2/$H$3,1)/CEILING(C960/$H$3,1)</f>
        <v>1</v>
      </c>
      <c r="F960" s="28">
        <f>$B$5/D960/B960*E960</f>
        <v>1.7063999999999999</v>
      </c>
    </row>
    <row r="961" spans="1:6" x14ac:dyDescent="0.4">
      <c r="A961" s="28">
        <f t="shared" si="29"/>
        <v>1245</v>
      </c>
      <c r="B961" s="28">
        <f t="shared" si="28"/>
        <v>0.15810276679841898</v>
      </c>
      <c r="C961" s="28">
        <f>A961+$E$6</f>
        <v>1267</v>
      </c>
      <c r="D961" s="28">
        <f>CEILING(C961/$H$3,1)*CEILING($H$2/$H$3,1)/CEILING($H$2/$H$3,1)</f>
        <v>5</v>
      </c>
      <c r="E961" s="28">
        <f>CEILING(C961/$H$3,1)*CEILING($H$2/$H$3,1)/CEILING(C961/$H$3,1)</f>
        <v>1</v>
      </c>
      <c r="F961" s="28">
        <f>$B$5/D961/B961*E961</f>
        <v>1.7077500000000001</v>
      </c>
    </row>
    <row r="962" spans="1:6" x14ac:dyDescent="0.4">
      <c r="A962" s="28">
        <f t="shared" si="29"/>
        <v>1246</v>
      </c>
      <c r="B962" s="28">
        <f t="shared" si="28"/>
        <v>0.15797788309636651</v>
      </c>
      <c r="C962" s="28">
        <f>A962+$E$6</f>
        <v>1268</v>
      </c>
      <c r="D962" s="28">
        <f>CEILING(C962/$H$3,1)*CEILING($H$2/$H$3,1)/CEILING($H$2/$H$3,1)</f>
        <v>5</v>
      </c>
      <c r="E962" s="28">
        <f>CEILING(C962/$H$3,1)*CEILING($H$2/$H$3,1)/CEILING(C962/$H$3,1)</f>
        <v>1</v>
      </c>
      <c r="F962" s="28">
        <f>$B$5/D962/B962*E962</f>
        <v>1.7091000000000001</v>
      </c>
    </row>
    <row r="963" spans="1:6" x14ac:dyDescent="0.4">
      <c r="A963" s="28">
        <f t="shared" si="29"/>
        <v>1247</v>
      </c>
      <c r="B963" s="28">
        <f t="shared" si="28"/>
        <v>0.15785319652722968</v>
      </c>
      <c r="C963" s="28">
        <f>A963+$E$6</f>
        <v>1269</v>
      </c>
      <c r="D963" s="28">
        <f>CEILING(C963/$H$3,1)*CEILING($H$2/$H$3,1)/CEILING($H$2/$H$3,1)</f>
        <v>5</v>
      </c>
      <c r="E963" s="28">
        <f>CEILING(C963/$H$3,1)*CEILING($H$2/$H$3,1)/CEILING(C963/$H$3,1)</f>
        <v>1</v>
      </c>
      <c r="F963" s="28">
        <f>$B$5/D963/B963*E963</f>
        <v>1.71045</v>
      </c>
    </row>
    <row r="964" spans="1:6" x14ac:dyDescent="0.4">
      <c r="A964" s="28">
        <f t="shared" si="29"/>
        <v>1248</v>
      </c>
      <c r="B964" s="28">
        <f t="shared" si="28"/>
        <v>0.15772870662460567</v>
      </c>
      <c r="C964" s="28">
        <f>A964+$E$6</f>
        <v>1270</v>
      </c>
      <c r="D964" s="28">
        <f>CEILING(C964/$H$3,1)*CEILING($H$2/$H$3,1)/CEILING($H$2/$H$3,1)</f>
        <v>5</v>
      </c>
      <c r="E964" s="28">
        <f>CEILING(C964/$H$3,1)*CEILING($H$2/$H$3,1)/CEILING(C964/$H$3,1)</f>
        <v>1</v>
      </c>
      <c r="F964" s="28">
        <f>$B$5/D964/B964*E964</f>
        <v>1.7118000000000002</v>
      </c>
    </row>
    <row r="965" spans="1:6" x14ac:dyDescent="0.4">
      <c r="A965" s="28">
        <f t="shared" si="29"/>
        <v>1249</v>
      </c>
      <c r="B965" s="28">
        <f t="shared" si="28"/>
        <v>0.15760441292356187</v>
      </c>
      <c r="C965" s="28">
        <f>A965+$E$6</f>
        <v>1271</v>
      </c>
      <c r="D965" s="28">
        <f>CEILING(C965/$H$3,1)*CEILING($H$2/$H$3,1)/CEILING($H$2/$H$3,1)</f>
        <v>5</v>
      </c>
      <c r="E965" s="28">
        <f>CEILING(C965/$H$3,1)*CEILING($H$2/$H$3,1)/CEILING(C965/$H$3,1)</f>
        <v>1</v>
      </c>
      <c r="F965" s="28">
        <f>$B$5/D965/B965*E965</f>
        <v>1.71315</v>
      </c>
    </row>
    <row r="966" spans="1:6" x14ac:dyDescent="0.4">
      <c r="A966" s="28">
        <f t="shared" si="29"/>
        <v>1250</v>
      </c>
      <c r="B966" s="28">
        <f t="shared" si="28"/>
        <v>0.15748031496062992</v>
      </c>
      <c r="C966" s="28">
        <f>A966+$E$6</f>
        <v>1272</v>
      </c>
      <c r="D966" s="28">
        <f>CEILING(C966/$H$3,1)*CEILING($H$2/$H$3,1)/CEILING($H$2/$H$3,1)</f>
        <v>5</v>
      </c>
      <c r="E966" s="28">
        <f>CEILING(C966/$H$3,1)*CEILING($H$2/$H$3,1)/CEILING(C966/$H$3,1)</f>
        <v>1</v>
      </c>
      <c r="F966" s="28">
        <f>$B$5/D966/B966*E966</f>
        <v>1.7145000000000001</v>
      </c>
    </row>
    <row r="967" spans="1:6" x14ac:dyDescent="0.4">
      <c r="A967" s="28">
        <f t="shared" si="29"/>
        <v>1251</v>
      </c>
      <c r="B967" s="28">
        <f t="shared" si="28"/>
        <v>0.15735641227380015</v>
      </c>
      <c r="C967" s="28">
        <f>A967+$E$6</f>
        <v>1273</v>
      </c>
      <c r="D967" s="28">
        <f>CEILING(C967/$H$3,1)*CEILING($H$2/$H$3,1)/CEILING($H$2/$H$3,1)</f>
        <v>5</v>
      </c>
      <c r="E967" s="28">
        <f>CEILING(C967/$H$3,1)*CEILING($H$2/$H$3,1)/CEILING(C967/$H$3,1)</f>
        <v>1</v>
      </c>
      <c r="F967" s="28">
        <f>$B$5/D967/B967*E967</f>
        <v>1.7158500000000001</v>
      </c>
    </row>
    <row r="968" spans="1:6" x14ac:dyDescent="0.4">
      <c r="A968" s="28">
        <f t="shared" si="29"/>
        <v>1252</v>
      </c>
      <c r="B968" s="28">
        <f t="shared" si="28"/>
        <v>0.15723270440251572</v>
      </c>
      <c r="C968" s="28">
        <f>A968+$E$6</f>
        <v>1274</v>
      </c>
      <c r="D968" s="28">
        <f>CEILING(C968/$H$3,1)*CEILING($H$2/$H$3,1)/CEILING($H$2/$H$3,1)</f>
        <v>5</v>
      </c>
      <c r="E968" s="28">
        <f>CEILING(C968/$H$3,1)*CEILING($H$2/$H$3,1)/CEILING(C968/$H$3,1)</f>
        <v>1</v>
      </c>
      <c r="F968" s="28">
        <f>$B$5/D968/B968*E968</f>
        <v>1.7172000000000003</v>
      </c>
    </row>
    <row r="969" spans="1:6" x14ac:dyDescent="0.4">
      <c r="A969" s="28">
        <f t="shared" si="29"/>
        <v>1253</v>
      </c>
      <c r="B969" s="28">
        <f t="shared" si="28"/>
        <v>0.15710919088766692</v>
      </c>
      <c r="C969" s="28">
        <f>A969+$E$6</f>
        <v>1275</v>
      </c>
      <c r="D969" s="28">
        <f>CEILING(C969/$H$3,1)*CEILING($H$2/$H$3,1)/CEILING($H$2/$H$3,1)</f>
        <v>5</v>
      </c>
      <c r="E969" s="28">
        <f>CEILING(C969/$H$3,1)*CEILING($H$2/$H$3,1)/CEILING(C969/$H$3,1)</f>
        <v>1</v>
      </c>
      <c r="F969" s="28">
        <f>$B$5/D969/B969*E969</f>
        <v>1.7185500000000002</v>
      </c>
    </row>
    <row r="970" spans="1:6" x14ac:dyDescent="0.4">
      <c r="A970" s="28">
        <f t="shared" si="29"/>
        <v>1254</v>
      </c>
      <c r="B970" s="28">
        <f t="shared" si="28"/>
        <v>0.15698587127158556</v>
      </c>
      <c r="C970" s="28">
        <f>A970+$E$6</f>
        <v>1276</v>
      </c>
      <c r="D970" s="28">
        <f>CEILING(C970/$H$3,1)*CEILING($H$2/$H$3,1)/CEILING($H$2/$H$3,1)</f>
        <v>5</v>
      </c>
      <c r="E970" s="28">
        <f>CEILING(C970/$H$3,1)*CEILING($H$2/$H$3,1)/CEILING(C970/$H$3,1)</f>
        <v>1</v>
      </c>
      <c r="F970" s="28">
        <f>$B$5/D970/B970*E970</f>
        <v>1.7199000000000002</v>
      </c>
    </row>
    <row r="971" spans="1:6" x14ac:dyDescent="0.4">
      <c r="A971" s="28">
        <f t="shared" si="29"/>
        <v>1255</v>
      </c>
      <c r="B971" s="28">
        <f t="shared" ref="B971:B1034" si="30">$B$4/8/(A971+$B$2)</f>
        <v>0.15686274509803921</v>
      </c>
      <c r="C971" s="28">
        <f>A971+$E$6</f>
        <v>1277</v>
      </c>
      <c r="D971" s="28">
        <f>CEILING(C971/$H$3,1)*CEILING($H$2/$H$3,1)/CEILING($H$2/$H$3,1)</f>
        <v>5</v>
      </c>
      <c r="E971" s="28">
        <f>CEILING(C971/$H$3,1)*CEILING($H$2/$H$3,1)/CEILING(C971/$H$3,1)</f>
        <v>1</v>
      </c>
      <c r="F971" s="28">
        <f>$B$5/D971/B971*E971</f>
        <v>1.7212500000000002</v>
      </c>
    </row>
    <row r="972" spans="1:6" x14ac:dyDescent="0.4">
      <c r="A972" s="28">
        <f t="shared" si="29"/>
        <v>1256</v>
      </c>
      <c r="B972" s="28">
        <f t="shared" si="30"/>
        <v>0.15673981191222572</v>
      </c>
      <c r="C972" s="28">
        <f>A972+$E$6</f>
        <v>1278</v>
      </c>
      <c r="D972" s="28">
        <f>CEILING(C972/$H$3,1)*CEILING($H$2/$H$3,1)/CEILING($H$2/$H$3,1)</f>
        <v>5</v>
      </c>
      <c r="E972" s="28">
        <f>CEILING(C972/$H$3,1)*CEILING($H$2/$H$3,1)/CEILING(C972/$H$3,1)</f>
        <v>1</v>
      </c>
      <c r="F972" s="28">
        <f>$B$5/D972/B972*E972</f>
        <v>1.7225999999999999</v>
      </c>
    </row>
    <row r="973" spans="1:6" x14ac:dyDescent="0.4">
      <c r="A973" s="28">
        <f t="shared" ref="A973:A1036" si="31">A972+$B$3</f>
        <v>1257</v>
      </c>
      <c r="B973" s="28">
        <f t="shared" si="30"/>
        <v>0.15661707126076743</v>
      </c>
      <c r="C973" s="28">
        <f>A973+$E$6</f>
        <v>1279</v>
      </c>
      <c r="D973" s="28">
        <f>CEILING(C973/$H$3,1)*CEILING($H$2/$H$3,1)/CEILING($H$2/$H$3,1)</f>
        <v>5</v>
      </c>
      <c r="E973" s="28">
        <f>CEILING(C973/$H$3,1)*CEILING($H$2/$H$3,1)/CEILING(C973/$H$3,1)</f>
        <v>1</v>
      </c>
      <c r="F973" s="28">
        <f>$B$5/D973/B973*E973</f>
        <v>1.7239500000000001</v>
      </c>
    </row>
    <row r="974" spans="1:6" x14ac:dyDescent="0.4">
      <c r="A974" s="28">
        <f t="shared" si="31"/>
        <v>1258</v>
      </c>
      <c r="B974" s="28">
        <f t="shared" si="30"/>
        <v>0.1564945226917058</v>
      </c>
      <c r="C974" s="28">
        <f>A974+$E$6</f>
        <v>1280</v>
      </c>
      <c r="D974" s="28">
        <f>CEILING(C974/$H$3,1)*CEILING($H$2/$H$3,1)/CEILING($H$2/$H$3,1)</f>
        <v>5</v>
      </c>
      <c r="E974" s="28">
        <f>CEILING(C974/$H$3,1)*CEILING($H$2/$H$3,1)/CEILING(C974/$H$3,1)</f>
        <v>1</v>
      </c>
      <c r="F974" s="28">
        <f>$B$5/D974/B974*E974</f>
        <v>1.7253000000000001</v>
      </c>
    </row>
    <row r="975" spans="1:6" x14ac:dyDescent="0.4">
      <c r="A975" s="28">
        <f t="shared" si="31"/>
        <v>1259</v>
      </c>
      <c r="B975" s="28">
        <f t="shared" si="30"/>
        <v>0.1563721657544957</v>
      </c>
      <c r="C975" s="28">
        <f>A975+$E$6</f>
        <v>1281</v>
      </c>
      <c r="D975" s="28">
        <f>CEILING(C975/$H$3,1)*CEILING($H$2/$H$3,1)/CEILING($H$2/$H$3,1)</f>
        <v>6</v>
      </c>
      <c r="E975" s="28">
        <f>CEILING(C975/$H$3,1)*CEILING($H$2/$H$3,1)/CEILING(C975/$H$3,1)</f>
        <v>1</v>
      </c>
      <c r="F975" s="28">
        <f>$B$5/D975/B975*E975</f>
        <v>1.4388750000000001</v>
      </c>
    </row>
    <row r="976" spans="1:6" x14ac:dyDescent="0.4">
      <c r="A976" s="28">
        <f t="shared" si="31"/>
        <v>1260</v>
      </c>
      <c r="B976" s="28">
        <f t="shared" si="30"/>
        <v>0.15625</v>
      </c>
      <c r="C976" s="28">
        <f>A976+$E$6</f>
        <v>1282</v>
      </c>
      <c r="D976" s="28">
        <f>CEILING(C976/$H$3,1)*CEILING($H$2/$H$3,1)/CEILING($H$2/$H$3,1)</f>
        <v>6</v>
      </c>
      <c r="E976" s="28">
        <f>CEILING(C976/$H$3,1)*CEILING($H$2/$H$3,1)/CEILING(C976/$H$3,1)</f>
        <v>1</v>
      </c>
      <c r="F976" s="28">
        <f>$B$5/D976/B976*E976</f>
        <v>1.44</v>
      </c>
    </row>
    <row r="977" spans="1:6" x14ac:dyDescent="0.4">
      <c r="A977" s="28">
        <f t="shared" si="31"/>
        <v>1261</v>
      </c>
      <c r="B977" s="28">
        <f t="shared" si="30"/>
        <v>0.156128024980484</v>
      </c>
      <c r="C977" s="28">
        <f>A977+$E$6</f>
        <v>1283</v>
      </c>
      <c r="D977" s="28">
        <f>CEILING(C977/$H$3,1)*CEILING($H$2/$H$3,1)/CEILING($H$2/$H$3,1)</f>
        <v>6</v>
      </c>
      <c r="E977" s="28">
        <f>CEILING(C977/$H$3,1)*CEILING($H$2/$H$3,1)/CEILING(C977/$H$3,1)</f>
        <v>1</v>
      </c>
      <c r="F977" s="28">
        <f>$B$5/D977/B977*E977</f>
        <v>1.441125</v>
      </c>
    </row>
    <row r="978" spans="1:6" x14ac:dyDescent="0.4">
      <c r="A978" s="28">
        <f t="shared" si="31"/>
        <v>1262</v>
      </c>
      <c r="B978" s="28">
        <f t="shared" si="30"/>
        <v>0.15600624024960999</v>
      </c>
      <c r="C978" s="28">
        <f>A978+$E$6</f>
        <v>1284</v>
      </c>
      <c r="D978" s="28">
        <f>CEILING(C978/$H$3,1)*CEILING($H$2/$H$3,1)/CEILING($H$2/$H$3,1)</f>
        <v>6</v>
      </c>
      <c r="E978" s="28">
        <f>CEILING(C978/$H$3,1)*CEILING($H$2/$H$3,1)/CEILING(C978/$H$3,1)</f>
        <v>1</v>
      </c>
      <c r="F978" s="28">
        <f>$B$5/D978/B978*E978</f>
        <v>1.44225</v>
      </c>
    </row>
    <row r="979" spans="1:6" x14ac:dyDescent="0.4">
      <c r="A979" s="28">
        <f t="shared" si="31"/>
        <v>1263</v>
      </c>
      <c r="B979" s="28">
        <f t="shared" si="30"/>
        <v>0.1558846453624318</v>
      </c>
      <c r="C979" s="28">
        <f>A979+$E$6</f>
        <v>1285</v>
      </c>
      <c r="D979" s="28">
        <f>CEILING(C979/$H$3,1)*CEILING($H$2/$H$3,1)/CEILING($H$2/$H$3,1)</f>
        <v>6</v>
      </c>
      <c r="E979" s="28">
        <f>CEILING(C979/$H$3,1)*CEILING($H$2/$H$3,1)/CEILING(C979/$H$3,1)</f>
        <v>1</v>
      </c>
      <c r="F979" s="28">
        <f>$B$5/D979/B979*E979</f>
        <v>1.4433750000000001</v>
      </c>
    </row>
    <row r="980" spans="1:6" x14ac:dyDescent="0.4">
      <c r="A980" s="28">
        <f t="shared" si="31"/>
        <v>1264</v>
      </c>
      <c r="B980" s="28">
        <f t="shared" si="30"/>
        <v>0.1557632398753894</v>
      </c>
      <c r="C980" s="28">
        <f>A980+$E$6</f>
        <v>1286</v>
      </c>
      <c r="D980" s="28">
        <f>CEILING(C980/$H$3,1)*CEILING($H$2/$H$3,1)/CEILING($H$2/$H$3,1)</f>
        <v>6</v>
      </c>
      <c r="E980" s="28">
        <f>CEILING(C980/$H$3,1)*CEILING($H$2/$H$3,1)/CEILING(C980/$H$3,1)</f>
        <v>1</v>
      </c>
      <c r="F980" s="28">
        <f>$B$5/D980/B980*E980</f>
        <v>1.4445000000000001</v>
      </c>
    </row>
    <row r="981" spans="1:6" x14ac:dyDescent="0.4">
      <c r="A981" s="28">
        <f t="shared" si="31"/>
        <v>1265</v>
      </c>
      <c r="B981" s="28">
        <f t="shared" si="30"/>
        <v>0.1556420233463035</v>
      </c>
      <c r="C981" s="28">
        <f>A981+$E$6</f>
        <v>1287</v>
      </c>
      <c r="D981" s="28">
        <f>CEILING(C981/$H$3,1)*CEILING($H$2/$H$3,1)/CEILING($H$2/$H$3,1)</f>
        <v>6</v>
      </c>
      <c r="E981" s="28">
        <f>CEILING(C981/$H$3,1)*CEILING($H$2/$H$3,1)/CEILING(C981/$H$3,1)</f>
        <v>1</v>
      </c>
      <c r="F981" s="28">
        <f>$B$5/D981/B981*E981</f>
        <v>1.4456249999999999</v>
      </c>
    </row>
    <row r="982" spans="1:6" x14ac:dyDescent="0.4">
      <c r="A982" s="28">
        <f t="shared" si="31"/>
        <v>1266</v>
      </c>
      <c r="B982" s="28">
        <f t="shared" si="30"/>
        <v>0.15552099533437014</v>
      </c>
      <c r="C982" s="28">
        <f>A982+$E$6</f>
        <v>1288</v>
      </c>
      <c r="D982" s="28">
        <f>CEILING(C982/$H$3,1)*CEILING($H$2/$H$3,1)/CEILING($H$2/$H$3,1)</f>
        <v>6</v>
      </c>
      <c r="E982" s="28">
        <f>CEILING(C982/$H$3,1)*CEILING($H$2/$H$3,1)/CEILING(C982/$H$3,1)</f>
        <v>1</v>
      </c>
      <c r="F982" s="28">
        <f>$B$5/D982/B982*E982</f>
        <v>1.44675</v>
      </c>
    </row>
    <row r="983" spans="1:6" x14ac:dyDescent="0.4">
      <c r="A983" s="28">
        <f t="shared" si="31"/>
        <v>1267</v>
      </c>
      <c r="B983" s="28">
        <f t="shared" si="30"/>
        <v>0.15540015540015539</v>
      </c>
      <c r="C983" s="28">
        <f>A983+$E$6</f>
        <v>1289</v>
      </c>
      <c r="D983" s="28">
        <f>CEILING(C983/$H$3,1)*CEILING($H$2/$H$3,1)/CEILING($H$2/$H$3,1)</f>
        <v>6</v>
      </c>
      <c r="E983" s="28">
        <f>CEILING(C983/$H$3,1)*CEILING($H$2/$H$3,1)/CEILING(C983/$H$3,1)</f>
        <v>1</v>
      </c>
      <c r="F983" s="28">
        <f>$B$5/D983/B983*E983</f>
        <v>1.447875</v>
      </c>
    </row>
    <row r="984" spans="1:6" x14ac:dyDescent="0.4">
      <c r="A984" s="28">
        <f t="shared" si="31"/>
        <v>1268</v>
      </c>
      <c r="B984" s="28">
        <f t="shared" si="30"/>
        <v>0.15527950310559005</v>
      </c>
      <c r="C984" s="28">
        <f>A984+$E$6</f>
        <v>1290</v>
      </c>
      <c r="D984" s="28">
        <f>CEILING(C984/$H$3,1)*CEILING($H$2/$H$3,1)/CEILING($H$2/$H$3,1)</f>
        <v>6</v>
      </c>
      <c r="E984" s="28">
        <f>CEILING(C984/$H$3,1)*CEILING($H$2/$H$3,1)/CEILING(C984/$H$3,1)</f>
        <v>1</v>
      </c>
      <c r="F984" s="28">
        <f>$B$5/D984/B984*E984</f>
        <v>1.4490000000000001</v>
      </c>
    </row>
    <row r="985" spans="1:6" x14ac:dyDescent="0.4">
      <c r="A985" s="28">
        <f t="shared" si="31"/>
        <v>1269</v>
      </c>
      <c r="B985" s="28">
        <f t="shared" si="30"/>
        <v>0.1551590380139643</v>
      </c>
      <c r="C985" s="28">
        <f>A985+$E$6</f>
        <v>1291</v>
      </c>
      <c r="D985" s="28">
        <f>CEILING(C985/$H$3,1)*CEILING($H$2/$H$3,1)/CEILING($H$2/$H$3,1)</f>
        <v>6</v>
      </c>
      <c r="E985" s="28">
        <f>CEILING(C985/$H$3,1)*CEILING($H$2/$H$3,1)/CEILING(C985/$H$3,1)</f>
        <v>1</v>
      </c>
      <c r="F985" s="28">
        <f>$B$5/D985/B985*E985</f>
        <v>1.4501250000000001</v>
      </c>
    </row>
    <row r="986" spans="1:6" x14ac:dyDescent="0.4">
      <c r="A986" s="28">
        <f t="shared" si="31"/>
        <v>1270</v>
      </c>
      <c r="B986" s="28">
        <f t="shared" si="30"/>
        <v>0.15503875968992248</v>
      </c>
      <c r="C986" s="28">
        <f>A986+$E$6</f>
        <v>1292</v>
      </c>
      <c r="D986" s="28">
        <f>CEILING(C986/$H$3,1)*CEILING($H$2/$H$3,1)/CEILING($H$2/$H$3,1)</f>
        <v>6</v>
      </c>
      <c r="E986" s="28">
        <f>CEILING(C986/$H$3,1)*CEILING($H$2/$H$3,1)/CEILING(C986/$H$3,1)</f>
        <v>1</v>
      </c>
      <c r="F986" s="28">
        <f>$B$5/D986/B986*E986</f>
        <v>1.4512500000000002</v>
      </c>
    </row>
    <row r="987" spans="1:6" x14ac:dyDescent="0.4">
      <c r="A987" s="28">
        <f t="shared" si="31"/>
        <v>1271</v>
      </c>
      <c r="B987" s="28">
        <f t="shared" si="30"/>
        <v>0.15491866769945778</v>
      </c>
      <c r="C987" s="28">
        <f>A987+$E$6</f>
        <v>1293</v>
      </c>
      <c r="D987" s="28">
        <f>CEILING(C987/$H$3,1)*CEILING($H$2/$H$3,1)/CEILING($H$2/$H$3,1)</f>
        <v>6</v>
      </c>
      <c r="E987" s="28">
        <f>CEILING(C987/$H$3,1)*CEILING($H$2/$H$3,1)/CEILING(C987/$H$3,1)</f>
        <v>1</v>
      </c>
      <c r="F987" s="28">
        <f>$B$5/D987/B987*E987</f>
        <v>1.4523750000000002</v>
      </c>
    </row>
    <row r="988" spans="1:6" x14ac:dyDescent="0.4">
      <c r="A988" s="28">
        <f t="shared" si="31"/>
        <v>1272</v>
      </c>
      <c r="B988" s="28">
        <f t="shared" si="30"/>
        <v>0.15479876160990713</v>
      </c>
      <c r="C988" s="28">
        <f>A988+$E$6</f>
        <v>1294</v>
      </c>
      <c r="D988" s="28">
        <f>CEILING(C988/$H$3,1)*CEILING($H$2/$H$3,1)/CEILING($H$2/$H$3,1)</f>
        <v>6</v>
      </c>
      <c r="E988" s="28">
        <f>CEILING(C988/$H$3,1)*CEILING($H$2/$H$3,1)/CEILING(C988/$H$3,1)</f>
        <v>1</v>
      </c>
      <c r="F988" s="28">
        <f>$B$5/D988/B988*E988</f>
        <v>1.4535</v>
      </c>
    </row>
    <row r="989" spans="1:6" x14ac:dyDescent="0.4">
      <c r="A989" s="28">
        <f t="shared" si="31"/>
        <v>1273</v>
      </c>
      <c r="B989" s="28">
        <f t="shared" si="30"/>
        <v>0.15467904098994587</v>
      </c>
      <c r="C989" s="28">
        <f>A989+$E$6</f>
        <v>1295</v>
      </c>
      <c r="D989" s="28">
        <f>CEILING(C989/$H$3,1)*CEILING($H$2/$H$3,1)/CEILING($H$2/$H$3,1)</f>
        <v>6</v>
      </c>
      <c r="E989" s="28">
        <f>CEILING(C989/$H$3,1)*CEILING($H$2/$H$3,1)/CEILING(C989/$H$3,1)</f>
        <v>1</v>
      </c>
      <c r="F989" s="28">
        <f>$B$5/D989/B989*E989</f>
        <v>1.4546250000000001</v>
      </c>
    </row>
    <row r="990" spans="1:6" x14ac:dyDescent="0.4">
      <c r="A990" s="28">
        <f t="shared" si="31"/>
        <v>1274</v>
      </c>
      <c r="B990" s="28">
        <f t="shared" si="30"/>
        <v>0.15455950540958269</v>
      </c>
      <c r="C990" s="28">
        <f>A990+$E$6</f>
        <v>1296</v>
      </c>
      <c r="D990" s="28">
        <f>CEILING(C990/$H$3,1)*CEILING($H$2/$H$3,1)/CEILING($H$2/$H$3,1)</f>
        <v>6</v>
      </c>
      <c r="E990" s="28">
        <f>CEILING(C990/$H$3,1)*CEILING($H$2/$H$3,1)/CEILING(C990/$H$3,1)</f>
        <v>1</v>
      </c>
      <c r="F990" s="28">
        <f>$B$5/D990/B990*E990</f>
        <v>1.4557500000000001</v>
      </c>
    </row>
    <row r="991" spans="1:6" x14ac:dyDescent="0.4">
      <c r="A991" s="28">
        <f t="shared" si="31"/>
        <v>1275</v>
      </c>
      <c r="B991" s="28">
        <f t="shared" si="30"/>
        <v>0.15444015444015444</v>
      </c>
      <c r="C991" s="28">
        <f>A991+$E$6</f>
        <v>1297</v>
      </c>
      <c r="D991" s="28">
        <f>CEILING(C991/$H$3,1)*CEILING($H$2/$H$3,1)/CEILING($H$2/$H$3,1)</f>
        <v>6</v>
      </c>
      <c r="E991" s="28">
        <f>CEILING(C991/$H$3,1)*CEILING($H$2/$H$3,1)/CEILING(C991/$H$3,1)</f>
        <v>1</v>
      </c>
      <c r="F991" s="28">
        <f>$B$5/D991/B991*E991</f>
        <v>1.4568750000000001</v>
      </c>
    </row>
    <row r="992" spans="1:6" x14ac:dyDescent="0.4">
      <c r="A992" s="28">
        <f t="shared" si="31"/>
        <v>1276</v>
      </c>
      <c r="B992" s="28">
        <f t="shared" si="30"/>
        <v>0.15432098765432098</v>
      </c>
      <c r="C992" s="28">
        <f>A992+$E$6</f>
        <v>1298</v>
      </c>
      <c r="D992" s="28">
        <f>CEILING(C992/$H$3,1)*CEILING($H$2/$H$3,1)/CEILING($H$2/$H$3,1)</f>
        <v>6</v>
      </c>
      <c r="E992" s="28">
        <f>CEILING(C992/$H$3,1)*CEILING($H$2/$H$3,1)/CEILING(C992/$H$3,1)</f>
        <v>1</v>
      </c>
      <c r="F992" s="28">
        <f>$B$5/D992/B992*E992</f>
        <v>1.4580000000000002</v>
      </c>
    </row>
    <row r="993" spans="1:6" x14ac:dyDescent="0.4">
      <c r="A993" s="28">
        <f t="shared" si="31"/>
        <v>1277</v>
      </c>
      <c r="B993" s="28">
        <f t="shared" si="30"/>
        <v>0.15420200462606015</v>
      </c>
      <c r="C993" s="28">
        <f>A993+$E$6</f>
        <v>1299</v>
      </c>
      <c r="D993" s="28">
        <f>CEILING(C993/$H$3,1)*CEILING($H$2/$H$3,1)/CEILING($H$2/$H$3,1)</f>
        <v>6</v>
      </c>
      <c r="E993" s="28">
        <f>CEILING(C993/$H$3,1)*CEILING($H$2/$H$3,1)/CEILING(C993/$H$3,1)</f>
        <v>1</v>
      </c>
      <c r="F993" s="28">
        <f>$B$5/D993/B993*E993</f>
        <v>1.459125</v>
      </c>
    </row>
    <row r="994" spans="1:6" x14ac:dyDescent="0.4">
      <c r="A994" s="28">
        <f t="shared" si="31"/>
        <v>1278</v>
      </c>
      <c r="B994" s="28">
        <f t="shared" si="30"/>
        <v>0.15408320493066255</v>
      </c>
      <c r="C994" s="28">
        <f>A994+$E$6</f>
        <v>1300</v>
      </c>
      <c r="D994" s="28">
        <f>CEILING(C994/$H$3,1)*CEILING($H$2/$H$3,1)/CEILING($H$2/$H$3,1)</f>
        <v>6</v>
      </c>
      <c r="E994" s="28">
        <f>CEILING(C994/$H$3,1)*CEILING($H$2/$H$3,1)/CEILING(C994/$H$3,1)</f>
        <v>1</v>
      </c>
      <c r="F994" s="28">
        <f>$B$5/D994/B994*E994</f>
        <v>1.46025</v>
      </c>
    </row>
    <row r="995" spans="1:6" x14ac:dyDescent="0.4">
      <c r="A995" s="28">
        <f t="shared" si="31"/>
        <v>1279</v>
      </c>
      <c r="B995" s="28">
        <f t="shared" si="30"/>
        <v>0.15396458814472672</v>
      </c>
      <c r="C995" s="28">
        <f>A995+$E$6</f>
        <v>1301</v>
      </c>
      <c r="D995" s="28">
        <f>CEILING(C995/$H$3,1)*CEILING($H$2/$H$3,1)/CEILING($H$2/$H$3,1)</f>
        <v>6</v>
      </c>
      <c r="E995" s="28">
        <f>CEILING(C995/$H$3,1)*CEILING($H$2/$H$3,1)/CEILING(C995/$H$3,1)</f>
        <v>1</v>
      </c>
      <c r="F995" s="28">
        <f>$B$5/D995/B995*E995</f>
        <v>1.4613750000000001</v>
      </c>
    </row>
    <row r="996" spans="1:6" x14ac:dyDescent="0.4">
      <c r="A996" s="28">
        <f t="shared" si="31"/>
        <v>1280</v>
      </c>
      <c r="B996" s="28">
        <f t="shared" si="30"/>
        <v>0.15384615384615385</v>
      </c>
      <c r="C996" s="28">
        <f>A996+$E$6</f>
        <v>1302</v>
      </c>
      <c r="D996" s="28">
        <f>CEILING(C996/$H$3,1)*CEILING($H$2/$H$3,1)/CEILING($H$2/$H$3,1)</f>
        <v>6</v>
      </c>
      <c r="E996" s="28">
        <f>CEILING(C996/$H$3,1)*CEILING($H$2/$H$3,1)/CEILING(C996/$H$3,1)</f>
        <v>1</v>
      </c>
      <c r="F996" s="28">
        <f>$B$5/D996/B996*E996</f>
        <v>1.4624999999999999</v>
      </c>
    </row>
    <row r="997" spans="1:6" x14ac:dyDescent="0.4">
      <c r="A997" s="28">
        <f t="shared" si="31"/>
        <v>1281</v>
      </c>
      <c r="B997" s="28">
        <f t="shared" si="30"/>
        <v>0.15372790161414296</v>
      </c>
      <c r="C997" s="28">
        <f>A997+$E$6</f>
        <v>1303</v>
      </c>
      <c r="D997" s="28">
        <f>CEILING(C997/$H$3,1)*CEILING($H$2/$H$3,1)/CEILING($H$2/$H$3,1)</f>
        <v>6</v>
      </c>
      <c r="E997" s="28">
        <f>CEILING(C997/$H$3,1)*CEILING($H$2/$H$3,1)/CEILING(C997/$H$3,1)</f>
        <v>1</v>
      </c>
      <c r="F997" s="28">
        <f>$B$5/D997/B997*E997</f>
        <v>1.4636250000000002</v>
      </c>
    </row>
    <row r="998" spans="1:6" x14ac:dyDescent="0.4">
      <c r="A998" s="28">
        <f t="shared" si="31"/>
        <v>1282</v>
      </c>
      <c r="B998" s="28">
        <f t="shared" si="30"/>
        <v>0.15360983102918588</v>
      </c>
      <c r="C998" s="28">
        <f>A998+$E$6</f>
        <v>1304</v>
      </c>
      <c r="D998" s="28">
        <f>CEILING(C998/$H$3,1)*CEILING($H$2/$H$3,1)/CEILING($H$2/$H$3,1)</f>
        <v>6</v>
      </c>
      <c r="E998" s="28">
        <f>CEILING(C998/$H$3,1)*CEILING($H$2/$H$3,1)/CEILING(C998/$H$3,1)</f>
        <v>1</v>
      </c>
      <c r="F998" s="28">
        <f>$B$5/D998/B998*E998</f>
        <v>1.46475</v>
      </c>
    </row>
    <row r="999" spans="1:6" x14ac:dyDescent="0.4">
      <c r="A999" s="28">
        <f t="shared" si="31"/>
        <v>1283</v>
      </c>
      <c r="B999" s="28">
        <f t="shared" si="30"/>
        <v>0.15349194167306215</v>
      </c>
      <c r="C999" s="28">
        <f>A999+$E$6</f>
        <v>1305</v>
      </c>
      <c r="D999" s="28">
        <f>CEILING(C999/$H$3,1)*CEILING($H$2/$H$3,1)/CEILING($H$2/$H$3,1)</f>
        <v>6</v>
      </c>
      <c r="E999" s="28">
        <f>CEILING(C999/$H$3,1)*CEILING($H$2/$H$3,1)/CEILING(C999/$H$3,1)</f>
        <v>1</v>
      </c>
      <c r="F999" s="28">
        <f>$B$5/D999/B999*E999</f>
        <v>1.465875</v>
      </c>
    </row>
    <row r="1000" spans="1:6" x14ac:dyDescent="0.4">
      <c r="A1000" s="28">
        <f t="shared" si="31"/>
        <v>1284</v>
      </c>
      <c r="B1000" s="28">
        <f t="shared" si="30"/>
        <v>0.15337423312883436</v>
      </c>
      <c r="C1000" s="28">
        <f>A1000+$E$6</f>
        <v>1306</v>
      </c>
      <c r="D1000" s="28">
        <f>CEILING(C1000/$H$3,1)*CEILING($H$2/$H$3,1)/CEILING($H$2/$H$3,1)</f>
        <v>6</v>
      </c>
      <c r="E1000" s="28">
        <f>CEILING(C1000/$H$3,1)*CEILING($H$2/$H$3,1)/CEILING(C1000/$H$3,1)</f>
        <v>1</v>
      </c>
      <c r="F1000" s="28">
        <f>$B$5/D1000/B1000*E1000</f>
        <v>1.4670000000000001</v>
      </c>
    </row>
    <row r="1001" spans="1:6" x14ac:dyDescent="0.4">
      <c r="A1001" s="28">
        <f t="shared" si="31"/>
        <v>1285</v>
      </c>
      <c r="B1001" s="28">
        <f t="shared" si="30"/>
        <v>0.1532567049808429</v>
      </c>
      <c r="C1001" s="28">
        <f>A1001+$E$6</f>
        <v>1307</v>
      </c>
      <c r="D1001" s="28">
        <f>CEILING(C1001/$H$3,1)*CEILING($H$2/$H$3,1)/CEILING($H$2/$H$3,1)</f>
        <v>6</v>
      </c>
      <c r="E1001" s="28">
        <f>CEILING(C1001/$H$3,1)*CEILING($H$2/$H$3,1)/CEILING(C1001/$H$3,1)</f>
        <v>1</v>
      </c>
      <c r="F1001" s="28">
        <f>$B$5/D1001/B1001*E1001</f>
        <v>1.4681250000000001</v>
      </c>
    </row>
    <row r="1002" spans="1:6" x14ac:dyDescent="0.4">
      <c r="A1002" s="28">
        <f t="shared" si="31"/>
        <v>1286</v>
      </c>
      <c r="B1002" s="28">
        <f t="shared" si="30"/>
        <v>0.15313935681470137</v>
      </c>
      <c r="C1002" s="28">
        <f>A1002+$E$6</f>
        <v>1308</v>
      </c>
      <c r="D1002" s="28">
        <f>CEILING(C1002/$H$3,1)*CEILING($H$2/$H$3,1)/CEILING($H$2/$H$3,1)</f>
        <v>6</v>
      </c>
      <c r="E1002" s="28">
        <f>CEILING(C1002/$H$3,1)*CEILING($H$2/$H$3,1)/CEILING(C1002/$H$3,1)</f>
        <v>1</v>
      </c>
      <c r="F1002" s="28">
        <f>$B$5/D1002/B1002*E1002</f>
        <v>1.4692500000000002</v>
      </c>
    </row>
    <row r="1003" spans="1:6" x14ac:dyDescent="0.4">
      <c r="A1003" s="28">
        <f t="shared" si="31"/>
        <v>1287</v>
      </c>
      <c r="B1003" s="28">
        <f t="shared" si="30"/>
        <v>0.15302218821729149</v>
      </c>
      <c r="C1003" s="28">
        <f>A1003+$E$6</f>
        <v>1309</v>
      </c>
      <c r="D1003" s="28">
        <f>CEILING(C1003/$H$3,1)*CEILING($H$2/$H$3,1)/CEILING($H$2/$H$3,1)</f>
        <v>6</v>
      </c>
      <c r="E1003" s="28">
        <f>CEILING(C1003/$H$3,1)*CEILING($H$2/$H$3,1)/CEILING(C1003/$H$3,1)</f>
        <v>1</v>
      </c>
      <c r="F1003" s="28">
        <f>$B$5/D1003/B1003*E1003</f>
        <v>1.4703750000000002</v>
      </c>
    </row>
    <row r="1004" spans="1:6" x14ac:dyDescent="0.4">
      <c r="A1004" s="28">
        <f t="shared" si="31"/>
        <v>1288</v>
      </c>
      <c r="B1004" s="28">
        <f t="shared" si="30"/>
        <v>0.1529051987767584</v>
      </c>
      <c r="C1004" s="28">
        <f>A1004+$E$6</f>
        <v>1310</v>
      </c>
      <c r="D1004" s="28">
        <f>CEILING(C1004/$H$3,1)*CEILING($H$2/$H$3,1)/CEILING($H$2/$H$3,1)</f>
        <v>6</v>
      </c>
      <c r="E1004" s="28">
        <f>CEILING(C1004/$H$3,1)*CEILING($H$2/$H$3,1)/CEILING(C1004/$H$3,1)</f>
        <v>1</v>
      </c>
      <c r="F1004" s="28">
        <f>$B$5/D1004/B1004*E1004</f>
        <v>1.4715</v>
      </c>
    </row>
    <row r="1005" spans="1:6" x14ac:dyDescent="0.4">
      <c r="A1005" s="28">
        <f t="shared" si="31"/>
        <v>1289</v>
      </c>
      <c r="B1005" s="28">
        <f t="shared" si="30"/>
        <v>0.15278838808250572</v>
      </c>
      <c r="C1005" s="28">
        <f>A1005+$E$6</f>
        <v>1311</v>
      </c>
      <c r="D1005" s="28">
        <f>CEILING(C1005/$H$3,1)*CEILING($H$2/$H$3,1)/CEILING($H$2/$H$3,1)</f>
        <v>6</v>
      </c>
      <c r="E1005" s="28">
        <f>CEILING(C1005/$H$3,1)*CEILING($H$2/$H$3,1)/CEILING(C1005/$H$3,1)</f>
        <v>1</v>
      </c>
      <c r="F1005" s="28">
        <f>$B$5/D1005/B1005*E1005</f>
        <v>1.4726250000000001</v>
      </c>
    </row>
    <row r="1006" spans="1:6" x14ac:dyDescent="0.4">
      <c r="A1006" s="28">
        <f t="shared" si="31"/>
        <v>1290</v>
      </c>
      <c r="B1006" s="28">
        <f t="shared" si="30"/>
        <v>0.15267175572519084</v>
      </c>
      <c r="C1006" s="28">
        <f>A1006+$E$6</f>
        <v>1312</v>
      </c>
      <c r="D1006" s="28">
        <f>CEILING(C1006/$H$3,1)*CEILING($H$2/$H$3,1)/CEILING($H$2/$H$3,1)</f>
        <v>6</v>
      </c>
      <c r="E1006" s="28">
        <f>CEILING(C1006/$H$3,1)*CEILING($H$2/$H$3,1)/CEILING(C1006/$H$3,1)</f>
        <v>1</v>
      </c>
      <c r="F1006" s="28">
        <f>$B$5/D1006/B1006*E1006</f>
        <v>1.4737499999999999</v>
      </c>
    </row>
    <row r="1007" spans="1:6" x14ac:dyDescent="0.4">
      <c r="A1007" s="28">
        <f t="shared" si="31"/>
        <v>1291</v>
      </c>
      <c r="B1007" s="28">
        <f t="shared" si="30"/>
        <v>0.15255530129672007</v>
      </c>
      <c r="C1007" s="28">
        <f>A1007+$E$6</f>
        <v>1313</v>
      </c>
      <c r="D1007" s="28">
        <f>CEILING(C1007/$H$3,1)*CEILING($H$2/$H$3,1)/CEILING($H$2/$H$3,1)</f>
        <v>6</v>
      </c>
      <c r="E1007" s="28">
        <f>CEILING(C1007/$H$3,1)*CEILING($H$2/$H$3,1)/CEILING(C1007/$H$3,1)</f>
        <v>1</v>
      </c>
      <c r="F1007" s="28">
        <f>$B$5/D1007/B1007*E1007</f>
        <v>1.4748749999999999</v>
      </c>
    </row>
    <row r="1008" spans="1:6" x14ac:dyDescent="0.4">
      <c r="A1008" s="28">
        <f t="shared" si="31"/>
        <v>1292</v>
      </c>
      <c r="B1008" s="28">
        <f t="shared" si="30"/>
        <v>0.1524390243902439</v>
      </c>
      <c r="C1008" s="28">
        <f>A1008+$E$6</f>
        <v>1314</v>
      </c>
      <c r="D1008" s="28">
        <f>CEILING(C1008/$H$3,1)*CEILING($H$2/$H$3,1)/CEILING($H$2/$H$3,1)</f>
        <v>6</v>
      </c>
      <c r="E1008" s="28">
        <f>CEILING(C1008/$H$3,1)*CEILING($H$2/$H$3,1)/CEILING(C1008/$H$3,1)</f>
        <v>1</v>
      </c>
      <c r="F1008" s="28">
        <f>$B$5/D1008/B1008*E1008</f>
        <v>1.476</v>
      </c>
    </row>
    <row r="1009" spans="1:6" x14ac:dyDescent="0.4">
      <c r="A1009" s="28">
        <f t="shared" si="31"/>
        <v>1293</v>
      </c>
      <c r="B1009" s="28">
        <f t="shared" si="30"/>
        <v>0.15232292460015232</v>
      </c>
      <c r="C1009" s="28">
        <f>A1009+$E$6</f>
        <v>1315</v>
      </c>
      <c r="D1009" s="28">
        <f>CEILING(C1009/$H$3,1)*CEILING($H$2/$H$3,1)/CEILING($H$2/$H$3,1)</f>
        <v>6</v>
      </c>
      <c r="E1009" s="28">
        <f>CEILING(C1009/$H$3,1)*CEILING($H$2/$H$3,1)/CEILING(C1009/$H$3,1)</f>
        <v>1</v>
      </c>
      <c r="F1009" s="28">
        <f>$B$5/D1009/B1009*E1009</f>
        <v>1.477125</v>
      </c>
    </row>
    <row r="1010" spans="1:6" x14ac:dyDescent="0.4">
      <c r="A1010" s="28">
        <f t="shared" si="31"/>
        <v>1294</v>
      </c>
      <c r="B1010" s="28">
        <f t="shared" si="30"/>
        <v>0.15220700152207001</v>
      </c>
      <c r="C1010" s="28">
        <f>A1010+$E$6</f>
        <v>1316</v>
      </c>
      <c r="D1010" s="28">
        <f>CEILING(C1010/$H$3,1)*CEILING($H$2/$H$3,1)/CEILING($H$2/$H$3,1)</f>
        <v>6</v>
      </c>
      <c r="E1010" s="28">
        <f>CEILING(C1010/$H$3,1)*CEILING($H$2/$H$3,1)/CEILING(C1010/$H$3,1)</f>
        <v>1</v>
      </c>
      <c r="F1010" s="28">
        <f>$B$5/D1010/B1010*E1010</f>
        <v>1.4782500000000001</v>
      </c>
    </row>
    <row r="1011" spans="1:6" x14ac:dyDescent="0.4">
      <c r="A1011" s="28">
        <f t="shared" si="31"/>
        <v>1295</v>
      </c>
      <c r="B1011" s="28">
        <f t="shared" si="30"/>
        <v>0.15209125475285171</v>
      </c>
      <c r="C1011" s="28">
        <f>A1011+$E$6</f>
        <v>1317</v>
      </c>
      <c r="D1011" s="28">
        <f>CEILING(C1011/$H$3,1)*CEILING($H$2/$H$3,1)/CEILING($H$2/$H$3,1)</f>
        <v>6</v>
      </c>
      <c r="E1011" s="28">
        <f>CEILING(C1011/$H$3,1)*CEILING($H$2/$H$3,1)/CEILING(C1011/$H$3,1)</f>
        <v>1</v>
      </c>
      <c r="F1011" s="28">
        <f>$B$5/D1011/B1011*E1011</f>
        <v>1.4793750000000001</v>
      </c>
    </row>
    <row r="1012" spans="1:6" x14ac:dyDescent="0.4">
      <c r="A1012" s="28">
        <f t="shared" si="31"/>
        <v>1296</v>
      </c>
      <c r="B1012" s="28">
        <f t="shared" si="30"/>
        <v>0.1519756838905775</v>
      </c>
      <c r="C1012" s="28">
        <f>A1012+$E$6</f>
        <v>1318</v>
      </c>
      <c r="D1012" s="28">
        <f>CEILING(C1012/$H$3,1)*CEILING($H$2/$H$3,1)/CEILING($H$2/$H$3,1)</f>
        <v>6</v>
      </c>
      <c r="E1012" s="28">
        <f>CEILING(C1012/$H$3,1)*CEILING($H$2/$H$3,1)/CEILING(C1012/$H$3,1)</f>
        <v>1</v>
      </c>
      <c r="F1012" s="28">
        <f>$B$5/D1012/B1012*E1012</f>
        <v>1.4805000000000001</v>
      </c>
    </row>
    <row r="1013" spans="1:6" x14ac:dyDescent="0.4">
      <c r="A1013" s="28">
        <f t="shared" si="31"/>
        <v>1297</v>
      </c>
      <c r="B1013" s="28">
        <f t="shared" si="30"/>
        <v>0.15186028853454822</v>
      </c>
      <c r="C1013" s="28">
        <f>A1013+$E$6</f>
        <v>1319</v>
      </c>
      <c r="D1013" s="28">
        <f>CEILING(C1013/$H$3,1)*CEILING($H$2/$H$3,1)/CEILING($H$2/$H$3,1)</f>
        <v>6</v>
      </c>
      <c r="E1013" s="28">
        <f>CEILING(C1013/$H$3,1)*CEILING($H$2/$H$3,1)/CEILING(C1013/$H$3,1)</f>
        <v>1</v>
      </c>
      <c r="F1013" s="28">
        <f>$B$5/D1013/B1013*E1013</f>
        <v>1.481625</v>
      </c>
    </row>
    <row r="1014" spans="1:6" x14ac:dyDescent="0.4">
      <c r="A1014" s="28">
        <f t="shared" si="31"/>
        <v>1298</v>
      </c>
      <c r="B1014" s="28">
        <f t="shared" si="30"/>
        <v>0.15174506828528073</v>
      </c>
      <c r="C1014" s="28">
        <f>A1014+$E$6</f>
        <v>1320</v>
      </c>
      <c r="D1014" s="28">
        <f>CEILING(C1014/$H$3,1)*CEILING($H$2/$H$3,1)/CEILING($H$2/$H$3,1)</f>
        <v>6</v>
      </c>
      <c r="E1014" s="28">
        <f>CEILING(C1014/$H$3,1)*CEILING($H$2/$H$3,1)/CEILING(C1014/$H$3,1)</f>
        <v>1</v>
      </c>
      <c r="F1014" s="28">
        <f>$B$5/D1014/B1014*E1014</f>
        <v>1.48275</v>
      </c>
    </row>
    <row r="1015" spans="1:6" x14ac:dyDescent="0.4">
      <c r="A1015" s="28">
        <f t="shared" si="31"/>
        <v>1299</v>
      </c>
      <c r="B1015" s="28">
        <f t="shared" si="30"/>
        <v>0.15163002274450341</v>
      </c>
      <c r="C1015" s="28">
        <f>A1015+$E$6</f>
        <v>1321</v>
      </c>
      <c r="D1015" s="28">
        <f>CEILING(C1015/$H$3,1)*CEILING($H$2/$H$3,1)/CEILING($H$2/$H$3,1)</f>
        <v>6</v>
      </c>
      <c r="E1015" s="28">
        <f>CEILING(C1015/$H$3,1)*CEILING($H$2/$H$3,1)/CEILING(C1015/$H$3,1)</f>
        <v>1</v>
      </c>
      <c r="F1015" s="28">
        <f>$B$5/D1015/B1015*E1015</f>
        <v>1.4838750000000001</v>
      </c>
    </row>
    <row r="1016" spans="1:6" x14ac:dyDescent="0.4">
      <c r="A1016" s="28">
        <f t="shared" si="31"/>
        <v>1300</v>
      </c>
      <c r="B1016" s="28">
        <f t="shared" si="30"/>
        <v>0.15151515151515152</v>
      </c>
      <c r="C1016" s="28">
        <f>A1016+$E$6</f>
        <v>1322</v>
      </c>
      <c r="D1016" s="28">
        <f>CEILING(C1016/$H$3,1)*CEILING($H$2/$H$3,1)/CEILING($H$2/$H$3,1)</f>
        <v>6</v>
      </c>
      <c r="E1016" s="28">
        <f>CEILING(C1016/$H$3,1)*CEILING($H$2/$H$3,1)/CEILING(C1016/$H$3,1)</f>
        <v>1</v>
      </c>
      <c r="F1016" s="28">
        <f>$B$5/D1016/B1016*E1016</f>
        <v>1.4850000000000001</v>
      </c>
    </row>
    <row r="1017" spans="1:6" x14ac:dyDescent="0.4">
      <c r="A1017" s="28">
        <f t="shared" si="31"/>
        <v>1301</v>
      </c>
      <c r="B1017" s="28">
        <f t="shared" si="30"/>
        <v>0.15140045420136261</v>
      </c>
      <c r="C1017" s="28">
        <f>A1017+$E$6</f>
        <v>1323</v>
      </c>
      <c r="D1017" s="28">
        <f>CEILING(C1017/$H$3,1)*CEILING($H$2/$H$3,1)/CEILING($H$2/$H$3,1)</f>
        <v>6</v>
      </c>
      <c r="E1017" s="28">
        <f>CEILING(C1017/$H$3,1)*CEILING($H$2/$H$3,1)/CEILING(C1017/$H$3,1)</f>
        <v>1</v>
      </c>
      <c r="F1017" s="28">
        <f>$B$5/D1017/B1017*E1017</f>
        <v>1.4861249999999999</v>
      </c>
    </row>
    <row r="1018" spans="1:6" x14ac:dyDescent="0.4">
      <c r="A1018" s="28">
        <f t="shared" si="31"/>
        <v>1302</v>
      </c>
      <c r="B1018" s="28">
        <f t="shared" si="30"/>
        <v>0.15128593040847202</v>
      </c>
      <c r="C1018" s="28">
        <f>A1018+$E$6</f>
        <v>1324</v>
      </c>
      <c r="D1018" s="28">
        <f>CEILING(C1018/$H$3,1)*CEILING($H$2/$H$3,1)/CEILING($H$2/$H$3,1)</f>
        <v>6</v>
      </c>
      <c r="E1018" s="28">
        <f>CEILING(C1018/$H$3,1)*CEILING($H$2/$H$3,1)/CEILING(C1018/$H$3,1)</f>
        <v>1</v>
      </c>
      <c r="F1018" s="28">
        <f>$B$5/D1018/B1018*E1018</f>
        <v>1.48725</v>
      </c>
    </row>
    <row r="1019" spans="1:6" x14ac:dyDescent="0.4">
      <c r="A1019" s="28">
        <f t="shared" si="31"/>
        <v>1303</v>
      </c>
      <c r="B1019" s="28">
        <f t="shared" si="30"/>
        <v>0.15117157974300832</v>
      </c>
      <c r="C1019" s="28">
        <f>A1019+$E$6</f>
        <v>1325</v>
      </c>
      <c r="D1019" s="28">
        <f>CEILING(C1019/$H$3,1)*CEILING($H$2/$H$3,1)/CEILING($H$2/$H$3,1)</f>
        <v>6</v>
      </c>
      <c r="E1019" s="28">
        <f>CEILING(C1019/$H$3,1)*CEILING($H$2/$H$3,1)/CEILING(C1019/$H$3,1)</f>
        <v>1</v>
      </c>
      <c r="F1019" s="28">
        <f>$B$5/D1019/B1019*E1019</f>
        <v>1.488375</v>
      </c>
    </row>
    <row r="1020" spans="1:6" x14ac:dyDescent="0.4">
      <c r="A1020" s="28">
        <f t="shared" si="31"/>
        <v>1304</v>
      </c>
      <c r="B1020" s="28">
        <f t="shared" si="30"/>
        <v>0.15105740181268881</v>
      </c>
      <c r="C1020" s="28">
        <f>A1020+$E$6</f>
        <v>1326</v>
      </c>
      <c r="D1020" s="28">
        <f>CEILING(C1020/$H$3,1)*CEILING($H$2/$H$3,1)/CEILING($H$2/$H$3,1)</f>
        <v>6</v>
      </c>
      <c r="E1020" s="28">
        <f>CEILING(C1020/$H$3,1)*CEILING($H$2/$H$3,1)/CEILING(C1020/$H$3,1)</f>
        <v>1</v>
      </c>
      <c r="F1020" s="28">
        <f>$B$5/D1020/B1020*E1020</f>
        <v>1.4895</v>
      </c>
    </row>
    <row r="1021" spans="1:6" x14ac:dyDescent="0.4">
      <c r="A1021" s="28">
        <f t="shared" si="31"/>
        <v>1305</v>
      </c>
      <c r="B1021" s="28">
        <f t="shared" si="30"/>
        <v>0.15094339622641509</v>
      </c>
      <c r="C1021" s="28">
        <f>A1021+$E$6</f>
        <v>1327</v>
      </c>
      <c r="D1021" s="28">
        <f>CEILING(C1021/$H$3,1)*CEILING($H$2/$H$3,1)/CEILING($H$2/$H$3,1)</f>
        <v>6</v>
      </c>
      <c r="E1021" s="28">
        <f>CEILING(C1021/$H$3,1)*CEILING($H$2/$H$3,1)/CEILING(C1021/$H$3,1)</f>
        <v>1</v>
      </c>
      <c r="F1021" s="28">
        <f>$B$5/D1021/B1021*E1021</f>
        <v>1.4906250000000001</v>
      </c>
    </row>
    <row r="1022" spans="1:6" x14ac:dyDescent="0.4">
      <c r="A1022" s="28">
        <f t="shared" si="31"/>
        <v>1306</v>
      </c>
      <c r="B1022" s="28">
        <f t="shared" si="30"/>
        <v>0.15082956259426847</v>
      </c>
      <c r="C1022" s="28">
        <f>A1022+$E$6</f>
        <v>1328</v>
      </c>
      <c r="D1022" s="28">
        <f>CEILING(C1022/$H$3,1)*CEILING($H$2/$H$3,1)/CEILING($H$2/$H$3,1)</f>
        <v>6</v>
      </c>
      <c r="E1022" s="28">
        <f>CEILING(C1022/$H$3,1)*CEILING($H$2/$H$3,1)/CEILING(C1022/$H$3,1)</f>
        <v>1</v>
      </c>
      <c r="F1022" s="28">
        <f>$B$5/D1022/B1022*E1022</f>
        <v>1.4917500000000001</v>
      </c>
    </row>
    <row r="1023" spans="1:6" x14ac:dyDescent="0.4">
      <c r="A1023" s="28">
        <f t="shared" si="31"/>
        <v>1307</v>
      </c>
      <c r="B1023" s="28">
        <f t="shared" si="30"/>
        <v>0.15071590052750566</v>
      </c>
      <c r="C1023" s="28">
        <f>A1023+$E$6</f>
        <v>1329</v>
      </c>
      <c r="D1023" s="28">
        <f>CEILING(C1023/$H$3,1)*CEILING($H$2/$H$3,1)/CEILING($H$2/$H$3,1)</f>
        <v>6</v>
      </c>
      <c r="E1023" s="28">
        <f>CEILING(C1023/$H$3,1)*CEILING($H$2/$H$3,1)/CEILING(C1023/$H$3,1)</f>
        <v>1</v>
      </c>
      <c r="F1023" s="28">
        <f>$B$5/D1023/B1023*E1023</f>
        <v>1.492875</v>
      </c>
    </row>
    <row r="1024" spans="1:6" x14ac:dyDescent="0.4">
      <c r="A1024" s="28">
        <f t="shared" si="31"/>
        <v>1308</v>
      </c>
      <c r="B1024" s="28">
        <f t="shared" si="30"/>
        <v>0.15060240963855423</v>
      </c>
      <c r="C1024" s="28">
        <f>A1024+$E$6</f>
        <v>1330</v>
      </c>
      <c r="D1024" s="28">
        <f>CEILING(C1024/$H$3,1)*CEILING($H$2/$H$3,1)/CEILING($H$2/$H$3,1)</f>
        <v>6</v>
      </c>
      <c r="E1024" s="28">
        <f>CEILING(C1024/$H$3,1)*CEILING($H$2/$H$3,1)/CEILING(C1024/$H$3,1)</f>
        <v>1</v>
      </c>
      <c r="F1024" s="28">
        <f>$B$5/D1024/B1024*E1024</f>
        <v>1.494</v>
      </c>
    </row>
    <row r="1025" spans="1:6" x14ac:dyDescent="0.4">
      <c r="A1025" s="28">
        <f t="shared" si="31"/>
        <v>1309</v>
      </c>
      <c r="B1025" s="28">
        <f t="shared" si="30"/>
        <v>0.15048908954100829</v>
      </c>
      <c r="C1025" s="28">
        <f>A1025+$E$6</f>
        <v>1331</v>
      </c>
      <c r="D1025" s="28">
        <f>CEILING(C1025/$H$3,1)*CEILING($H$2/$H$3,1)/CEILING($H$2/$H$3,1)</f>
        <v>6</v>
      </c>
      <c r="E1025" s="28">
        <f>CEILING(C1025/$H$3,1)*CEILING($H$2/$H$3,1)/CEILING(C1025/$H$3,1)</f>
        <v>1</v>
      </c>
      <c r="F1025" s="28">
        <f>$B$5/D1025/B1025*E1025</f>
        <v>1.495125</v>
      </c>
    </row>
    <row r="1026" spans="1:6" x14ac:dyDescent="0.4">
      <c r="A1026" s="28">
        <f t="shared" si="31"/>
        <v>1310</v>
      </c>
      <c r="B1026" s="28">
        <f t="shared" si="30"/>
        <v>0.15037593984962405</v>
      </c>
      <c r="C1026" s="28">
        <f>A1026+$E$6</f>
        <v>1332</v>
      </c>
      <c r="D1026" s="28">
        <f>CEILING(C1026/$H$3,1)*CEILING($H$2/$H$3,1)/CEILING($H$2/$H$3,1)</f>
        <v>6</v>
      </c>
      <c r="E1026" s="28">
        <f>CEILING(C1026/$H$3,1)*CEILING($H$2/$H$3,1)/CEILING(C1026/$H$3,1)</f>
        <v>1</v>
      </c>
      <c r="F1026" s="28">
        <f>$B$5/D1026/B1026*E1026</f>
        <v>1.4962500000000001</v>
      </c>
    </row>
    <row r="1027" spans="1:6" x14ac:dyDescent="0.4">
      <c r="A1027" s="28">
        <f t="shared" si="31"/>
        <v>1311</v>
      </c>
      <c r="B1027" s="28">
        <f t="shared" si="30"/>
        <v>0.15026296018031554</v>
      </c>
      <c r="C1027" s="28">
        <f>A1027+$E$6</f>
        <v>1333</v>
      </c>
      <c r="D1027" s="28">
        <f>CEILING(C1027/$H$3,1)*CEILING($H$2/$H$3,1)/CEILING($H$2/$H$3,1)</f>
        <v>6</v>
      </c>
      <c r="E1027" s="28">
        <f>CEILING(C1027/$H$3,1)*CEILING($H$2/$H$3,1)/CEILING(C1027/$H$3,1)</f>
        <v>1</v>
      </c>
      <c r="F1027" s="28">
        <f>$B$5/D1027/B1027*E1027</f>
        <v>1.4973750000000001</v>
      </c>
    </row>
    <row r="1028" spans="1:6" x14ac:dyDescent="0.4">
      <c r="A1028" s="28">
        <f t="shared" si="31"/>
        <v>1312</v>
      </c>
      <c r="B1028" s="28">
        <f t="shared" si="30"/>
        <v>0.15015015015015015</v>
      </c>
      <c r="C1028" s="28">
        <f>A1028+$E$6</f>
        <v>1334</v>
      </c>
      <c r="D1028" s="28">
        <f>CEILING(C1028/$H$3,1)*CEILING($H$2/$H$3,1)/CEILING($H$2/$H$3,1)</f>
        <v>6</v>
      </c>
      <c r="E1028" s="28">
        <f>CEILING(C1028/$H$3,1)*CEILING($H$2/$H$3,1)/CEILING(C1028/$H$3,1)</f>
        <v>1</v>
      </c>
      <c r="F1028" s="28">
        <f>$B$5/D1028/B1028*E1028</f>
        <v>1.4984999999999999</v>
      </c>
    </row>
    <row r="1029" spans="1:6" x14ac:dyDescent="0.4">
      <c r="A1029" s="28">
        <f t="shared" si="31"/>
        <v>1313</v>
      </c>
      <c r="B1029" s="28">
        <f t="shared" si="30"/>
        <v>0.15003750937734434</v>
      </c>
      <c r="C1029" s="28">
        <f>A1029+$E$6</f>
        <v>1335</v>
      </c>
      <c r="D1029" s="28">
        <f>CEILING(C1029/$H$3,1)*CEILING($H$2/$H$3,1)/CEILING($H$2/$H$3,1)</f>
        <v>6</v>
      </c>
      <c r="E1029" s="28">
        <f>CEILING(C1029/$H$3,1)*CEILING($H$2/$H$3,1)/CEILING(C1029/$H$3,1)</f>
        <v>1</v>
      </c>
      <c r="F1029" s="28">
        <f>$B$5/D1029/B1029*E1029</f>
        <v>1.499625</v>
      </c>
    </row>
    <row r="1030" spans="1:6" x14ac:dyDescent="0.4">
      <c r="A1030" s="28">
        <f t="shared" si="31"/>
        <v>1314</v>
      </c>
      <c r="B1030" s="28">
        <f t="shared" si="30"/>
        <v>0.14992503748125938</v>
      </c>
      <c r="C1030" s="28">
        <f>A1030+$E$6</f>
        <v>1336</v>
      </c>
      <c r="D1030" s="28">
        <f>CEILING(C1030/$H$3,1)*CEILING($H$2/$H$3,1)/CEILING($H$2/$H$3,1)</f>
        <v>6</v>
      </c>
      <c r="E1030" s="28">
        <f>CEILING(C1030/$H$3,1)*CEILING($H$2/$H$3,1)/CEILING(C1030/$H$3,1)</f>
        <v>1</v>
      </c>
      <c r="F1030" s="28">
        <f>$B$5/D1030/B1030*E1030</f>
        <v>1.50075</v>
      </c>
    </row>
    <row r="1031" spans="1:6" x14ac:dyDescent="0.4">
      <c r="A1031" s="28">
        <f t="shared" si="31"/>
        <v>1315</v>
      </c>
      <c r="B1031" s="28">
        <f t="shared" si="30"/>
        <v>0.14981273408239701</v>
      </c>
      <c r="C1031" s="28">
        <f>A1031+$E$6</f>
        <v>1337</v>
      </c>
      <c r="D1031" s="28">
        <f>CEILING(C1031/$H$3,1)*CEILING($H$2/$H$3,1)/CEILING($H$2/$H$3,1)</f>
        <v>6</v>
      </c>
      <c r="E1031" s="28">
        <f>CEILING(C1031/$H$3,1)*CEILING($H$2/$H$3,1)/CEILING(C1031/$H$3,1)</f>
        <v>1</v>
      </c>
      <c r="F1031" s="28">
        <f>$B$5/D1031/B1031*E1031</f>
        <v>1.5018750000000001</v>
      </c>
    </row>
    <row r="1032" spans="1:6" x14ac:dyDescent="0.4">
      <c r="A1032" s="28">
        <f t="shared" si="31"/>
        <v>1316</v>
      </c>
      <c r="B1032" s="28">
        <f t="shared" si="30"/>
        <v>0.1497005988023952</v>
      </c>
      <c r="C1032" s="28">
        <f>A1032+$E$6</f>
        <v>1338</v>
      </c>
      <c r="D1032" s="28">
        <f>CEILING(C1032/$H$3,1)*CEILING($H$2/$H$3,1)/CEILING($H$2/$H$3,1)</f>
        <v>6</v>
      </c>
      <c r="E1032" s="28">
        <f>CEILING(C1032/$H$3,1)*CEILING($H$2/$H$3,1)/CEILING(C1032/$H$3,1)</f>
        <v>1</v>
      </c>
      <c r="F1032" s="28">
        <f>$B$5/D1032/B1032*E1032</f>
        <v>1.5030000000000001</v>
      </c>
    </row>
    <row r="1033" spans="1:6" x14ac:dyDescent="0.4">
      <c r="A1033" s="28">
        <f t="shared" si="31"/>
        <v>1317</v>
      </c>
      <c r="B1033" s="28">
        <f t="shared" si="30"/>
        <v>0.14958863126402394</v>
      </c>
      <c r="C1033" s="28">
        <f>A1033+$E$6</f>
        <v>1339</v>
      </c>
      <c r="D1033" s="28">
        <f>CEILING(C1033/$H$3,1)*CEILING($H$2/$H$3,1)/CEILING($H$2/$H$3,1)</f>
        <v>6</v>
      </c>
      <c r="E1033" s="28">
        <f>CEILING(C1033/$H$3,1)*CEILING($H$2/$H$3,1)/CEILING(C1033/$H$3,1)</f>
        <v>1</v>
      </c>
      <c r="F1033" s="28">
        <f>$B$5/D1033/B1033*E1033</f>
        <v>1.5041249999999999</v>
      </c>
    </row>
    <row r="1034" spans="1:6" x14ac:dyDescent="0.4">
      <c r="A1034" s="28">
        <f t="shared" si="31"/>
        <v>1318</v>
      </c>
      <c r="B1034" s="28">
        <f t="shared" si="30"/>
        <v>0.14947683109118087</v>
      </c>
      <c r="C1034" s="28">
        <f>A1034+$E$6</f>
        <v>1340</v>
      </c>
      <c r="D1034" s="28">
        <f>CEILING(C1034/$H$3,1)*CEILING($H$2/$H$3,1)/CEILING($H$2/$H$3,1)</f>
        <v>6</v>
      </c>
      <c r="E1034" s="28">
        <f>CEILING(C1034/$H$3,1)*CEILING($H$2/$H$3,1)/CEILING(C1034/$H$3,1)</f>
        <v>1</v>
      </c>
      <c r="F1034" s="28">
        <f>$B$5/D1034/B1034*E1034</f>
        <v>1.50525</v>
      </c>
    </row>
    <row r="1035" spans="1:6" x14ac:dyDescent="0.4">
      <c r="A1035" s="28">
        <f t="shared" si="31"/>
        <v>1319</v>
      </c>
      <c r="B1035" s="28">
        <f t="shared" ref="B1035:B1098" si="32">$B$4/8/(A1035+$B$2)</f>
        <v>0.14936519790888722</v>
      </c>
      <c r="C1035" s="28">
        <f>A1035+$E$6</f>
        <v>1341</v>
      </c>
      <c r="D1035" s="28">
        <f>CEILING(C1035/$H$3,1)*CEILING($H$2/$H$3,1)/CEILING($H$2/$H$3,1)</f>
        <v>6</v>
      </c>
      <c r="E1035" s="28">
        <f>CEILING(C1035/$H$3,1)*CEILING($H$2/$H$3,1)/CEILING(C1035/$H$3,1)</f>
        <v>1</v>
      </c>
      <c r="F1035" s="28">
        <f>$B$5/D1035/B1035*E1035</f>
        <v>1.506375</v>
      </c>
    </row>
    <row r="1036" spans="1:6" x14ac:dyDescent="0.4">
      <c r="A1036" s="28">
        <f t="shared" si="31"/>
        <v>1320</v>
      </c>
      <c r="B1036" s="28">
        <f t="shared" si="32"/>
        <v>0.14925373134328357</v>
      </c>
      <c r="C1036" s="28">
        <f>A1036+$E$6</f>
        <v>1342</v>
      </c>
      <c r="D1036" s="28">
        <f>CEILING(C1036/$H$3,1)*CEILING($H$2/$H$3,1)/CEILING($H$2/$H$3,1)</f>
        <v>6</v>
      </c>
      <c r="E1036" s="28">
        <f>CEILING(C1036/$H$3,1)*CEILING($H$2/$H$3,1)/CEILING(C1036/$H$3,1)</f>
        <v>1</v>
      </c>
      <c r="F1036" s="28">
        <f>$B$5/D1036/B1036*E1036</f>
        <v>1.5075000000000001</v>
      </c>
    </row>
    <row r="1037" spans="1:6" x14ac:dyDescent="0.4">
      <c r="A1037" s="28">
        <f t="shared" ref="A1037:A1100" si="33">A1036+$B$3</f>
        <v>1321</v>
      </c>
      <c r="B1037" s="28">
        <f t="shared" si="32"/>
        <v>0.14914243102162567</v>
      </c>
      <c r="C1037" s="28">
        <f>A1037+$E$6</f>
        <v>1343</v>
      </c>
      <c r="D1037" s="28">
        <f>CEILING(C1037/$H$3,1)*CEILING($H$2/$H$3,1)/CEILING($H$2/$H$3,1)</f>
        <v>6</v>
      </c>
      <c r="E1037" s="28">
        <f>CEILING(C1037/$H$3,1)*CEILING($H$2/$H$3,1)/CEILING(C1037/$H$3,1)</f>
        <v>1</v>
      </c>
      <c r="F1037" s="28">
        <f>$B$5/D1037/B1037*E1037</f>
        <v>1.5086249999999999</v>
      </c>
    </row>
    <row r="1038" spans="1:6" x14ac:dyDescent="0.4">
      <c r="A1038" s="28">
        <f t="shared" si="33"/>
        <v>1322</v>
      </c>
      <c r="B1038" s="28">
        <f t="shared" si="32"/>
        <v>0.14903129657228018</v>
      </c>
      <c r="C1038" s="28">
        <f>A1038+$E$6</f>
        <v>1344</v>
      </c>
      <c r="D1038" s="28">
        <f>CEILING(C1038/$H$3,1)*CEILING($H$2/$H$3,1)/CEILING($H$2/$H$3,1)</f>
        <v>6</v>
      </c>
      <c r="E1038" s="28">
        <f>CEILING(C1038/$H$3,1)*CEILING($H$2/$H$3,1)/CEILING(C1038/$H$3,1)</f>
        <v>1</v>
      </c>
      <c r="F1038" s="28">
        <f>$B$5/D1038/B1038*E1038</f>
        <v>1.5097500000000001</v>
      </c>
    </row>
    <row r="1039" spans="1:6" x14ac:dyDescent="0.4">
      <c r="A1039" s="28">
        <f t="shared" si="33"/>
        <v>1323</v>
      </c>
      <c r="B1039" s="28">
        <f t="shared" si="32"/>
        <v>0.14892032762472077</v>
      </c>
      <c r="C1039" s="28">
        <f>A1039+$E$6</f>
        <v>1345</v>
      </c>
      <c r="D1039" s="28">
        <f>CEILING(C1039/$H$3,1)*CEILING($H$2/$H$3,1)/CEILING($H$2/$H$3,1)</f>
        <v>6</v>
      </c>
      <c r="E1039" s="28">
        <f>CEILING(C1039/$H$3,1)*CEILING($H$2/$H$3,1)/CEILING(C1039/$H$3,1)</f>
        <v>1</v>
      </c>
      <c r="F1039" s="28">
        <f>$B$5/D1039/B1039*E1039</f>
        <v>1.5108750000000002</v>
      </c>
    </row>
    <row r="1040" spans="1:6" x14ac:dyDescent="0.4">
      <c r="A1040" s="28">
        <f t="shared" si="33"/>
        <v>1324</v>
      </c>
      <c r="B1040" s="28">
        <f t="shared" si="32"/>
        <v>0.14880952380952381</v>
      </c>
      <c r="C1040" s="28">
        <f>A1040+$E$6</f>
        <v>1346</v>
      </c>
      <c r="D1040" s="28">
        <f>CEILING(C1040/$H$3,1)*CEILING($H$2/$H$3,1)/CEILING($H$2/$H$3,1)</f>
        <v>6</v>
      </c>
      <c r="E1040" s="28">
        <f>CEILING(C1040/$H$3,1)*CEILING($H$2/$H$3,1)/CEILING(C1040/$H$3,1)</f>
        <v>1</v>
      </c>
      <c r="F1040" s="28">
        <f>$B$5/D1040/B1040*E1040</f>
        <v>1.512</v>
      </c>
    </row>
    <row r="1041" spans="1:6" x14ac:dyDescent="0.4">
      <c r="A1041" s="28">
        <f t="shared" si="33"/>
        <v>1325</v>
      </c>
      <c r="B1041" s="28">
        <f t="shared" si="32"/>
        <v>0.14869888475836432</v>
      </c>
      <c r="C1041" s="28">
        <f>A1041+$E$6</f>
        <v>1347</v>
      </c>
      <c r="D1041" s="28">
        <f>CEILING(C1041/$H$3,1)*CEILING($H$2/$H$3,1)/CEILING($H$2/$H$3,1)</f>
        <v>6</v>
      </c>
      <c r="E1041" s="28">
        <f>CEILING(C1041/$H$3,1)*CEILING($H$2/$H$3,1)/CEILING(C1041/$H$3,1)</f>
        <v>1</v>
      </c>
      <c r="F1041" s="28">
        <f>$B$5/D1041/B1041*E1041</f>
        <v>1.5131250000000001</v>
      </c>
    </row>
    <row r="1042" spans="1:6" x14ac:dyDescent="0.4">
      <c r="A1042" s="28">
        <f t="shared" si="33"/>
        <v>1326</v>
      </c>
      <c r="B1042" s="28">
        <f t="shared" si="32"/>
        <v>0.14858841010401189</v>
      </c>
      <c r="C1042" s="28">
        <f>A1042+$E$6</f>
        <v>1348</v>
      </c>
      <c r="D1042" s="28">
        <f>CEILING(C1042/$H$3,1)*CEILING($H$2/$H$3,1)/CEILING($H$2/$H$3,1)</f>
        <v>6</v>
      </c>
      <c r="E1042" s="28">
        <f>CEILING(C1042/$H$3,1)*CEILING($H$2/$H$3,1)/CEILING(C1042/$H$3,1)</f>
        <v>1</v>
      </c>
      <c r="F1042" s="28">
        <f>$B$5/D1042/B1042*E1042</f>
        <v>1.5142500000000001</v>
      </c>
    </row>
    <row r="1043" spans="1:6" x14ac:dyDescent="0.4">
      <c r="A1043" s="28">
        <f t="shared" si="33"/>
        <v>1327</v>
      </c>
      <c r="B1043" s="28">
        <f t="shared" si="32"/>
        <v>0.14847809948032664</v>
      </c>
      <c r="C1043" s="28">
        <f>A1043+$E$6</f>
        <v>1349</v>
      </c>
      <c r="D1043" s="28">
        <f>CEILING(C1043/$H$3,1)*CEILING($H$2/$H$3,1)/CEILING($H$2/$H$3,1)</f>
        <v>6</v>
      </c>
      <c r="E1043" s="28">
        <f>CEILING(C1043/$H$3,1)*CEILING($H$2/$H$3,1)/CEILING(C1043/$H$3,1)</f>
        <v>1</v>
      </c>
      <c r="F1043" s="28">
        <f>$B$5/D1043/B1043*E1043</f>
        <v>1.5153750000000001</v>
      </c>
    </row>
    <row r="1044" spans="1:6" x14ac:dyDescent="0.4">
      <c r="A1044" s="28">
        <f t="shared" si="33"/>
        <v>1328</v>
      </c>
      <c r="B1044" s="28">
        <f t="shared" si="32"/>
        <v>0.14836795252225518</v>
      </c>
      <c r="C1044" s="28">
        <f>A1044+$E$6</f>
        <v>1350</v>
      </c>
      <c r="D1044" s="28">
        <f>CEILING(C1044/$H$3,1)*CEILING($H$2/$H$3,1)/CEILING($H$2/$H$3,1)</f>
        <v>6</v>
      </c>
      <c r="E1044" s="28">
        <f>CEILING(C1044/$H$3,1)*CEILING($H$2/$H$3,1)/CEILING(C1044/$H$3,1)</f>
        <v>1</v>
      </c>
      <c r="F1044" s="28">
        <f>$B$5/D1044/B1044*E1044</f>
        <v>1.5165000000000002</v>
      </c>
    </row>
    <row r="1045" spans="1:6" x14ac:dyDescent="0.4">
      <c r="A1045" s="28">
        <f t="shared" si="33"/>
        <v>1329</v>
      </c>
      <c r="B1045" s="28">
        <f t="shared" si="32"/>
        <v>0.14825796886582654</v>
      </c>
      <c r="C1045" s="28">
        <f>A1045+$E$6</f>
        <v>1351</v>
      </c>
      <c r="D1045" s="28">
        <f>CEILING(C1045/$H$3,1)*CEILING($H$2/$H$3,1)/CEILING($H$2/$H$3,1)</f>
        <v>6</v>
      </c>
      <c r="E1045" s="28">
        <f>CEILING(C1045/$H$3,1)*CEILING($H$2/$H$3,1)/CEILING(C1045/$H$3,1)</f>
        <v>1</v>
      </c>
      <c r="F1045" s="28">
        <f>$B$5/D1045/B1045*E1045</f>
        <v>1.517625</v>
      </c>
    </row>
    <row r="1046" spans="1:6" x14ac:dyDescent="0.4">
      <c r="A1046" s="28">
        <f t="shared" si="33"/>
        <v>1330</v>
      </c>
      <c r="B1046" s="28">
        <f t="shared" si="32"/>
        <v>0.14814814814814814</v>
      </c>
      <c r="C1046" s="28">
        <f>A1046+$E$6</f>
        <v>1352</v>
      </c>
      <c r="D1046" s="28">
        <f>CEILING(C1046/$H$3,1)*CEILING($H$2/$H$3,1)/CEILING($H$2/$H$3,1)</f>
        <v>6</v>
      </c>
      <c r="E1046" s="28">
        <f>CEILING(C1046/$H$3,1)*CEILING($H$2/$H$3,1)/CEILING(C1046/$H$3,1)</f>
        <v>1</v>
      </c>
      <c r="F1046" s="28">
        <f>$B$5/D1046/B1046*E1046</f>
        <v>1.51875</v>
      </c>
    </row>
    <row r="1047" spans="1:6" x14ac:dyDescent="0.4">
      <c r="A1047" s="28">
        <f t="shared" si="33"/>
        <v>1331</v>
      </c>
      <c r="B1047" s="28">
        <f t="shared" si="32"/>
        <v>0.14803849000740193</v>
      </c>
      <c r="C1047" s="28">
        <f>A1047+$E$6</f>
        <v>1353</v>
      </c>
      <c r="D1047" s="28">
        <f>CEILING(C1047/$H$3,1)*CEILING($H$2/$H$3,1)/CEILING($H$2/$H$3,1)</f>
        <v>6</v>
      </c>
      <c r="E1047" s="28">
        <f>CEILING(C1047/$H$3,1)*CEILING($H$2/$H$3,1)/CEILING(C1047/$H$3,1)</f>
        <v>1</v>
      </c>
      <c r="F1047" s="28">
        <f>$B$5/D1047/B1047*E1047</f>
        <v>1.5198749999999999</v>
      </c>
    </row>
    <row r="1048" spans="1:6" x14ac:dyDescent="0.4">
      <c r="A1048" s="28">
        <f t="shared" si="33"/>
        <v>1332</v>
      </c>
      <c r="B1048" s="28">
        <f t="shared" si="32"/>
        <v>0.14792899408284024</v>
      </c>
      <c r="C1048" s="28">
        <f>A1048+$E$6</f>
        <v>1354</v>
      </c>
      <c r="D1048" s="28">
        <f>CEILING(C1048/$H$3,1)*CEILING($H$2/$H$3,1)/CEILING($H$2/$H$3,1)</f>
        <v>6</v>
      </c>
      <c r="E1048" s="28">
        <f>CEILING(C1048/$H$3,1)*CEILING($H$2/$H$3,1)/CEILING(C1048/$H$3,1)</f>
        <v>1</v>
      </c>
      <c r="F1048" s="28">
        <f>$B$5/D1048/B1048*E1048</f>
        <v>1.5209999999999999</v>
      </c>
    </row>
    <row r="1049" spans="1:6" x14ac:dyDescent="0.4">
      <c r="A1049" s="28">
        <f t="shared" si="33"/>
        <v>1333</v>
      </c>
      <c r="B1049" s="28">
        <f t="shared" si="32"/>
        <v>0.14781966001478197</v>
      </c>
      <c r="C1049" s="28">
        <f>A1049+$E$6</f>
        <v>1355</v>
      </c>
      <c r="D1049" s="28">
        <f>CEILING(C1049/$H$3,1)*CEILING($H$2/$H$3,1)/CEILING($H$2/$H$3,1)</f>
        <v>6</v>
      </c>
      <c r="E1049" s="28">
        <f>CEILING(C1049/$H$3,1)*CEILING($H$2/$H$3,1)/CEILING(C1049/$H$3,1)</f>
        <v>1</v>
      </c>
      <c r="F1049" s="28">
        <f>$B$5/D1049/B1049*E1049</f>
        <v>1.522125</v>
      </c>
    </row>
    <row r="1050" spans="1:6" x14ac:dyDescent="0.4">
      <c r="A1050" s="28">
        <f t="shared" si="33"/>
        <v>1334</v>
      </c>
      <c r="B1050" s="28">
        <f t="shared" si="32"/>
        <v>0.14771048744460857</v>
      </c>
      <c r="C1050" s="28">
        <f>A1050+$E$6</f>
        <v>1356</v>
      </c>
      <c r="D1050" s="28">
        <f>CEILING(C1050/$H$3,1)*CEILING($H$2/$H$3,1)/CEILING($H$2/$H$3,1)</f>
        <v>6</v>
      </c>
      <c r="E1050" s="28">
        <f>CEILING(C1050/$H$3,1)*CEILING($H$2/$H$3,1)/CEILING(C1050/$H$3,1)</f>
        <v>1</v>
      </c>
      <c r="F1050" s="28">
        <f>$B$5/D1050/B1050*E1050</f>
        <v>1.52325</v>
      </c>
    </row>
    <row r="1051" spans="1:6" x14ac:dyDescent="0.4">
      <c r="A1051" s="28">
        <f t="shared" si="33"/>
        <v>1335</v>
      </c>
      <c r="B1051" s="28">
        <f t="shared" si="32"/>
        <v>0.14760147601476015</v>
      </c>
      <c r="C1051" s="28">
        <f>A1051+$E$6</f>
        <v>1357</v>
      </c>
      <c r="D1051" s="28">
        <f>CEILING(C1051/$H$3,1)*CEILING($H$2/$H$3,1)/CEILING($H$2/$H$3,1)</f>
        <v>6</v>
      </c>
      <c r="E1051" s="28">
        <f>CEILING(C1051/$H$3,1)*CEILING($H$2/$H$3,1)/CEILING(C1051/$H$3,1)</f>
        <v>1</v>
      </c>
      <c r="F1051" s="28">
        <f>$B$5/D1051/B1051*E1051</f>
        <v>1.524375</v>
      </c>
    </row>
    <row r="1052" spans="1:6" x14ac:dyDescent="0.4">
      <c r="A1052" s="28">
        <f t="shared" si="33"/>
        <v>1336</v>
      </c>
      <c r="B1052" s="28">
        <f t="shared" si="32"/>
        <v>0.14749262536873156</v>
      </c>
      <c r="C1052" s="28">
        <f>A1052+$E$6</f>
        <v>1358</v>
      </c>
      <c r="D1052" s="28">
        <f>CEILING(C1052/$H$3,1)*CEILING($H$2/$H$3,1)/CEILING($H$2/$H$3,1)</f>
        <v>6</v>
      </c>
      <c r="E1052" s="28">
        <f>CEILING(C1052/$H$3,1)*CEILING($H$2/$H$3,1)/CEILING(C1052/$H$3,1)</f>
        <v>1</v>
      </c>
      <c r="F1052" s="28">
        <f>$B$5/D1052/B1052*E1052</f>
        <v>1.5255000000000001</v>
      </c>
    </row>
    <row r="1053" spans="1:6" x14ac:dyDescent="0.4">
      <c r="A1053" s="28">
        <f t="shared" si="33"/>
        <v>1337</v>
      </c>
      <c r="B1053" s="28">
        <f t="shared" si="32"/>
        <v>0.14738393515106854</v>
      </c>
      <c r="C1053" s="28">
        <f>A1053+$E$6</f>
        <v>1359</v>
      </c>
      <c r="D1053" s="28">
        <f>CEILING(C1053/$H$3,1)*CEILING($H$2/$H$3,1)/CEILING($H$2/$H$3,1)</f>
        <v>6</v>
      </c>
      <c r="E1053" s="28">
        <f>CEILING(C1053/$H$3,1)*CEILING($H$2/$H$3,1)/CEILING(C1053/$H$3,1)</f>
        <v>1</v>
      </c>
      <c r="F1053" s="28">
        <f>$B$5/D1053/B1053*E1053</f>
        <v>1.5266249999999999</v>
      </c>
    </row>
    <row r="1054" spans="1:6" x14ac:dyDescent="0.4">
      <c r="A1054" s="28">
        <f t="shared" si="33"/>
        <v>1338</v>
      </c>
      <c r="B1054" s="28">
        <f t="shared" si="32"/>
        <v>0.14727540500736377</v>
      </c>
      <c r="C1054" s="28">
        <f>A1054+$E$6</f>
        <v>1360</v>
      </c>
      <c r="D1054" s="28">
        <f>CEILING(C1054/$H$3,1)*CEILING($H$2/$H$3,1)/CEILING($H$2/$H$3,1)</f>
        <v>6</v>
      </c>
      <c r="E1054" s="28">
        <f>CEILING(C1054/$H$3,1)*CEILING($H$2/$H$3,1)/CEILING(C1054/$H$3,1)</f>
        <v>1</v>
      </c>
      <c r="F1054" s="28">
        <f>$B$5/D1054/B1054*E1054</f>
        <v>1.5277499999999999</v>
      </c>
    </row>
    <row r="1055" spans="1:6" x14ac:dyDescent="0.4">
      <c r="A1055" s="28">
        <f t="shared" si="33"/>
        <v>1339</v>
      </c>
      <c r="B1055" s="28">
        <f t="shared" si="32"/>
        <v>0.14716703458425312</v>
      </c>
      <c r="C1055" s="28">
        <f>A1055+$E$6</f>
        <v>1361</v>
      </c>
      <c r="D1055" s="28">
        <f>CEILING(C1055/$H$3,1)*CEILING($H$2/$H$3,1)/CEILING($H$2/$H$3,1)</f>
        <v>6</v>
      </c>
      <c r="E1055" s="28">
        <f>CEILING(C1055/$H$3,1)*CEILING($H$2/$H$3,1)/CEILING(C1055/$H$3,1)</f>
        <v>1</v>
      </c>
      <c r="F1055" s="28">
        <f>$B$5/D1055/B1055*E1055</f>
        <v>1.5288750000000002</v>
      </c>
    </row>
    <row r="1056" spans="1:6" x14ac:dyDescent="0.4">
      <c r="A1056" s="28">
        <f t="shared" si="33"/>
        <v>1340</v>
      </c>
      <c r="B1056" s="28">
        <f t="shared" si="32"/>
        <v>0.14705882352941177</v>
      </c>
      <c r="C1056" s="28">
        <f>A1056+$E$6</f>
        <v>1362</v>
      </c>
      <c r="D1056" s="28">
        <f>CEILING(C1056/$H$3,1)*CEILING($H$2/$H$3,1)/CEILING($H$2/$H$3,1)</f>
        <v>6</v>
      </c>
      <c r="E1056" s="28">
        <f>CEILING(C1056/$H$3,1)*CEILING($H$2/$H$3,1)/CEILING(C1056/$H$3,1)</f>
        <v>1</v>
      </c>
      <c r="F1056" s="28">
        <f>$B$5/D1056/B1056*E1056</f>
        <v>1.53</v>
      </c>
    </row>
    <row r="1057" spans="1:6" x14ac:dyDescent="0.4">
      <c r="A1057" s="28">
        <f t="shared" si="33"/>
        <v>1341</v>
      </c>
      <c r="B1057" s="28">
        <f t="shared" si="32"/>
        <v>0.14695077149155034</v>
      </c>
      <c r="C1057" s="28">
        <f>A1057+$E$6</f>
        <v>1363</v>
      </c>
      <c r="D1057" s="28">
        <f>CEILING(C1057/$H$3,1)*CEILING($H$2/$H$3,1)/CEILING($H$2/$H$3,1)</f>
        <v>6</v>
      </c>
      <c r="E1057" s="28">
        <f>CEILING(C1057/$H$3,1)*CEILING($H$2/$H$3,1)/CEILING(C1057/$H$3,1)</f>
        <v>1</v>
      </c>
      <c r="F1057" s="28">
        <f>$B$5/D1057/B1057*E1057</f>
        <v>1.5311250000000001</v>
      </c>
    </row>
    <row r="1058" spans="1:6" x14ac:dyDescent="0.4">
      <c r="A1058" s="28">
        <f t="shared" si="33"/>
        <v>1342</v>
      </c>
      <c r="B1058" s="28">
        <f t="shared" si="32"/>
        <v>0.14684287812041116</v>
      </c>
      <c r="C1058" s="28">
        <f>A1058+$E$6</f>
        <v>1364</v>
      </c>
      <c r="D1058" s="28">
        <f>CEILING(C1058/$H$3,1)*CEILING($H$2/$H$3,1)/CEILING($H$2/$H$3,1)</f>
        <v>6</v>
      </c>
      <c r="E1058" s="28">
        <f>CEILING(C1058/$H$3,1)*CEILING($H$2/$H$3,1)/CEILING(C1058/$H$3,1)</f>
        <v>1</v>
      </c>
      <c r="F1058" s="28">
        <f>$B$5/D1058/B1058*E1058</f>
        <v>1.5322500000000001</v>
      </c>
    </row>
    <row r="1059" spans="1:6" x14ac:dyDescent="0.4">
      <c r="A1059" s="28">
        <f t="shared" si="33"/>
        <v>1343</v>
      </c>
      <c r="B1059" s="28">
        <f t="shared" si="32"/>
        <v>0.1467351430667645</v>
      </c>
      <c r="C1059" s="28">
        <f>A1059+$E$6</f>
        <v>1365</v>
      </c>
      <c r="D1059" s="28">
        <f>CEILING(C1059/$H$3,1)*CEILING($H$2/$H$3,1)/CEILING($H$2/$H$3,1)</f>
        <v>6</v>
      </c>
      <c r="E1059" s="28">
        <f>CEILING(C1059/$H$3,1)*CEILING($H$2/$H$3,1)/CEILING(C1059/$H$3,1)</f>
        <v>1</v>
      </c>
      <c r="F1059" s="28">
        <f>$B$5/D1059/B1059*E1059</f>
        <v>1.5333749999999999</v>
      </c>
    </row>
    <row r="1060" spans="1:6" x14ac:dyDescent="0.4">
      <c r="A1060" s="28">
        <f t="shared" si="33"/>
        <v>1344</v>
      </c>
      <c r="B1060" s="28">
        <f t="shared" si="32"/>
        <v>0.1466275659824047</v>
      </c>
      <c r="C1060" s="28">
        <f>A1060+$E$6</f>
        <v>1366</v>
      </c>
      <c r="D1060" s="28">
        <f>CEILING(C1060/$H$3,1)*CEILING($H$2/$H$3,1)/CEILING($H$2/$H$3,1)</f>
        <v>6</v>
      </c>
      <c r="E1060" s="28">
        <f>CEILING(C1060/$H$3,1)*CEILING($H$2/$H$3,1)/CEILING(C1060/$H$3,1)</f>
        <v>1</v>
      </c>
      <c r="F1060" s="28">
        <f>$B$5/D1060/B1060*E1060</f>
        <v>1.5345</v>
      </c>
    </row>
    <row r="1061" spans="1:6" x14ac:dyDescent="0.4">
      <c r="A1061" s="28">
        <f t="shared" si="33"/>
        <v>1345</v>
      </c>
      <c r="B1061" s="28">
        <f t="shared" si="32"/>
        <v>0.14652014652014653</v>
      </c>
      <c r="C1061" s="28">
        <f>A1061+$E$6</f>
        <v>1367</v>
      </c>
      <c r="D1061" s="28">
        <f>CEILING(C1061/$H$3,1)*CEILING($H$2/$H$3,1)/CEILING($H$2/$H$3,1)</f>
        <v>6</v>
      </c>
      <c r="E1061" s="28">
        <f>CEILING(C1061/$H$3,1)*CEILING($H$2/$H$3,1)/CEILING(C1061/$H$3,1)</f>
        <v>1</v>
      </c>
      <c r="F1061" s="28">
        <f>$B$5/D1061/B1061*E1061</f>
        <v>1.535625</v>
      </c>
    </row>
    <row r="1062" spans="1:6" x14ac:dyDescent="0.4">
      <c r="A1062" s="28">
        <f t="shared" si="33"/>
        <v>1346</v>
      </c>
      <c r="B1062" s="28">
        <f t="shared" si="32"/>
        <v>0.14641288433382138</v>
      </c>
      <c r="C1062" s="28">
        <f>A1062+$E$6</f>
        <v>1368</v>
      </c>
      <c r="D1062" s="28">
        <f>CEILING(C1062/$H$3,1)*CEILING($H$2/$H$3,1)/CEILING($H$2/$H$3,1)</f>
        <v>6</v>
      </c>
      <c r="E1062" s="28">
        <f>CEILING(C1062/$H$3,1)*CEILING($H$2/$H$3,1)/CEILING(C1062/$H$3,1)</f>
        <v>1</v>
      </c>
      <c r="F1062" s="28">
        <f>$B$5/D1062/B1062*E1062</f>
        <v>1.5367500000000001</v>
      </c>
    </row>
    <row r="1063" spans="1:6" x14ac:dyDescent="0.4">
      <c r="A1063" s="28">
        <f t="shared" si="33"/>
        <v>1347</v>
      </c>
      <c r="B1063" s="28">
        <f t="shared" si="32"/>
        <v>0.14630577907827358</v>
      </c>
      <c r="C1063" s="28">
        <f>A1063+$E$6</f>
        <v>1369</v>
      </c>
      <c r="D1063" s="28">
        <f>CEILING(C1063/$H$3,1)*CEILING($H$2/$H$3,1)/CEILING($H$2/$H$3,1)</f>
        <v>6</v>
      </c>
      <c r="E1063" s="28">
        <f>CEILING(C1063/$H$3,1)*CEILING($H$2/$H$3,1)/CEILING(C1063/$H$3,1)</f>
        <v>1</v>
      </c>
      <c r="F1063" s="28">
        <f>$B$5/D1063/B1063*E1063</f>
        <v>1.5378750000000001</v>
      </c>
    </row>
    <row r="1064" spans="1:6" x14ac:dyDescent="0.4">
      <c r="A1064" s="28">
        <f t="shared" si="33"/>
        <v>1348</v>
      </c>
      <c r="B1064" s="28">
        <f t="shared" si="32"/>
        <v>0.14619883040935672</v>
      </c>
      <c r="C1064" s="28">
        <f>A1064+$E$6</f>
        <v>1370</v>
      </c>
      <c r="D1064" s="28">
        <f>CEILING(C1064/$H$3,1)*CEILING($H$2/$H$3,1)/CEILING($H$2/$H$3,1)</f>
        <v>6</v>
      </c>
      <c r="E1064" s="28">
        <f>CEILING(C1064/$H$3,1)*CEILING($H$2/$H$3,1)/CEILING(C1064/$H$3,1)</f>
        <v>1</v>
      </c>
      <c r="F1064" s="28">
        <f>$B$5/D1064/B1064*E1064</f>
        <v>1.5390000000000001</v>
      </c>
    </row>
    <row r="1065" spans="1:6" x14ac:dyDescent="0.4">
      <c r="A1065" s="28">
        <f t="shared" si="33"/>
        <v>1349</v>
      </c>
      <c r="B1065" s="28">
        <f t="shared" si="32"/>
        <v>0.14609203798392986</v>
      </c>
      <c r="C1065" s="28">
        <f>A1065+$E$6</f>
        <v>1371</v>
      </c>
      <c r="D1065" s="28">
        <f>CEILING(C1065/$H$3,1)*CEILING($H$2/$H$3,1)/CEILING($H$2/$H$3,1)</f>
        <v>6</v>
      </c>
      <c r="E1065" s="28">
        <f>CEILING(C1065/$H$3,1)*CEILING($H$2/$H$3,1)/CEILING(C1065/$H$3,1)</f>
        <v>1</v>
      </c>
      <c r="F1065" s="28">
        <f>$B$5/D1065/B1065*E1065</f>
        <v>1.5401250000000002</v>
      </c>
    </row>
    <row r="1066" spans="1:6" x14ac:dyDescent="0.4">
      <c r="A1066" s="28">
        <f t="shared" si="33"/>
        <v>1350</v>
      </c>
      <c r="B1066" s="28">
        <f t="shared" si="32"/>
        <v>0.145985401459854</v>
      </c>
      <c r="C1066" s="28">
        <f>A1066+$E$6</f>
        <v>1372</v>
      </c>
      <c r="D1066" s="28">
        <f>CEILING(C1066/$H$3,1)*CEILING($H$2/$H$3,1)/CEILING($H$2/$H$3,1)</f>
        <v>6</v>
      </c>
      <c r="E1066" s="28">
        <f>CEILING(C1066/$H$3,1)*CEILING($H$2/$H$3,1)/CEILING(C1066/$H$3,1)</f>
        <v>1</v>
      </c>
      <c r="F1066" s="28">
        <f>$B$5/D1066/B1066*E1066</f>
        <v>1.5412500000000002</v>
      </c>
    </row>
    <row r="1067" spans="1:6" x14ac:dyDescent="0.4">
      <c r="A1067" s="28">
        <f t="shared" si="33"/>
        <v>1351</v>
      </c>
      <c r="B1067" s="28">
        <f t="shared" si="32"/>
        <v>0.14587892049598833</v>
      </c>
      <c r="C1067" s="28">
        <f>A1067+$E$6</f>
        <v>1373</v>
      </c>
      <c r="D1067" s="28">
        <f>CEILING(C1067/$H$3,1)*CEILING($H$2/$H$3,1)/CEILING($H$2/$H$3,1)</f>
        <v>6</v>
      </c>
      <c r="E1067" s="28">
        <f>CEILING(C1067/$H$3,1)*CEILING($H$2/$H$3,1)/CEILING(C1067/$H$3,1)</f>
        <v>1</v>
      </c>
      <c r="F1067" s="28">
        <f>$B$5/D1067/B1067*E1067</f>
        <v>1.5423750000000001</v>
      </c>
    </row>
    <row r="1068" spans="1:6" x14ac:dyDescent="0.4">
      <c r="A1068" s="28">
        <f t="shared" si="33"/>
        <v>1352</v>
      </c>
      <c r="B1068" s="28">
        <f t="shared" si="32"/>
        <v>0.1457725947521866</v>
      </c>
      <c r="C1068" s="28">
        <f>A1068+$E$6</f>
        <v>1374</v>
      </c>
      <c r="D1068" s="28">
        <f>CEILING(C1068/$H$3,1)*CEILING($H$2/$H$3,1)/CEILING($H$2/$H$3,1)</f>
        <v>6</v>
      </c>
      <c r="E1068" s="28">
        <f>CEILING(C1068/$H$3,1)*CEILING($H$2/$H$3,1)/CEILING(C1068/$H$3,1)</f>
        <v>1</v>
      </c>
      <c r="F1068" s="28">
        <f>$B$5/D1068/B1068*E1068</f>
        <v>1.5434999999999999</v>
      </c>
    </row>
    <row r="1069" spans="1:6" x14ac:dyDescent="0.4">
      <c r="A1069" s="28">
        <f t="shared" si="33"/>
        <v>1353</v>
      </c>
      <c r="B1069" s="28">
        <f t="shared" si="32"/>
        <v>0.14566642388929352</v>
      </c>
      <c r="C1069" s="28">
        <f>A1069+$E$6</f>
        <v>1375</v>
      </c>
      <c r="D1069" s="28">
        <f>CEILING(C1069/$H$3,1)*CEILING($H$2/$H$3,1)/CEILING($H$2/$H$3,1)</f>
        <v>6</v>
      </c>
      <c r="E1069" s="28">
        <f>CEILING(C1069/$H$3,1)*CEILING($H$2/$H$3,1)/CEILING(C1069/$H$3,1)</f>
        <v>1</v>
      </c>
      <c r="F1069" s="28">
        <f>$B$5/D1069/B1069*E1069</f>
        <v>1.5446250000000001</v>
      </c>
    </row>
    <row r="1070" spans="1:6" x14ac:dyDescent="0.4">
      <c r="A1070" s="28">
        <f t="shared" si="33"/>
        <v>1354</v>
      </c>
      <c r="B1070" s="28">
        <f t="shared" si="32"/>
        <v>0.14556040756914118</v>
      </c>
      <c r="C1070" s="28">
        <f>A1070+$E$6</f>
        <v>1376</v>
      </c>
      <c r="D1070" s="28">
        <f>CEILING(C1070/$H$3,1)*CEILING($H$2/$H$3,1)/CEILING($H$2/$H$3,1)</f>
        <v>6</v>
      </c>
      <c r="E1070" s="28">
        <f>CEILING(C1070/$H$3,1)*CEILING($H$2/$H$3,1)/CEILING(C1070/$H$3,1)</f>
        <v>1</v>
      </c>
      <c r="F1070" s="28">
        <f>$B$5/D1070/B1070*E1070</f>
        <v>1.5457500000000002</v>
      </c>
    </row>
    <row r="1071" spans="1:6" x14ac:dyDescent="0.4">
      <c r="A1071" s="28">
        <f t="shared" si="33"/>
        <v>1355</v>
      </c>
      <c r="B1071" s="28">
        <f t="shared" si="32"/>
        <v>0.14545454545454545</v>
      </c>
      <c r="C1071" s="28">
        <f>A1071+$E$6</f>
        <v>1377</v>
      </c>
      <c r="D1071" s="28">
        <f>CEILING(C1071/$H$3,1)*CEILING($H$2/$H$3,1)/CEILING($H$2/$H$3,1)</f>
        <v>6</v>
      </c>
      <c r="E1071" s="28">
        <f>CEILING(C1071/$H$3,1)*CEILING($H$2/$H$3,1)/CEILING(C1071/$H$3,1)</f>
        <v>1</v>
      </c>
      <c r="F1071" s="28">
        <f>$B$5/D1071/B1071*E1071</f>
        <v>1.5468750000000002</v>
      </c>
    </row>
    <row r="1072" spans="1:6" x14ac:dyDescent="0.4">
      <c r="A1072" s="28">
        <f t="shared" si="33"/>
        <v>1356</v>
      </c>
      <c r="B1072" s="28">
        <f t="shared" si="32"/>
        <v>0.14534883720930233</v>
      </c>
      <c r="C1072" s="28">
        <f>A1072+$E$6</f>
        <v>1378</v>
      </c>
      <c r="D1072" s="28">
        <f>CEILING(C1072/$H$3,1)*CEILING($H$2/$H$3,1)/CEILING($H$2/$H$3,1)</f>
        <v>6</v>
      </c>
      <c r="E1072" s="28">
        <f>CEILING(C1072/$H$3,1)*CEILING($H$2/$H$3,1)/CEILING(C1072/$H$3,1)</f>
        <v>1</v>
      </c>
      <c r="F1072" s="28">
        <f>$B$5/D1072/B1072*E1072</f>
        <v>1.548</v>
      </c>
    </row>
    <row r="1073" spans="1:6" x14ac:dyDescent="0.4">
      <c r="A1073" s="28">
        <f t="shared" si="33"/>
        <v>1357</v>
      </c>
      <c r="B1073" s="28">
        <f t="shared" si="32"/>
        <v>0.14524328249818447</v>
      </c>
      <c r="C1073" s="28">
        <f>A1073+$E$6</f>
        <v>1379</v>
      </c>
      <c r="D1073" s="28">
        <f>CEILING(C1073/$H$3,1)*CEILING($H$2/$H$3,1)/CEILING($H$2/$H$3,1)</f>
        <v>6</v>
      </c>
      <c r="E1073" s="28">
        <f>CEILING(C1073/$H$3,1)*CEILING($H$2/$H$3,1)/CEILING(C1073/$H$3,1)</f>
        <v>1</v>
      </c>
      <c r="F1073" s="28">
        <f>$B$5/D1073/B1073*E1073</f>
        <v>1.5491249999999999</v>
      </c>
    </row>
    <row r="1074" spans="1:6" x14ac:dyDescent="0.4">
      <c r="A1074" s="28">
        <f t="shared" si="33"/>
        <v>1358</v>
      </c>
      <c r="B1074" s="28">
        <f t="shared" si="32"/>
        <v>0.14513788098693758</v>
      </c>
      <c r="C1074" s="28">
        <f>A1074+$E$6</f>
        <v>1380</v>
      </c>
      <c r="D1074" s="28">
        <f>CEILING(C1074/$H$3,1)*CEILING($H$2/$H$3,1)/CEILING($H$2/$H$3,1)</f>
        <v>6</v>
      </c>
      <c r="E1074" s="28">
        <f>CEILING(C1074/$H$3,1)*CEILING($H$2/$H$3,1)/CEILING(C1074/$H$3,1)</f>
        <v>1</v>
      </c>
      <c r="F1074" s="28">
        <f>$B$5/D1074/B1074*E1074</f>
        <v>1.5502500000000001</v>
      </c>
    </row>
    <row r="1075" spans="1:6" x14ac:dyDescent="0.4">
      <c r="A1075" s="28">
        <f t="shared" si="33"/>
        <v>1359</v>
      </c>
      <c r="B1075" s="28">
        <f t="shared" si="32"/>
        <v>0.14503263234227701</v>
      </c>
      <c r="C1075" s="28">
        <f>A1075+$E$6</f>
        <v>1381</v>
      </c>
      <c r="D1075" s="28">
        <f>CEILING(C1075/$H$3,1)*CEILING($H$2/$H$3,1)/CEILING($H$2/$H$3,1)</f>
        <v>6</v>
      </c>
      <c r="E1075" s="28">
        <f>CEILING(C1075/$H$3,1)*CEILING($H$2/$H$3,1)/CEILING(C1075/$H$3,1)</f>
        <v>1</v>
      </c>
      <c r="F1075" s="28">
        <f>$B$5/D1075/B1075*E1075</f>
        <v>1.5513750000000002</v>
      </c>
    </row>
    <row r="1076" spans="1:6" x14ac:dyDescent="0.4">
      <c r="A1076" s="28">
        <f t="shared" si="33"/>
        <v>1360</v>
      </c>
      <c r="B1076" s="28">
        <f t="shared" si="32"/>
        <v>0.14492753623188406</v>
      </c>
      <c r="C1076" s="28">
        <f>A1076+$E$6</f>
        <v>1382</v>
      </c>
      <c r="D1076" s="28">
        <f>CEILING(C1076/$H$3,1)*CEILING($H$2/$H$3,1)/CEILING($H$2/$H$3,1)</f>
        <v>6</v>
      </c>
      <c r="E1076" s="28">
        <f>CEILING(C1076/$H$3,1)*CEILING($H$2/$H$3,1)/CEILING(C1076/$H$3,1)</f>
        <v>1</v>
      </c>
      <c r="F1076" s="28">
        <f>$B$5/D1076/B1076*E1076</f>
        <v>1.5525</v>
      </c>
    </row>
    <row r="1077" spans="1:6" x14ac:dyDescent="0.4">
      <c r="A1077" s="28">
        <f t="shared" si="33"/>
        <v>1361</v>
      </c>
      <c r="B1077" s="28">
        <f t="shared" si="32"/>
        <v>0.14482259232440262</v>
      </c>
      <c r="C1077" s="28">
        <f>A1077+$E$6</f>
        <v>1383</v>
      </c>
      <c r="D1077" s="28">
        <f>CEILING(C1077/$H$3,1)*CEILING($H$2/$H$3,1)/CEILING($H$2/$H$3,1)</f>
        <v>6</v>
      </c>
      <c r="E1077" s="28">
        <f>CEILING(C1077/$H$3,1)*CEILING($H$2/$H$3,1)/CEILING(C1077/$H$3,1)</f>
        <v>1</v>
      </c>
      <c r="F1077" s="28">
        <f>$B$5/D1077/B1077*E1077</f>
        <v>1.553625</v>
      </c>
    </row>
    <row r="1078" spans="1:6" x14ac:dyDescent="0.4">
      <c r="A1078" s="28">
        <f t="shared" si="33"/>
        <v>1362</v>
      </c>
      <c r="B1078" s="28">
        <f t="shared" si="32"/>
        <v>0.14471780028943559</v>
      </c>
      <c r="C1078" s="28">
        <f>A1078+$E$6</f>
        <v>1384</v>
      </c>
      <c r="D1078" s="28">
        <f>CEILING(C1078/$H$3,1)*CEILING($H$2/$H$3,1)/CEILING($H$2/$H$3,1)</f>
        <v>6</v>
      </c>
      <c r="E1078" s="28">
        <f>CEILING(C1078/$H$3,1)*CEILING($H$2/$H$3,1)/CEILING(C1078/$H$3,1)</f>
        <v>1</v>
      </c>
      <c r="F1078" s="28">
        <f>$B$5/D1078/B1078*E1078</f>
        <v>1.5547500000000001</v>
      </c>
    </row>
    <row r="1079" spans="1:6" x14ac:dyDescent="0.4">
      <c r="A1079" s="28">
        <f t="shared" si="33"/>
        <v>1363</v>
      </c>
      <c r="B1079" s="28">
        <f t="shared" si="32"/>
        <v>0.14461315979754158</v>
      </c>
      <c r="C1079" s="28">
        <f>A1079+$E$6</f>
        <v>1385</v>
      </c>
      <c r="D1079" s="28">
        <f>CEILING(C1079/$H$3,1)*CEILING($H$2/$H$3,1)/CEILING($H$2/$H$3,1)</f>
        <v>6</v>
      </c>
      <c r="E1079" s="28">
        <f>CEILING(C1079/$H$3,1)*CEILING($H$2/$H$3,1)/CEILING(C1079/$H$3,1)</f>
        <v>1</v>
      </c>
      <c r="F1079" s="28">
        <f>$B$5/D1079/B1079*E1079</f>
        <v>1.5558749999999999</v>
      </c>
    </row>
    <row r="1080" spans="1:6" x14ac:dyDescent="0.4">
      <c r="A1080" s="28">
        <f t="shared" si="33"/>
        <v>1364</v>
      </c>
      <c r="B1080" s="28">
        <f t="shared" si="32"/>
        <v>0.14450867052023122</v>
      </c>
      <c r="C1080" s="28">
        <f>A1080+$E$6</f>
        <v>1386</v>
      </c>
      <c r="D1080" s="28">
        <f>CEILING(C1080/$H$3,1)*CEILING($H$2/$H$3,1)/CEILING($H$2/$H$3,1)</f>
        <v>6</v>
      </c>
      <c r="E1080" s="28">
        <f>CEILING(C1080/$H$3,1)*CEILING($H$2/$H$3,1)/CEILING(C1080/$H$3,1)</f>
        <v>1</v>
      </c>
      <c r="F1080" s="28">
        <f>$B$5/D1080/B1080*E1080</f>
        <v>1.5569999999999999</v>
      </c>
    </row>
    <row r="1081" spans="1:6" x14ac:dyDescent="0.4">
      <c r="A1081" s="28">
        <f t="shared" si="33"/>
        <v>1365</v>
      </c>
      <c r="B1081" s="28">
        <f t="shared" si="32"/>
        <v>0.1444043321299639</v>
      </c>
      <c r="C1081" s="28">
        <f>A1081+$E$6</f>
        <v>1387</v>
      </c>
      <c r="D1081" s="28">
        <f>CEILING(C1081/$H$3,1)*CEILING($H$2/$H$3,1)/CEILING($H$2/$H$3,1)</f>
        <v>6</v>
      </c>
      <c r="E1081" s="28">
        <f>CEILING(C1081/$H$3,1)*CEILING($H$2/$H$3,1)/CEILING(C1081/$H$3,1)</f>
        <v>1</v>
      </c>
      <c r="F1081" s="28">
        <f>$B$5/D1081/B1081*E1081</f>
        <v>1.558125</v>
      </c>
    </row>
    <row r="1082" spans="1:6" x14ac:dyDescent="0.4">
      <c r="A1082" s="28">
        <f t="shared" si="33"/>
        <v>1366</v>
      </c>
      <c r="B1082" s="28">
        <f t="shared" si="32"/>
        <v>0.14430014430014429</v>
      </c>
      <c r="C1082" s="28">
        <f>A1082+$E$6</f>
        <v>1388</v>
      </c>
      <c r="D1082" s="28">
        <f>CEILING(C1082/$H$3,1)*CEILING($H$2/$H$3,1)/CEILING($H$2/$H$3,1)</f>
        <v>6</v>
      </c>
      <c r="E1082" s="28">
        <f>CEILING(C1082/$H$3,1)*CEILING($H$2/$H$3,1)/CEILING(C1082/$H$3,1)</f>
        <v>1</v>
      </c>
      <c r="F1082" s="28">
        <f>$B$5/D1082/B1082*E1082</f>
        <v>1.5592500000000002</v>
      </c>
    </row>
    <row r="1083" spans="1:6" x14ac:dyDescent="0.4">
      <c r="A1083" s="28">
        <f t="shared" si="33"/>
        <v>1367</v>
      </c>
      <c r="B1083" s="28">
        <f t="shared" si="32"/>
        <v>0.14419610670511895</v>
      </c>
      <c r="C1083" s="28">
        <f>A1083+$E$6</f>
        <v>1389</v>
      </c>
      <c r="D1083" s="28">
        <f>CEILING(C1083/$H$3,1)*CEILING($H$2/$H$3,1)/CEILING($H$2/$H$3,1)</f>
        <v>6</v>
      </c>
      <c r="E1083" s="28">
        <f>CEILING(C1083/$H$3,1)*CEILING($H$2/$H$3,1)/CEILING(C1083/$H$3,1)</f>
        <v>1</v>
      </c>
      <c r="F1083" s="28">
        <f>$B$5/D1083/B1083*E1083</f>
        <v>1.5603750000000001</v>
      </c>
    </row>
    <row r="1084" spans="1:6" x14ac:dyDescent="0.4">
      <c r="A1084" s="28">
        <f t="shared" si="33"/>
        <v>1368</v>
      </c>
      <c r="B1084" s="28">
        <f t="shared" si="32"/>
        <v>0.14409221902017291</v>
      </c>
      <c r="C1084" s="28">
        <f>A1084+$E$6</f>
        <v>1390</v>
      </c>
      <c r="D1084" s="28">
        <f>CEILING(C1084/$H$3,1)*CEILING($H$2/$H$3,1)/CEILING($H$2/$H$3,1)</f>
        <v>6</v>
      </c>
      <c r="E1084" s="28">
        <f>CEILING(C1084/$H$3,1)*CEILING($H$2/$H$3,1)/CEILING(C1084/$H$3,1)</f>
        <v>1</v>
      </c>
      <c r="F1084" s="28">
        <f>$B$5/D1084/B1084*E1084</f>
        <v>1.5615000000000001</v>
      </c>
    </row>
    <row r="1085" spans="1:6" x14ac:dyDescent="0.4">
      <c r="A1085" s="28">
        <f t="shared" si="33"/>
        <v>1369</v>
      </c>
      <c r="B1085" s="28">
        <f t="shared" si="32"/>
        <v>0.14398848092152627</v>
      </c>
      <c r="C1085" s="28">
        <f>A1085+$E$6</f>
        <v>1391</v>
      </c>
      <c r="D1085" s="28">
        <f>CEILING(C1085/$H$3,1)*CEILING($H$2/$H$3,1)/CEILING($H$2/$H$3,1)</f>
        <v>6</v>
      </c>
      <c r="E1085" s="28">
        <f>CEILING(C1085/$H$3,1)*CEILING($H$2/$H$3,1)/CEILING(C1085/$H$3,1)</f>
        <v>1</v>
      </c>
      <c r="F1085" s="28">
        <f>$B$5/D1085/B1085*E1085</f>
        <v>1.5626250000000002</v>
      </c>
    </row>
    <row r="1086" spans="1:6" x14ac:dyDescent="0.4">
      <c r="A1086" s="28">
        <f t="shared" si="33"/>
        <v>1370</v>
      </c>
      <c r="B1086" s="28">
        <f t="shared" si="32"/>
        <v>0.14388489208633093</v>
      </c>
      <c r="C1086" s="28">
        <f>A1086+$E$6</f>
        <v>1392</v>
      </c>
      <c r="D1086" s="28">
        <f>CEILING(C1086/$H$3,1)*CEILING($H$2/$H$3,1)/CEILING($H$2/$H$3,1)</f>
        <v>6</v>
      </c>
      <c r="E1086" s="28">
        <f>CEILING(C1086/$H$3,1)*CEILING($H$2/$H$3,1)/CEILING(C1086/$H$3,1)</f>
        <v>1</v>
      </c>
      <c r="F1086" s="28">
        <f>$B$5/D1086/B1086*E1086</f>
        <v>1.5637500000000002</v>
      </c>
    </row>
    <row r="1087" spans="1:6" x14ac:dyDescent="0.4">
      <c r="A1087" s="28">
        <f t="shared" si="33"/>
        <v>1371</v>
      </c>
      <c r="B1087" s="28">
        <f t="shared" si="32"/>
        <v>0.14378145219266714</v>
      </c>
      <c r="C1087" s="28">
        <f>A1087+$E$6</f>
        <v>1393</v>
      </c>
      <c r="D1087" s="28">
        <f>CEILING(C1087/$H$3,1)*CEILING($H$2/$H$3,1)/CEILING($H$2/$H$3,1)</f>
        <v>6</v>
      </c>
      <c r="E1087" s="28">
        <f>CEILING(C1087/$H$3,1)*CEILING($H$2/$H$3,1)/CEILING(C1087/$H$3,1)</f>
        <v>1</v>
      </c>
      <c r="F1087" s="28">
        <f>$B$5/D1087/B1087*E1087</f>
        <v>1.5648750000000002</v>
      </c>
    </row>
    <row r="1088" spans="1:6" x14ac:dyDescent="0.4">
      <c r="A1088" s="28">
        <f t="shared" si="33"/>
        <v>1372</v>
      </c>
      <c r="B1088" s="28">
        <f t="shared" si="32"/>
        <v>0.14367816091954022</v>
      </c>
      <c r="C1088" s="28">
        <f>A1088+$E$6</f>
        <v>1394</v>
      </c>
      <c r="D1088" s="28">
        <f>CEILING(C1088/$H$3,1)*CEILING($H$2/$H$3,1)/CEILING($H$2/$H$3,1)</f>
        <v>6</v>
      </c>
      <c r="E1088" s="28">
        <f>CEILING(C1088/$H$3,1)*CEILING($H$2/$H$3,1)/CEILING(C1088/$H$3,1)</f>
        <v>1</v>
      </c>
      <c r="F1088" s="28">
        <f>$B$5/D1088/B1088*E1088</f>
        <v>1.5660000000000001</v>
      </c>
    </row>
    <row r="1089" spans="1:6" x14ac:dyDescent="0.4">
      <c r="A1089" s="28">
        <f t="shared" si="33"/>
        <v>1373</v>
      </c>
      <c r="B1089" s="28">
        <f t="shared" si="32"/>
        <v>0.14357501794687724</v>
      </c>
      <c r="C1089" s="28">
        <f>A1089+$E$6</f>
        <v>1395</v>
      </c>
      <c r="D1089" s="28">
        <f>CEILING(C1089/$H$3,1)*CEILING($H$2/$H$3,1)/CEILING($H$2/$H$3,1)</f>
        <v>6</v>
      </c>
      <c r="E1089" s="28">
        <f>CEILING(C1089/$H$3,1)*CEILING($H$2/$H$3,1)/CEILING(C1089/$H$3,1)</f>
        <v>1</v>
      </c>
      <c r="F1089" s="28">
        <f>$B$5/D1089/B1089*E1089</f>
        <v>1.5671250000000001</v>
      </c>
    </row>
    <row r="1090" spans="1:6" x14ac:dyDescent="0.4">
      <c r="A1090" s="28">
        <f t="shared" si="33"/>
        <v>1374</v>
      </c>
      <c r="B1090" s="28">
        <f t="shared" si="32"/>
        <v>0.14347202295552366</v>
      </c>
      <c r="C1090" s="28">
        <f>A1090+$E$6</f>
        <v>1396</v>
      </c>
      <c r="D1090" s="28">
        <f>CEILING(C1090/$H$3,1)*CEILING($H$2/$H$3,1)/CEILING($H$2/$H$3,1)</f>
        <v>6</v>
      </c>
      <c r="E1090" s="28">
        <f>CEILING(C1090/$H$3,1)*CEILING($H$2/$H$3,1)/CEILING(C1090/$H$3,1)</f>
        <v>1</v>
      </c>
      <c r="F1090" s="28">
        <f>$B$5/D1090/B1090*E1090</f>
        <v>1.5682500000000001</v>
      </c>
    </row>
    <row r="1091" spans="1:6" x14ac:dyDescent="0.4">
      <c r="A1091" s="28">
        <f t="shared" si="33"/>
        <v>1375</v>
      </c>
      <c r="B1091" s="28">
        <f t="shared" si="32"/>
        <v>0.14336917562724014</v>
      </c>
      <c r="C1091" s="28">
        <f>A1091+$E$6</f>
        <v>1397</v>
      </c>
      <c r="D1091" s="28">
        <f>CEILING(C1091/$H$3,1)*CEILING($H$2/$H$3,1)/CEILING($H$2/$H$3,1)</f>
        <v>6</v>
      </c>
      <c r="E1091" s="28">
        <f>CEILING(C1091/$H$3,1)*CEILING($H$2/$H$3,1)/CEILING(C1091/$H$3,1)</f>
        <v>1</v>
      </c>
      <c r="F1091" s="28">
        <f>$B$5/D1091/B1091*E1091</f>
        <v>1.5693750000000002</v>
      </c>
    </row>
    <row r="1092" spans="1:6" x14ac:dyDescent="0.4">
      <c r="A1092" s="28">
        <f t="shared" si="33"/>
        <v>1376</v>
      </c>
      <c r="B1092" s="28">
        <f t="shared" si="32"/>
        <v>0.14326647564469913</v>
      </c>
      <c r="C1092" s="28">
        <f>A1092+$E$6</f>
        <v>1398</v>
      </c>
      <c r="D1092" s="28">
        <f>CEILING(C1092/$H$3,1)*CEILING($H$2/$H$3,1)/CEILING($H$2/$H$3,1)</f>
        <v>6</v>
      </c>
      <c r="E1092" s="28">
        <f>CEILING(C1092/$H$3,1)*CEILING($H$2/$H$3,1)/CEILING(C1092/$H$3,1)</f>
        <v>1</v>
      </c>
      <c r="F1092" s="28">
        <f>$B$5/D1092/B1092*E1092</f>
        <v>1.5705000000000002</v>
      </c>
    </row>
    <row r="1093" spans="1:6" x14ac:dyDescent="0.4">
      <c r="A1093" s="28">
        <f t="shared" si="33"/>
        <v>1377</v>
      </c>
      <c r="B1093" s="28">
        <f t="shared" si="32"/>
        <v>0.14316392269148176</v>
      </c>
      <c r="C1093" s="28">
        <f>A1093+$E$6</f>
        <v>1399</v>
      </c>
      <c r="D1093" s="28">
        <f>CEILING(C1093/$H$3,1)*CEILING($H$2/$H$3,1)/CEILING($H$2/$H$3,1)</f>
        <v>6</v>
      </c>
      <c r="E1093" s="28">
        <f>CEILING(C1093/$H$3,1)*CEILING($H$2/$H$3,1)/CEILING(C1093/$H$3,1)</f>
        <v>1</v>
      </c>
      <c r="F1093" s="28">
        <f>$B$5/D1093/B1093*E1093</f>
        <v>1.5716249999999998</v>
      </c>
    </row>
    <row r="1094" spans="1:6" x14ac:dyDescent="0.4">
      <c r="A1094" s="28">
        <f t="shared" si="33"/>
        <v>1378</v>
      </c>
      <c r="B1094" s="28">
        <f t="shared" si="32"/>
        <v>0.14306151645207441</v>
      </c>
      <c r="C1094" s="28">
        <f>A1094+$E$6</f>
        <v>1400</v>
      </c>
      <c r="D1094" s="28">
        <f>CEILING(C1094/$H$3,1)*CEILING($H$2/$H$3,1)/CEILING($H$2/$H$3,1)</f>
        <v>6</v>
      </c>
      <c r="E1094" s="28">
        <f>CEILING(C1094/$H$3,1)*CEILING($H$2/$H$3,1)/CEILING(C1094/$H$3,1)</f>
        <v>1</v>
      </c>
      <c r="F1094" s="28">
        <f>$B$5/D1094/B1094*E1094</f>
        <v>1.5727499999999999</v>
      </c>
    </row>
    <row r="1095" spans="1:6" x14ac:dyDescent="0.4">
      <c r="A1095" s="28">
        <f t="shared" si="33"/>
        <v>1379</v>
      </c>
      <c r="B1095" s="28">
        <f t="shared" si="32"/>
        <v>0.14295925661186562</v>
      </c>
      <c r="C1095" s="28">
        <f>A1095+$E$6</f>
        <v>1401</v>
      </c>
      <c r="D1095" s="28">
        <f>CEILING(C1095/$H$3,1)*CEILING($H$2/$H$3,1)/CEILING($H$2/$H$3,1)</f>
        <v>6</v>
      </c>
      <c r="E1095" s="28">
        <f>CEILING(C1095/$H$3,1)*CEILING($H$2/$H$3,1)/CEILING(C1095/$H$3,1)</f>
        <v>1</v>
      </c>
      <c r="F1095" s="28">
        <f>$B$5/D1095/B1095*E1095</f>
        <v>1.5738749999999999</v>
      </c>
    </row>
    <row r="1096" spans="1:6" x14ac:dyDescent="0.4">
      <c r="A1096" s="28">
        <f t="shared" si="33"/>
        <v>1380</v>
      </c>
      <c r="B1096" s="28">
        <f t="shared" si="32"/>
        <v>0.14285714285714285</v>
      </c>
      <c r="C1096" s="28">
        <f>A1096+$E$6</f>
        <v>1402</v>
      </c>
      <c r="D1096" s="28">
        <f>CEILING(C1096/$H$3,1)*CEILING($H$2/$H$3,1)/CEILING($H$2/$H$3,1)</f>
        <v>6</v>
      </c>
      <c r="E1096" s="28">
        <f>CEILING(C1096/$H$3,1)*CEILING($H$2/$H$3,1)/CEILING(C1096/$H$3,1)</f>
        <v>1</v>
      </c>
      <c r="F1096" s="28">
        <f>$B$5/D1096/B1096*E1096</f>
        <v>1.5750000000000002</v>
      </c>
    </row>
    <row r="1097" spans="1:6" x14ac:dyDescent="0.4">
      <c r="A1097" s="28">
        <f t="shared" si="33"/>
        <v>1381</v>
      </c>
      <c r="B1097" s="28">
        <f t="shared" si="32"/>
        <v>0.14275517487508924</v>
      </c>
      <c r="C1097" s="28">
        <f>A1097+$E$6</f>
        <v>1403</v>
      </c>
      <c r="D1097" s="28">
        <f>CEILING(C1097/$H$3,1)*CEILING($H$2/$H$3,1)/CEILING($H$2/$H$3,1)</f>
        <v>6</v>
      </c>
      <c r="E1097" s="28">
        <f>CEILING(C1097/$H$3,1)*CEILING($H$2/$H$3,1)/CEILING(C1097/$H$3,1)</f>
        <v>1</v>
      </c>
      <c r="F1097" s="28">
        <f>$B$5/D1097/B1097*E1097</f>
        <v>1.5761249999999998</v>
      </c>
    </row>
    <row r="1098" spans="1:6" x14ac:dyDescent="0.4">
      <c r="A1098" s="28">
        <f t="shared" si="33"/>
        <v>1382</v>
      </c>
      <c r="B1098" s="28">
        <f t="shared" si="32"/>
        <v>0.14265335235378032</v>
      </c>
      <c r="C1098" s="28">
        <f>A1098+$E$6</f>
        <v>1404</v>
      </c>
      <c r="D1098" s="28">
        <f>CEILING(C1098/$H$3,1)*CEILING($H$2/$H$3,1)/CEILING($H$2/$H$3,1)</f>
        <v>6</v>
      </c>
      <c r="E1098" s="28">
        <f>CEILING(C1098/$H$3,1)*CEILING($H$2/$H$3,1)/CEILING(C1098/$H$3,1)</f>
        <v>1</v>
      </c>
      <c r="F1098" s="28">
        <f>$B$5/D1098/B1098*E1098</f>
        <v>1.57725</v>
      </c>
    </row>
    <row r="1099" spans="1:6" x14ac:dyDescent="0.4">
      <c r="A1099" s="28">
        <f t="shared" si="33"/>
        <v>1383</v>
      </c>
      <c r="B1099" s="28">
        <f t="shared" ref="B1099:B1162" si="34">$B$4/8/(A1099+$B$2)</f>
        <v>0.14255167498218105</v>
      </c>
      <c r="C1099" s="28">
        <f>A1099+$E$6</f>
        <v>1405</v>
      </c>
      <c r="D1099" s="28">
        <f>CEILING(C1099/$H$3,1)*CEILING($H$2/$H$3,1)/CEILING($H$2/$H$3,1)</f>
        <v>6</v>
      </c>
      <c r="E1099" s="28">
        <f>CEILING(C1099/$H$3,1)*CEILING($H$2/$H$3,1)/CEILING(C1099/$H$3,1)</f>
        <v>1</v>
      </c>
      <c r="F1099" s="28">
        <f>$B$5/D1099/B1099*E1099</f>
        <v>1.5783749999999999</v>
      </c>
    </row>
    <row r="1100" spans="1:6" x14ac:dyDescent="0.4">
      <c r="A1100" s="28">
        <f t="shared" si="33"/>
        <v>1384</v>
      </c>
      <c r="B1100" s="28">
        <f t="shared" si="34"/>
        <v>0.14245014245014245</v>
      </c>
      <c r="C1100" s="28">
        <f>A1100+$E$6</f>
        <v>1406</v>
      </c>
      <c r="D1100" s="28">
        <f>CEILING(C1100/$H$3,1)*CEILING($H$2/$H$3,1)/CEILING($H$2/$H$3,1)</f>
        <v>6</v>
      </c>
      <c r="E1100" s="28">
        <f>CEILING(C1100/$H$3,1)*CEILING($H$2/$H$3,1)/CEILING(C1100/$H$3,1)</f>
        <v>1</v>
      </c>
      <c r="F1100" s="28">
        <f>$B$5/D1100/B1100*E1100</f>
        <v>1.5794999999999999</v>
      </c>
    </row>
    <row r="1101" spans="1:6" x14ac:dyDescent="0.4">
      <c r="A1101" s="28">
        <f t="shared" ref="A1101:A1164" si="35">A1100+$B$3</f>
        <v>1385</v>
      </c>
      <c r="B1101" s="28">
        <f t="shared" si="34"/>
        <v>0.14234875444839859</v>
      </c>
      <c r="C1101" s="28">
        <f>A1101+$E$6</f>
        <v>1407</v>
      </c>
      <c r="D1101" s="28">
        <f>CEILING(C1101/$H$3,1)*CEILING($H$2/$H$3,1)/CEILING($H$2/$H$3,1)</f>
        <v>6</v>
      </c>
      <c r="E1101" s="28">
        <f>CEILING(C1101/$H$3,1)*CEILING($H$2/$H$3,1)/CEILING(C1101/$H$3,1)</f>
        <v>1</v>
      </c>
      <c r="F1101" s="28">
        <f>$B$5/D1101/B1101*E1101</f>
        <v>1.5806249999999999</v>
      </c>
    </row>
    <row r="1102" spans="1:6" x14ac:dyDescent="0.4">
      <c r="A1102" s="28">
        <f t="shared" si="35"/>
        <v>1386</v>
      </c>
      <c r="B1102" s="28">
        <f t="shared" si="34"/>
        <v>0.14224751066856331</v>
      </c>
      <c r="C1102" s="28">
        <f>A1102+$E$6</f>
        <v>1408</v>
      </c>
      <c r="D1102" s="28">
        <f>CEILING(C1102/$H$3,1)*CEILING($H$2/$H$3,1)/CEILING($H$2/$H$3,1)</f>
        <v>6</v>
      </c>
      <c r="E1102" s="28">
        <f>CEILING(C1102/$H$3,1)*CEILING($H$2/$H$3,1)/CEILING(C1102/$H$3,1)</f>
        <v>1</v>
      </c>
      <c r="F1102" s="28">
        <f>$B$5/D1102/B1102*E1102</f>
        <v>1.58175</v>
      </c>
    </row>
    <row r="1103" spans="1:6" x14ac:dyDescent="0.4">
      <c r="A1103" s="28">
        <f t="shared" si="35"/>
        <v>1387</v>
      </c>
      <c r="B1103" s="28">
        <f t="shared" si="34"/>
        <v>0.14214641080312723</v>
      </c>
      <c r="C1103" s="28">
        <f>A1103+$E$6</f>
        <v>1409</v>
      </c>
      <c r="D1103" s="28">
        <f>CEILING(C1103/$H$3,1)*CEILING($H$2/$H$3,1)/CEILING($H$2/$H$3,1)</f>
        <v>6</v>
      </c>
      <c r="E1103" s="28">
        <f>CEILING(C1103/$H$3,1)*CEILING($H$2/$H$3,1)/CEILING(C1103/$H$3,1)</f>
        <v>1</v>
      </c>
      <c r="F1103" s="28">
        <f>$B$5/D1103/B1103*E1103</f>
        <v>1.5828749999999998</v>
      </c>
    </row>
    <row r="1104" spans="1:6" x14ac:dyDescent="0.4">
      <c r="A1104" s="28">
        <f t="shared" si="35"/>
        <v>1388</v>
      </c>
      <c r="B1104" s="28">
        <f t="shared" si="34"/>
        <v>0.14204545454545456</v>
      </c>
      <c r="C1104" s="28">
        <f>A1104+$E$6</f>
        <v>1410</v>
      </c>
      <c r="D1104" s="28">
        <f>CEILING(C1104/$H$3,1)*CEILING($H$2/$H$3,1)/CEILING($H$2/$H$3,1)</f>
        <v>6</v>
      </c>
      <c r="E1104" s="28">
        <f>CEILING(C1104/$H$3,1)*CEILING($H$2/$H$3,1)/CEILING(C1104/$H$3,1)</f>
        <v>1</v>
      </c>
      <c r="F1104" s="28">
        <f>$B$5/D1104/B1104*E1104</f>
        <v>1.5839999999999999</v>
      </c>
    </row>
    <row r="1105" spans="1:6" x14ac:dyDescent="0.4">
      <c r="A1105" s="28">
        <f t="shared" si="35"/>
        <v>1389</v>
      </c>
      <c r="B1105" s="28">
        <f t="shared" si="34"/>
        <v>0.14194464158977999</v>
      </c>
      <c r="C1105" s="28">
        <f>A1105+$E$6</f>
        <v>1411</v>
      </c>
      <c r="D1105" s="28">
        <f>CEILING(C1105/$H$3,1)*CEILING($H$2/$H$3,1)/CEILING($H$2/$H$3,1)</f>
        <v>6</v>
      </c>
      <c r="E1105" s="28">
        <f>CEILING(C1105/$H$3,1)*CEILING($H$2/$H$3,1)/CEILING(C1105/$H$3,1)</f>
        <v>1</v>
      </c>
      <c r="F1105" s="28">
        <f>$B$5/D1105/B1105*E1105</f>
        <v>1.5851250000000001</v>
      </c>
    </row>
    <row r="1106" spans="1:6" x14ac:dyDescent="0.4">
      <c r="A1106" s="28">
        <f t="shared" si="35"/>
        <v>1390</v>
      </c>
      <c r="B1106" s="28">
        <f t="shared" si="34"/>
        <v>0.14184397163120568</v>
      </c>
      <c r="C1106" s="28">
        <f>A1106+$E$6</f>
        <v>1412</v>
      </c>
      <c r="D1106" s="28">
        <f>CEILING(C1106/$H$3,1)*CEILING($H$2/$H$3,1)/CEILING($H$2/$H$3,1)</f>
        <v>6</v>
      </c>
      <c r="E1106" s="28">
        <f>CEILING(C1106/$H$3,1)*CEILING($H$2/$H$3,1)/CEILING(C1106/$H$3,1)</f>
        <v>1</v>
      </c>
      <c r="F1106" s="28">
        <f>$B$5/D1106/B1106*E1106</f>
        <v>1.5862499999999999</v>
      </c>
    </row>
    <row r="1107" spans="1:6" x14ac:dyDescent="0.4">
      <c r="A1107" s="28">
        <f t="shared" si="35"/>
        <v>1391</v>
      </c>
      <c r="B1107" s="28">
        <f t="shared" si="34"/>
        <v>0.14174344436569808</v>
      </c>
      <c r="C1107" s="28">
        <f>A1107+$E$6</f>
        <v>1413</v>
      </c>
      <c r="D1107" s="28">
        <f>CEILING(C1107/$H$3,1)*CEILING($H$2/$H$3,1)/CEILING($H$2/$H$3,1)</f>
        <v>6</v>
      </c>
      <c r="E1107" s="28">
        <f>CEILING(C1107/$H$3,1)*CEILING($H$2/$H$3,1)/CEILING(C1107/$H$3,1)</f>
        <v>1</v>
      </c>
      <c r="F1107" s="28">
        <f>$B$5/D1107/B1107*E1107</f>
        <v>1.5873750000000002</v>
      </c>
    </row>
    <row r="1108" spans="1:6" x14ac:dyDescent="0.4">
      <c r="A1108" s="28">
        <f t="shared" si="35"/>
        <v>1392</v>
      </c>
      <c r="B1108" s="28">
        <f t="shared" si="34"/>
        <v>0.14164305949008499</v>
      </c>
      <c r="C1108" s="28">
        <f>A1108+$E$6</f>
        <v>1414</v>
      </c>
      <c r="D1108" s="28">
        <f>CEILING(C1108/$H$3,1)*CEILING($H$2/$H$3,1)/CEILING($H$2/$H$3,1)</f>
        <v>6</v>
      </c>
      <c r="E1108" s="28">
        <f>CEILING(C1108/$H$3,1)*CEILING($H$2/$H$3,1)/CEILING(C1108/$H$3,1)</f>
        <v>1</v>
      </c>
      <c r="F1108" s="28">
        <f>$B$5/D1108/B1108*E1108</f>
        <v>1.5885</v>
      </c>
    </row>
    <row r="1109" spans="1:6" x14ac:dyDescent="0.4">
      <c r="A1109" s="28">
        <f t="shared" si="35"/>
        <v>1393</v>
      </c>
      <c r="B1109" s="28">
        <f t="shared" si="34"/>
        <v>0.14154281670205238</v>
      </c>
      <c r="C1109" s="28">
        <f>A1109+$E$6</f>
        <v>1415</v>
      </c>
      <c r="D1109" s="28">
        <f>CEILING(C1109/$H$3,1)*CEILING($H$2/$H$3,1)/CEILING($H$2/$H$3,1)</f>
        <v>6</v>
      </c>
      <c r="E1109" s="28">
        <f>CEILING(C1109/$H$3,1)*CEILING($H$2/$H$3,1)/CEILING(C1109/$H$3,1)</f>
        <v>1</v>
      </c>
      <c r="F1109" s="28">
        <f>$B$5/D1109/B1109*E1109</f>
        <v>1.5896250000000001</v>
      </c>
    </row>
    <row r="1110" spans="1:6" x14ac:dyDescent="0.4">
      <c r="A1110" s="28">
        <f t="shared" si="35"/>
        <v>1394</v>
      </c>
      <c r="B1110" s="28">
        <f t="shared" si="34"/>
        <v>0.14144271570014144</v>
      </c>
      <c r="C1110" s="28">
        <f>A1110+$E$6</f>
        <v>1416</v>
      </c>
      <c r="D1110" s="28">
        <f>CEILING(C1110/$H$3,1)*CEILING($H$2/$H$3,1)/CEILING($H$2/$H$3,1)</f>
        <v>6</v>
      </c>
      <c r="E1110" s="28">
        <f>CEILING(C1110/$H$3,1)*CEILING($H$2/$H$3,1)/CEILING(C1110/$H$3,1)</f>
        <v>1</v>
      </c>
      <c r="F1110" s="28">
        <f>$B$5/D1110/B1110*E1110</f>
        <v>1.5907500000000001</v>
      </c>
    </row>
    <row r="1111" spans="1:6" x14ac:dyDescent="0.4">
      <c r="A1111" s="28">
        <f t="shared" si="35"/>
        <v>1395</v>
      </c>
      <c r="B1111" s="28">
        <f t="shared" si="34"/>
        <v>0.14134275618374559</v>
      </c>
      <c r="C1111" s="28">
        <f>A1111+$E$6</f>
        <v>1417</v>
      </c>
      <c r="D1111" s="28">
        <f>CEILING(C1111/$H$3,1)*CEILING($H$2/$H$3,1)/CEILING($H$2/$H$3,1)</f>
        <v>6</v>
      </c>
      <c r="E1111" s="28">
        <f>CEILING(C1111/$H$3,1)*CEILING($H$2/$H$3,1)/CEILING(C1111/$H$3,1)</f>
        <v>1</v>
      </c>
      <c r="F1111" s="28">
        <f>$B$5/D1111/B1111*E1111</f>
        <v>1.5918749999999999</v>
      </c>
    </row>
    <row r="1112" spans="1:6" x14ac:dyDescent="0.4">
      <c r="A1112" s="28">
        <f t="shared" si="35"/>
        <v>1396</v>
      </c>
      <c r="B1112" s="28">
        <f t="shared" si="34"/>
        <v>0.14124293785310735</v>
      </c>
      <c r="C1112" s="28">
        <f>A1112+$E$6</f>
        <v>1418</v>
      </c>
      <c r="D1112" s="28">
        <f>CEILING(C1112/$H$3,1)*CEILING($H$2/$H$3,1)/CEILING($H$2/$H$3,1)</f>
        <v>6</v>
      </c>
      <c r="E1112" s="28">
        <f>CEILING(C1112/$H$3,1)*CEILING($H$2/$H$3,1)/CEILING(C1112/$H$3,1)</f>
        <v>1</v>
      </c>
      <c r="F1112" s="28">
        <f>$B$5/D1112/B1112*E1112</f>
        <v>1.593</v>
      </c>
    </row>
    <row r="1113" spans="1:6" x14ac:dyDescent="0.4">
      <c r="A1113" s="28">
        <f t="shared" si="35"/>
        <v>1397</v>
      </c>
      <c r="B1113" s="28">
        <f t="shared" si="34"/>
        <v>0.14114326040931546</v>
      </c>
      <c r="C1113" s="28">
        <f>A1113+$E$6</f>
        <v>1419</v>
      </c>
      <c r="D1113" s="28">
        <f>CEILING(C1113/$H$3,1)*CEILING($H$2/$H$3,1)/CEILING($H$2/$H$3,1)</f>
        <v>6</v>
      </c>
      <c r="E1113" s="28">
        <f>CEILING(C1113/$H$3,1)*CEILING($H$2/$H$3,1)/CEILING(C1113/$H$3,1)</f>
        <v>1</v>
      </c>
      <c r="F1113" s="28">
        <f>$B$5/D1113/B1113*E1113</f>
        <v>1.594125</v>
      </c>
    </row>
    <row r="1114" spans="1:6" x14ac:dyDescent="0.4">
      <c r="A1114" s="28">
        <f t="shared" si="35"/>
        <v>1398</v>
      </c>
      <c r="B1114" s="28">
        <f t="shared" si="34"/>
        <v>0.14104372355430184</v>
      </c>
      <c r="C1114" s="28">
        <f>A1114+$E$6</f>
        <v>1420</v>
      </c>
      <c r="D1114" s="28">
        <f>CEILING(C1114/$H$3,1)*CEILING($H$2/$H$3,1)/CEILING($H$2/$H$3,1)</f>
        <v>6</v>
      </c>
      <c r="E1114" s="28">
        <f>CEILING(C1114/$H$3,1)*CEILING($H$2/$H$3,1)/CEILING(C1114/$H$3,1)</f>
        <v>1</v>
      </c>
      <c r="F1114" s="28">
        <f>$B$5/D1114/B1114*E1114</f>
        <v>1.5952500000000001</v>
      </c>
    </row>
    <row r="1115" spans="1:6" x14ac:dyDescent="0.4">
      <c r="A1115" s="28">
        <f t="shared" si="35"/>
        <v>1399</v>
      </c>
      <c r="B1115" s="28">
        <f t="shared" si="34"/>
        <v>0.14094432699083861</v>
      </c>
      <c r="C1115" s="28">
        <f>A1115+$E$6</f>
        <v>1421</v>
      </c>
      <c r="D1115" s="28">
        <f>CEILING(C1115/$H$3,1)*CEILING($H$2/$H$3,1)/CEILING($H$2/$H$3,1)</f>
        <v>6</v>
      </c>
      <c r="E1115" s="28">
        <f>CEILING(C1115/$H$3,1)*CEILING($H$2/$H$3,1)/CEILING(C1115/$H$3,1)</f>
        <v>1</v>
      </c>
      <c r="F1115" s="28">
        <f>$B$5/D1115/B1115*E1115</f>
        <v>1.5963750000000001</v>
      </c>
    </row>
    <row r="1116" spans="1:6" x14ac:dyDescent="0.4">
      <c r="A1116" s="28">
        <f t="shared" si="35"/>
        <v>1400</v>
      </c>
      <c r="B1116" s="28">
        <f t="shared" si="34"/>
        <v>0.14084507042253522</v>
      </c>
      <c r="C1116" s="28">
        <f>A1116+$E$6</f>
        <v>1422</v>
      </c>
      <c r="D1116" s="28">
        <f>CEILING(C1116/$H$3,1)*CEILING($H$2/$H$3,1)/CEILING($H$2/$H$3,1)</f>
        <v>6</v>
      </c>
      <c r="E1116" s="28">
        <f>CEILING(C1116/$H$3,1)*CEILING($H$2/$H$3,1)/CEILING(C1116/$H$3,1)</f>
        <v>1</v>
      </c>
      <c r="F1116" s="28">
        <f>$B$5/D1116/B1116*E1116</f>
        <v>1.5974999999999999</v>
      </c>
    </row>
    <row r="1117" spans="1:6" x14ac:dyDescent="0.4">
      <c r="A1117" s="28">
        <f t="shared" si="35"/>
        <v>1401</v>
      </c>
      <c r="B1117" s="28">
        <f t="shared" si="34"/>
        <v>0.14074595355383532</v>
      </c>
      <c r="C1117" s="28">
        <f>A1117+$E$6</f>
        <v>1423</v>
      </c>
      <c r="D1117" s="28">
        <f>CEILING(C1117/$H$3,1)*CEILING($H$2/$H$3,1)/CEILING($H$2/$H$3,1)</f>
        <v>6</v>
      </c>
      <c r="E1117" s="28">
        <f>CEILING(C1117/$H$3,1)*CEILING($H$2/$H$3,1)/CEILING(C1117/$H$3,1)</f>
        <v>1</v>
      </c>
      <c r="F1117" s="28">
        <f>$B$5/D1117/B1117*E1117</f>
        <v>1.5986250000000002</v>
      </c>
    </row>
    <row r="1118" spans="1:6" x14ac:dyDescent="0.4">
      <c r="A1118" s="28">
        <f t="shared" si="35"/>
        <v>1402</v>
      </c>
      <c r="B1118" s="28">
        <f t="shared" si="34"/>
        <v>0.14064697609001406</v>
      </c>
      <c r="C1118" s="28">
        <f>A1118+$E$6</f>
        <v>1424</v>
      </c>
      <c r="D1118" s="28">
        <f>CEILING(C1118/$H$3,1)*CEILING($H$2/$H$3,1)/CEILING($H$2/$H$3,1)</f>
        <v>6</v>
      </c>
      <c r="E1118" s="28">
        <f>CEILING(C1118/$H$3,1)*CEILING($H$2/$H$3,1)/CEILING(C1118/$H$3,1)</f>
        <v>1</v>
      </c>
      <c r="F1118" s="28">
        <f>$B$5/D1118/B1118*E1118</f>
        <v>1.59975</v>
      </c>
    </row>
    <row r="1119" spans="1:6" x14ac:dyDescent="0.4">
      <c r="A1119" s="28">
        <f t="shared" si="35"/>
        <v>1403</v>
      </c>
      <c r="B1119" s="28">
        <f t="shared" si="34"/>
        <v>0.14054813773717498</v>
      </c>
      <c r="C1119" s="28">
        <f>A1119+$E$6</f>
        <v>1425</v>
      </c>
      <c r="D1119" s="28">
        <f>CEILING(C1119/$H$3,1)*CEILING($H$2/$H$3,1)/CEILING($H$2/$H$3,1)</f>
        <v>6</v>
      </c>
      <c r="E1119" s="28">
        <f>CEILING(C1119/$H$3,1)*CEILING($H$2/$H$3,1)/CEILING(C1119/$H$3,1)</f>
        <v>1</v>
      </c>
      <c r="F1119" s="28">
        <f>$B$5/D1119/B1119*E1119</f>
        <v>1.600875</v>
      </c>
    </row>
    <row r="1120" spans="1:6" x14ac:dyDescent="0.4">
      <c r="A1120" s="28">
        <f t="shared" si="35"/>
        <v>1404</v>
      </c>
      <c r="B1120" s="28">
        <f t="shared" si="34"/>
        <v>0.1404494382022472</v>
      </c>
      <c r="C1120" s="28">
        <f>A1120+$E$6</f>
        <v>1426</v>
      </c>
      <c r="D1120" s="28">
        <f>CEILING(C1120/$H$3,1)*CEILING($H$2/$H$3,1)/CEILING($H$2/$H$3,1)</f>
        <v>6</v>
      </c>
      <c r="E1120" s="28">
        <f>CEILING(C1120/$H$3,1)*CEILING($H$2/$H$3,1)/CEILING(C1120/$H$3,1)</f>
        <v>1</v>
      </c>
      <c r="F1120" s="28">
        <f>$B$5/D1120/B1120*E1120</f>
        <v>1.6019999999999999</v>
      </c>
    </row>
    <row r="1121" spans="1:6" x14ac:dyDescent="0.4">
      <c r="A1121" s="28">
        <f t="shared" si="35"/>
        <v>1405</v>
      </c>
      <c r="B1121" s="28">
        <f t="shared" si="34"/>
        <v>0.14035087719298245</v>
      </c>
      <c r="C1121" s="28">
        <f>A1121+$E$6</f>
        <v>1427</v>
      </c>
      <c r="D1121" s="28">
        <f>CEILING(C1121/$H$3,1)*CEILING($H$2/$H$3,1)/CEILING($H$2/$H$3,1)</f>
        <v>6</v>
      </c>
      <c r="E1121" s="28">
        <f>CEILING(C1121/$H$3,1)*CEILING($H$2/$H$3,1)/CEILING(C1121/$H$3,1)</f>
        <v>1</v>
      </c>
      <c r="F1121" s="28">
        <f>$B$5/D1121/B1121*E1121</f>
        <v>1.6031250000000001</v>
      </c>
    </row>
    <row r="1122" spans="1:6" x14ac:dyDescent="0.4">
      <c r="A1122" s="28">
        <f t="shared" si="35"/>
        <v>1406</v>
      </c>
      <c r="B1122" s="28">
        <f t="shared" si="34"/>
        <v>0.14025245441795231</v>
      </c>
      <c r="C1122" s="28">
        <f>A1122+$E$6</f>
        <v>1428</v>
      </c>
      <c r="D1122" s="28">
        <f>CEILING(C1122/$H$3,1)*CEILING($H$2/$H$3,1)/CEILING($H$2/$H$3,1)</f>
        <v>6</v>
      </c>
      <c r="E1122" s="28">
        <f>CEILING(C1122/$H$3,1)*CEILING($H$2/$H$3,1)/CEILING(C1122/$H$3,1)</f>
        <v>1</v>
      </c>
      <c r="F1122" s="28">
        <f>$B$5/D1122/B1122*E1122</f>
        <v>1.6042500000000002</v>
      </c>
    </row>
    <row r="1123" spans="1:6" x14ac:dyDescent="0.4">
      <c r="A1123" s="28">
        <f t="shared" si="35"/>
        <v>1407</v>
      </c>
      <c r="B1123" s="28">
        <f t="shared" si="34"/>
        <v>0.1401541695865452</v>
      </c>
      <c r="C1123" s="28">
        <f>A1123+$E$6</f>
        <v>1429</v>
      </c>
      <c r="D1123" s="28">
        <f>CEILING(C1123/$H$3,1)*CEILING($H$2/$H$3,1)/CEILING($H$2/$H$3,1)</f>
        <v>6</v>
      </c>
      <c r="E1123" s="28">
        <f>CEILING(C1123/$H$3,1)*CEILING($H$2/$H$3,1)/CEILING(C1123/$H$3,1)</f>
        <v>1</v>
      </c>
      <c r="F1123" s="28">
        <f>$B$5/D1123/B1123*E1123</f>
        <v>1.605375</v>
      </c>
    </row>
    <row r="1124" spans="1:6" x14ac:dyDescent="0.4">
      <c r="A1124" s="28">
        <f t="shared" si="35"/>
        <v>1408</v>
      </c>
      <c r="B1124" s="28">
        <f t="shared" si="34"/>
        <v>0.14005602240896359</v>
      </c>
      <c r="C1124" s="28">
        <f>A1124+$E$6</f>
        <v>1430</v>
      </c>
      <c r="D1124" s="28">
        <f>CEILING(C1124/$H$3,1)*CEILING($H$2/$H$3,1)/CEILING($H$2/$H$3,1)</f>
        <v>6</v>
      </c>
      <c r="E1124" s="28">
        <f>CEILING(C1124/$H$3,1)*CEILING($H$2/$H$3,1)/CEILING(C1124/$H$3,1)</f>
        <v>1</v>
      </c>
      <c r="F1124" s="28">
        <f>$B$5/D1124/B1124*E1124</f>
        <v>1.6065</v>
      </c>
    </row>
    <row r="1125" spans="1:6" x14ac:dyDescent="0.4">
      <c r="A1125" s="28">
        <f t="shared" si="35"/>
        <v>1409</v>
      </c>
      <c r="B1125" s="28">
        <f t="shared" si="34"/>
        <v>0.13995801259622112</v>
      </c>
      <c r="C1125" s="28">
        <f>A1125+$E$6</f>
        <v>1431</v>
      </c>
      <c r="D1125" s="28">
        <f>CEILING(C1125/$H$3,1)*CEILING($H$2/$H$3,1)/CEILING($H$2/$H$3,1)</f>
        <v>6</v>
      </c>
      <c r="E1125" s="28">
        <f>CEILING(C1125/$H$3,1)*CEILING($H$2/$H$3,1)/CEILING(C1125/$H$3,1)</f>
        <v>1</v>
      </c>
      <c r="F1125" s="28">
        <f>$B$5/D1125/B1125*E1125</f>
        <v>1.6076250000000001</v>
      </c>
    </row>
    <row r="1126" spans="1:6" x14ac:dyDescent="0.4">
      <c r="A1126" s="28">
        <f t="shared" si="35"/>
        <v>1410</v>
      </c>
      <c r="B1126" s="28">
        <f t="shared" si="34"/>
        <v>0.13986013986013987</v>
      </c>
      <c r="C1126" s="28">
        <f>A1126+$E$6</f>
        <v>1432</v>
      </c>
      <c r="D1126" s="28">
        <f>CEILING(C1126/$H$3,1)*CEILING($H$2/$H$3,1)/CEILING($H$2/$H$3,1)</f>
        <v>6</v>
      </c>
      <c r="E1126" s="28">
        <f>CEILING(C1126/$H$3,1)*CEILING($H$2/$H$3,1)/CEILING(C1126/$H$3,1)</f>
        <v>1</v>
      </c>
      <c r="F1126" s="28">
        <f>$B$5/D1126/B1126*E1126</f>
        <v>1.6087499999999999</v>
      </c>
    </row>
    <row r="1127" spans="1:6" x14ac:dyDescent="0.4">
      <c r="A1127" s="28">
        <f t="shared" si="35"/>
        <v>1411</v>
      </c>
      <c r="B1127" s="28">
        <f t="shared" si="34"/>
        <v>0.13976240391334732</v>
      </c>
      <c r="C1127" s="28">
        <f>A1127+$E$6</f>
        <v>1433</v>
      </c>
      <c r="D1127" s="28">
        <f>CEILING(C1127/$H$3,1)*CEILING($H$2/$H$3,1)/CEILING($H$2/$H$3,1)</f>
        <v>6</v>
      </c>
      <c r="E1127" s="28">
        <f>CEILING(C1127/$H$3,1)*CEILING($H$2/$H$3,1)/CEILING(C1127/$H$3,1)</f>
        <v>1</v>
      </c>
      <c r="F1127" s="28">
        <f>$B$5/D1127/B1127*E1127</f>
        <v>1.6098749999999999</v>
      </c>
    </row>
    <row r="1128" spans="1:6" x14ac:dyDescent="0.4">
      <c r="A1128" s="28">
        <f t="shared" si="35"/>
        <v>1412</v>
      </c>
      <c r="B1128" s="28">
        <f t="shared" si="34"/>
        <v>0.13966480446927373</v>
      </c>
      <c r="C1128" s="28">
        <f>A1128+$E$6</f>
        <v>1434</v>
      </c>
      <c r="D1128" s="28">
        <f>CEILING(C1128/$H$3,1)*CEILING($H$2/$H$3,1)/CEILING($H$2/$H$3,1)</f>
        <v>6</v>
      </c>
      <c r="E1128" s="28">
        <f>CEILING(C1128/$H$3,1)*CEILING($H$2/$H$3,1)/CEILING(C1128/$H$3,1)</f>
        <v>1</v>
      </c>
      <c r="F1128" s="28">
        <f>$B$5/D1128/B1128*E1128</f>
        <v>1.6110000000000002</v>
      </c>
    </row>
    <row r="1129" spans="1:6" x14ac:dyDescent="0.4">
      <c r="A1129" s="28">
        <f t="shared" si="35"/>
        <v>1413</v>
      </c>
      <c r="B1129" s="28">
        <f t="shared" si="34"/>
        <v>0.13956734124214934</v>
      </c>
      <c r="C1129" s="28">
        <f>A1129+$E$6</f>
        <v>1435</v>
      </c>
      <c r="D1129" s="28">
        <f>CEILING(C1129/$H$3,1)*CEILING($H$2/$H$3,1)/CEILING($H$2/$H$3,1)</f>
        <v>6</v>
      </c>
      <c r="E1129" s="28">
        <f>CEILING(C1129/$H$3,1)*CEILING($H$2/$H$3,1)/CEILING(C1129/$H$3,1)</f>
        <v>1</v>
      </c>
      <c r="F1129" s="28">
        <f>$B$5/D1129/B1129*E1129</f>
        <v>1.612125</v>
      </c>
    </row>
    <row r="1130" spans="1:6" x14ac:dyDescent="0.4">
      <c r="A1130" s="28">
        <f t="shared" si="35"/>
        <v>1414</v>
      </c>
      <c r="B1130" s="28">
        <f t="shared" si="34"/>
        <v>0.1394700139470014</v>
      </c>
      <c r="C1130" s="28">
        <f>A1130+$E$6</f>
        <v>1436</v>
      </c>
      <c r="D1130" s="28">
        <f>CEILING(C1130/$H$3,1)*CEILING($H$2/$H$3,1)/CEILING($H$2/$H$3,1)</f>
        <v>6</v>
      </c>
      <c r="E1130" s="28">
        <f>CEILING(C1130/$H$3,1)*CEILING($H$2/$H$3,1)/CEILING(C1130/$H$3,1)</f>
        <v>1</v>
      </c>
      <c r="F1130" s="28">
        <f>$B$5/D1130/B1130*E1130</f>
        <v>1.6132500000000001</v>
      </c>
    </row>
    <row r="1131" spans="1:6" x14ac:dyDescent="0.4">
      <c r="A1131" s="28">
        <f t="shared" si="35"/>
        <v>1415</v>
      </c>
      <c r="B1131" s="28">
        <f t="shared" si="34"/>
        <v>0.13937282229965156</v>
      </c>
      <c r="C1131" s="28">
        <f>A1131+$E$6</f>
        <v>1437</v>
      </c>
      <c r="D1131" s="28">
        <f>CEILING(C1131/$H$3,1)*CEILING($H$2/$H$3,1)/CEILING($H$2/$H$3,1)</f>
        <v>6</v>
      </c>
      <c r="E1131" s="28">
        <f>CEILING(C1131/$H$3,1)*CEILING($H$2/$H$3,1)/CEILING(C1131/$H$3,1)</f>
        <v>1</v>
      </c>
      <c r="F1131" s="28">
        <f>$B$5/D1131/B1131*E1131</f>
        <v>1.6143750000000001</v>
      </c>
    </row>
    <row r="1132" spans="1:6" x14ac:dyDescent="0.4">
      <c r="A1132" s="28">
        <f t="shared" si="35"/>
        <v>1416</v>
      </c>
      <c r="B1132" s="28">
        <f t="shared" si="34"/>
        <v>0.1392757660167131</v>
      </c>
      <c r="C1132" s="28">
        <f>A1132+$E$6</f>
        <v>1438</v>
      </c>
      <c r="D1132" s="28">
        <f>CEILING(C1132/$H$3,1)*CEILING($H$2/$H$3,1)/CEILING($H$2/$H$3,1)</f>
        <v>6</v>
      </c>
      <c r="E1132" s="28">
        <f>CEILING(C1132/$H$3,1)*CEILING($H$2/$H$3,1)/CEILING(C1132/$H$3,1)</f>
        <v>1</v>
      </c>
      <c r="F1132" s="28">
        <f>$B$5/D1132/B1132*E1132</f>
        <v>1.6154999999999999</v>
      </c>
    </row>
    <row r="1133" spans="1:6" x14ac:dyDescent="0.4">
      <c r="A1133" s="28">
        <f t="shared" si="35"/>
        <v>1417</v>
      </c>
      <c r="B1133" s="28">
        <f t="shared" si="34"/>
        <v>0.13917884481558804</v>
      </c>
      <c r="C1133" s="28">
        <f>A1133+$E$6</f>
        <v>1439</v>
      </c>
      <c r="D1133" s="28">
        <f>CEILING(C1133/$H$3,1)*CEILING($H$2/$H$3,1)/CEILING($H$2/$H$3,1)</f>
        <v>6</v>
      </c>
      <c r="E1133" s="28">
        <f>CEILING(C1133/$H$3,1)*CEILING($H$2/$H$3,1)/CEILING(C1133/$H$3,1)</f>
        <v>1</v>
      </c>
      <c r="F1133" s="28">
        <f>$B$5/D1133/B1133*E1133</f>
        <v>1.616625</v>
      </c>
    </row>
    <row r="1134" spans="1:6" x14ac:dyDescent="0.4">
      <c r="A1134" s="28">
        <f t="shared" si="35"/>
        <v>1418</v>
      </c>
      <c r="B1134" s="28">
        <f t="shared" si="34"/>
        <v>0.13908205841446453</v>
      </c>
      <c r="C1134" s="28">
        <f>A1134+$E$6</f>
        <v>1440</v>
      </c>
      <c r="D1134" s="28">
        <f>CEILING(C1134/$H$3,1)*CEILING($H$2/$H$3,1)/CEILING($H$2/$H$3,1)</f>
        <v>6</v>
      </c>
      <c r="E1134" s="28">
        <f>CEILING(C1134/$H$3,1)*CEILING($H$2/$H$3,1)/CEILING(C1134/$H$3,1)</f>
        <v>1</v>
      </c>
      <c r="F1134" s="28">
        <f>$B$5/D1134/B1134*E1134</f>
        <v>1.61775</v>
      </c>
    </row>
    <row r="1135" spans="1:6" x14ac:dyDescent="0.4">
      <c r="A1135" s="28">
        <f t="shared" si="35"/>
        <v>1419</v>
      </c>
      <c r="B1135" s="28">
        <f t="shared" si="34"/>
        <v>0.13898540653231412</v>
      </c>
      <c r="C1135" s="28">
        <f>A1135+$E$6</f>
        <v>1441</v>
      </c>
      <c r="D1135" s="28">
        <f>CEILING(C1135/$H$3,1)*CEILING($H$2/$H$3,1)/CEILING($H$2/$H$3,1)</f>
        <v>6</v>
      </c>
      <c r="E1135" s="28">
        <f>CEILING(C1135/$H$3,1)*CEILING($H$2/$H$3,1)/CEILING(C1135/$H$3,1)</f>
        <v>1</v>
      </c>
      <c r="F1135" s="28">
        <f>$B$5/D1135/B1135*E1135</f>
        <v>1.6188749999999998</v>
      </c>
    </row>
    <row r="1136" spans="1:6" x14ac:dyDescent="0.4">
      <c r="A1136" s="28">
        <f t="shared" si="35"/>
        <v>1420</v>
      </c>
      <c r="B1136" s="28">
        <f t="shared" si="34"/>
        <v>0.1388888888888889</v>
      </c>
      <c r="C1136" s="28">
        <f>A1136+$E$6</f>
        <v>1442</v>
      </c>
      <c r="D1136" s="28">
        <f>CEILING(C1136/$H$3,1)*CEILING($H$2/$H$3,1)/CEILING($H$2/$H$3,1)</f>
        <v>6</v>
      </c>
      <c r="E1136" s="28">
        <f>CEILING(C1136/$H$3,1)*CEILING($H$2/$H$3,1)/CEILING(C1136/$H$3,1)</f>
        <v>1</v>
      </c>
      <c r="F1136" s="28">
        <f>$B$5/D1136/B1136*E1136</f>
        <v>1.6199999999999999</v>
      </c>
    </row>
    <row r="1137" spans="1:6" x14ac:dyDescent="0.4">
      <c r="A1137" s="28">
        <f t="shared" si="35"/>
        <v>1421</v>
      </c>
      <c r="B1137" s="28">
        <f t="shared" si="34"/>
        <v>0.13879250520471895</v>
      </c>
      <c r="C1137" s="28">
        <f>A1137+$E$6</f>
        <v>1443</v>
      </c>
      <c r="D1137" s="28">
        <f>CEILING(C1137/$H$3,1)*CEILING($H$2/$H$3,1)/CEILING($H$2/$H$3,1)</f>
        <v>6</v>
      </c>
      <c r="E1137" s="28">
        <f>CEILING(C1137/$H$3,1)*CEILING($H$2/$H$3,1)/CEILING(C1137/$H$3,1)</f>
        <v>1</v>
      </c>
      <c r="F1137" s="28">
        <f>$B$5/D1137/B1137*E1137</f>
        <v>1.6211249999999999</v>
      </c>
    </row>
    <row r="1138" spans="1:6" x14ac:dyDescent="0.4">
      <c r="A1138" s="28">
        <f t="shared" si="35"/>
        <v>1422</v>
      </c>
      <c r="B1138" s="28">
        <f t="shared" si="34"/>
        <v>0.13869625520110956</v>
      </c>
      <c r="C1138" s="28">
        <f>A1138+$E$6</f>
        <v>1444</v>
      </c>
      <c r="D1138" s="28">
        <f>CEILING(C1138/$H$3,1)*CEILING($H$2/$H$3,1)/CEILING($H$2/$H$3,1)</f>
        <v>6</v>
      </c>
      <c r="E1138" s="28">
        <f>CEILING(C1138/$H$3,1)*CEILING($H$2/$H$3,1)/CEILING(C1138/$H$3,1)</f>
        <v>1</v>
      </c>
      <c r="F1138" s="28">
        <f>$B$5/D1138/B1138*E1138</f>
        <v>1.6222500000000002</v>
      </c>
    </row>
    <row r="1139" spans="1:6" x14ac:dyDescent="0.4">
      <c r="A1139" s="28">
        <f t="shared" si="35"/>
        <v>1423</v>
      </c>
      <c r="B1139" s="28">
        <f t="shared" si="34"/>
        <v>0.13860013860013859</v>
      </c>
      <c r="C1139" s="28">
        <f>A1139+$E$6</f>
        <v>1445</v>
      </c>
      <c r="D1139" s="28">
        <f>CEILING(C1139/$H$3,1)*CEILING($H$2/$H$3,1)/CEILING($H$2/$H$3,1)</f>
        <v>6</v>
      </c>
      <c r="E1139" s="28">
        <f>CEILING(C1139/$H$3,1)*CEILING($H$2/$H$3,1)/CEILING(C1139/$H$3,1)</f>
        <v>1</v>
      </c>
      <c r="F1139" s="28">
        <f>$B$5/D1139/B1139*E1139</f>
        <v>1.6233750000000002</v>
      </c>
    </row>
    <row r="1140" spans="1:6" x14ac:dyDescent="0.4">
      <c r="A1140" s="28">
        <f t="shared" si="35"/>
        <v>1424</v>
      </c>
      <c r="B1140" s="28">
        <f t="shared" si="34"/>
        <v>0.13850415512465375</v>
      </c>
      <c r="C1140" s="28">
        <f>A1140+$E$6</f>
        <v>1446</v>
      </c>
      <c r="D1140" s="28">
        <f>CEILING(C1140/$H$3,1)*CEILING($H$2/$H$3,1)/CEILING($H$2/$H$3,1)</f>
        <v>6</v>
      </c>
      <c r="E1140" s="28">
        <f>CEILING(C1140/$H$3,1)*CEILING($H$2/$H$3,1)/CEILING(C1140/$H$3,1)</f>
        <v>1</v>
      </c>
      <c r="F1140" s="28">
        <f>$B$5/D1140/B1140*E1140</f>
        <v>1.6244999999999998</v>
      </c>
    </row>
    <row r="1141" spans="1:6" x14ac:dyDescent="0.4">
      <c r="A1141" s="28">
        <f t="shared" si="35"/>
        <v>1425</v>
      </c>
      <c r="B1141" s="28">
        <f t="shared" si="34"/>
        <v>0.13840830449826991</v>
      </c>
      <c r="C1141" s="28">
        <f>A1141+$E$6</f>
        <v>1447</v>
      </c>
      <c r="D1141" s="28">
        <f>CEILING(C1141/$H$3,1)*CEILING($H$2/$H$3,1)/CEILING($H$2/$H$3,1)</f>
        <v>6</v>
      </c>
      <c r="E1141" s="28">
        <f>CEILING(C1141/$H$3,1)*CEILING($H$2/$H$3,1)/CEILING(C1141/$H$3,1)</f>
        <v>1</v>
      </c>
      <c r="F1141" s="28">
        <f>$B$5/D1141/B1141*E1141</f>
        <v>1.6256249999999999</v>
      </c>
    </row>
    <row r="1142" spans="1:6" x14ac:dyDescent="0.4">
      <c r="A1142" s="28">
        <f t="shared" si="35"/>
        <v>1426</v>
      </c>
      <c r="B1142" s="28">
        <f t="shared" si="34"/>
        <v>0.13831258644536654</v>
      </c>
      <c r="C1142" s="28">
        <f>A1142+$E$6</f>
        <v>1448</v>
      </c>
      <c r="D1142" s="28">
        <f>CEILING(C1142/$H$3,1)*CEILING($H$2/$H$3,1)/CEILING($H$2/$H$3,1)</f>
        <v>6</v>
      </c>
      <c r="E1142" s="28">
        <f>CEILING(C1142/$H$3,1)*CEILING($H$2/$H$3,1)/CEILING(C1142/$H$3,1)</f>
        <v>1</v>
      </c>
      <c r="F1142" s="28">
        <f>$B$5/D1142/B1142*E1142</f>
        <v>1.6267499999999999</v>
      </c>
    </row>
    <row r="1143" spans="1:6" x14ac:dyDescent="0.4">
      <c r="A1143" s="28">
        <f t="shared" si="35"/>
        <v>1427</v>
      </c>
      <c r="B1143" s="28">
        <f t="shared" si="34"/>
        <v>0.138217000691085</v>
      </c>
      <c r="C1143" s="28">
        <f>A1143+$E$6</f>
        <v>1449</v>
      </c>
      <c r="D1143" s="28">
        <f>CEILING(C1143/$H$3,1)*CEILING($H$2/$H$3,1)/CEILING($H$2/$H$3,1)</f>
        <v>6</v>
      </c>
      <c r="E1143" s="28">
        <f>CEILING(C1143/$H$3,1)*CEILING($H$2/$H$3,1)/CEILING(C1143/$H$3,1)</f>
        <v>1</v>
      </c>
      <c r="F1143" s="28">
        <f>$B$5/D1143/B1143*E1143</f>
        <v>1.627875</v>
      </c>
    </row>
    <row r="1144" spans="1:6" x14ac:dyDescent="0.4">
      <c r="A1144" s="28">
        <f t="shared" si="35"/>
        <v>1428</v>
      </c>
      <c r="B1144" s="28">
        <f t="shared" si="34"/>
        <v>0.13812154696132597</v>
      </c>
      <c r="C1144" s="28">
        <f>A1144+$E$6</f>
        <v>1450</v>
      </c>
      <c r="D1144" s="28">
        <f>CEILING(C1144/$H$3,1)*CEILING($H$2/$H$3,1)/CEILING($H$2/$H$3,1)</f>
        <v>6</v>
      </c>
      <c r="E1144" s="28">
        <f>CEILING(C1144/$H$3,1)*CEILING($H$2/$H$3,1)/CEILING(C1144/$H$3,1)</f>
        <v>1</v>
      </c>
      <c r="F1144" s="28">
        <f>$B$5/D1144/B1144*E1144</f>
        <v>1.629</v>
      </c>
    </row>
    <row r="1145" spans="1:6" x14ac:dyDescent="0.4">
      <c r="A1145" s="28">
        <f t="shared" si="35"/>
        <v>1429</v>
      </c>
      <c r="B1145" s="28">
        <f t="shared" si="34"/>
        <v>0.13802622498274672</v>
      </c>
      <c r="C1145" s="28">
        <f>A1145+$E$6</f>
        <v>1451</v>
      </c>
      <c r="D1145" s="28">
        <f>CEILING(C1145/$H$3,1)*CEILING($H$2/$H$3,1)/CEILING($H$2/$H$3,1)</f>
        <v>6</v>
      </c>
      <c r="E1145" s="28">
        <f>CEILING(C1145/$H$3,1)*CEILING($H$2/$H$3,1)/CEILING(C1145/$H$3,1)</f>
        <v>1</v>
      </c>
      <c r="F1145" s="28">
        <f>$B$5/D1145/B1145*E1145</f>
        <v>1.630125</v>
      </c>
    </row>
    <row r="1146" spans="1:6" x14ac:dyDescent="0.4">
      <c r="A1146" s="28">
        <f t="shared" si="35"/>
        <v>1430</v>
      </c>
      <c r="B1146" s="28">
        <f t="shared" si="34"/>
        <v>0.13793103448275862</v>
      </c>
      <c r="C1146" s="28">
        <f>A1146+$E$6</f>
        <v>1452</v>
      </c>
      <c r="D1146" s="28">
        <f>CEILING(C1146/$H$3,1)*CEILING($H$2/$H$3,1)/CEILING($H$2/$H$3,1)</f>
        <v>6</v>
      </c>
      <c r="E1146" s="28">
        <f>CEILING(C1146/$H$3,1)*CEILING($H$2/$H$3,1)/CEILING(C1146/$H$3,1)</f>
        <v>1</v>
      </c>
      <c r="F1146" s="28">
        <f>$B$5/D1146/B1146*E1146</f>
        <v>1.6312500000000001</v>
      </c>
    </row>
    <row r="1147" spans="1:6" x14ac:dyDescent="0.4">
      <c r="A1147" s="28">
        <f t="shared" si="35"/>
        <v>1431</v>
      </c>
      <c r="B1147" s="28">
        <f t="shared" si="34"/>
        <v>0.13783597518952448</v>
      </c>
      <c r="C1147" s="28">
        <f>A1147+$E$6</f>
        <v>1453</v>
      </c>
      <c r="D1147" s="28">
        <f>CEILING(C1147/$H$3,1)*CEILING($H$2/$H$3,1)/CEILING($H$2/$H$3,1)</f>
        <v>6</v>
      </c>
      <c r="E1147" s="28">
        <f>CEILING(C1147/$H$3,1)*CEILING($H$2/$H$3,1)/CEILING(C1147/$H$3,1)</f>
        <v>1</v>
      </c>
      <c r="F1147" s="28">
        <f>$B$5/D1147/B1147*E1147</f>
        <v>1.6323749999999999</v>
      </c>
    </row>
    <row r="1148" spans="1:6" x14ac:dyDescent="0.4">
      <c r="A1148" s="28">
        <f t="shared" si="35"/>
        <v>1432</v>
      </c>
      <c r="B1148" s="28">
        <f t="shared" si="34"/>
        <v>0.13774104683195593</v>
      </c>
      <c r="C1148" s="28">
        <f>A1148+$E$6</f>
        <v>1454</v>
      </c>
      <c r="D1148" s="28">
        <f>CEILING(C1148/$H$3,1)*CEILING($H$2/$H$3,1)/CEILING($H$2/$H$3,1)</f>
        <v>6</v>
      </c>
      <c r="E1148" s="28">
        <f>CEILING(C1148/$H$3,1)*CEILING($H$2/$H$3,1)/CEILING(C1148/$H$3,1)</f>
        <v>1</v>
      </c>
      <c r="F1148" s="28">
        <f>$B$5/D1148/B1148*E1148</f>
        <v>1.6335</v>
      </c>
    </row>
    <row r="1149" spans="1:6" x14ac:dyDescent="0.4">
      <c r="A1149" s="28">
        <f t="shared" si="35"/>
        <v>1433</v>
      </c>
      <c r="B1149" s="28">
        <f t="shared" si="34"/>
        <v>0.13764624913971094</v>
      </c>
      <c r="C1149" s="28">
        <f>A1149+$E$6</f>
        <v>1455</v>
      </c>
      <c r="D1149" s="28">
        <f>CEILING(C1149/$H$3,1)*CEILING($H$2/$H$3,1)/CEILING($H$2/$H$3,1)</f>
        <v>6</v>
      </c>
      <c r="E1149" s="28">
        <f>CEILING(C1149/$H$3,1)*CEILING($H$2/$H$3,1)/CEILING(C1149/$H$3,1)</f>
        <v>1</v>
      </c>
      <c r="F1149" s="28">
        <f>$B$5/D1149/B1149*E1149</f>
        <v>1.6346250000000002</v>
      </c>
    </row>
    <row r="1150" spans="1:6" x14ac:dyDescent="0.4">
      <c r="A1150" s="28">
        <f t="shared" si="35"/>
        <v>1434</v>
      </c>
      <c r="B1150" s="28">
        <f t="shared" si="34"/>
        <v>0.13755158184319119</v>
      </c>
      <c r="C1150" s="28">
        <f>A1150+$E$6</f>
        <v>1456</v>
      </c>
      <c r="D1150" s="28">
        <f>CEILING(C1150/$H$3,1)*CEILING($H$2/$H$3,1)/CEILING($H$2/$H$3,1)</f>
        <v>6</v>
      </c>
      <c r="E1150" s="28">
        <f>CEILING(C1150/$H$3,1)*CEILING($H$2/$H$3,1)/CEILING(C1150/$H$3,1)</f>
        <v>1</v>
      </c>
      <c r="F1150" s="28">
        <f>$B$5/D1150/B1150*E1150</f>
        <v>1.63575</v>
      </c>
    </row>
    <row r="1151" spans="1:6" x14ac:dyDescent="0.4">
      <c r="A1151" s="28">
        <f t="shared" si="35"/>
        <v>1435</v>
      </c>
      <c r="B1151" s="28">
        <f t="shared" si="34"/>
        <v>0.13745704467353953</v>
      </c>
      <c r="C1151" s="28">
        <f>A1151+$E$6</f>
        <v>1457</v>
      </c>
      <c r="D1151" s="28">
        <f>CEILING(C1151/$H$3,1)*CEILING($H$2/$H$3,1)/CEILING($H$2/$H$3,1)</f>
        <v>6</v>
      </c>
      <c r="E1151" s="28">
        <f>CEILING(C1151/$H$3,1)*CEILING($H$2/$H$3,1)/CEILING(C1151/$H$3,1)</f>
        <v>1</v>
      </c>
      <c r="F1151" s="28">
        <f>$B$5/D1151/B1151*E1151</f>
        <v>1.6368749999999999</v>
      </c>
    </row>
    <row r="1152" spans="1:6" x14ac:dyDescent="0.4">
      <c r="A1152" s="28">
        <f t="shared" si="35"/>
        <v>1436</v>
      </c>
      <c r="B1152" s="28">
        <f t="shared" si="34"/>
        <v>0.13736263736263737</v>
      </c>
      <c r="C1152" s="28">
        <f>A1152+$E$6</f>
        <v>1458</v>
      </c>
      <c r="D1152" s="28">
        <f>CEILING(C1152/$H$3,1)*CEILING($H$2/$H$3,1)/CEILING($H$2/$H$3,1)</f>
        <v>6</v>
      </c>
      <c r="E1152" s="28">
        <f>CEILING(C1152/$H$3,1)*CEILING($H$2/$H$3,1)/CEILING(C1152/$H$3,1)</f>
        <v>1</v>
      </c>
      <c r="F1152" s="28">
        <f>$B$5/D1152/B1152*E1152</f>
        <v>1.6379999999999999</v>
      </c>
    </row>
    <row r="1153" spans="1:6" x14ac:dyDescent="0.4">
      <c r="A1153" s="28">
        <f t="shared" si="35"/>
        <v>1437</v>
      </c>
      <c r="B1153" s="28">
        <f t="shared" si="34"/>
        <v>0.13726835964310227</v>
      </c>
      <c r="C1153" s="28">
        <f>A1153+$E$6</f>
        <v>1459</v>
      </c>
      <c r="D1153" s="28">
        <f>CEILING(C1153/$H$3,1)*CEILING($H$2/$H$3,1)/CEILING($H$2/$H$3,1)</f>
        <v>6</v>
      </c>
      <c r="E1153" s="28">
        <f>CEILING(C1153/$H$3,1)*CEILING($H$2/$H$3,1)/CEILING(C1153/$H$3,1)</f>
        <v>1</v>
      </c>
      <c r="F1153" s="28">
        <f>$B$5/D1153/B1153*E1153</f>
        <v>1.6391249999999999</v>
      </c>
    </row>
    <row r="1154" spans="1:6" x14ac:dyDescent="0.4">
      <c r="A1154" s="28">
        <f t="shared" si="35"/>
        <v>1438</v>
      </c>
      <c r="B1154" s="28">
        <f t="shared" si="34"/>
        <v>0.13717421124828533</v>
      </c>
      <c r="C1154" s="28">
        <f>A1154+$E$6</f>
        <v>1460</v>
      </c>
      <c r="D1154" s="28">
        <f>CEILING(C1154/$H$3,1)*CEILING($H$2/$H$3,1)/CEILING($H$2/$H$3,1)</f>
        <v>6</v>
      </c>
      <c r="E1154" s="28">
        <f>CEILING(C1154/$H$3,1)*CEILING($H$2/$H$3,1)/CEILING(C1154/$H$3,1)</f>
        <v>1</v>
      </c>
      <c r="F1154" s="28">
        <f>$B$5/D1154/B1154*E1154</f>
        <v>1.64025</v>
      </c>
    </row>
    <row r="1155" spans="1:6" x14ac:dyDescent="0.4">
      <c r="A1155" s="28">
        <f t="shared" si="35"/>
        <v>1439</v>
      </c>
      <c r="B1155" s="28">
        <f t="shared" si="34"/>
        <v>0.13708019191226867</v>
      </c>
      <c r="C1155" s="28">
        <f>A1155+$E$6</f>
        <v>1461</v>
      </c>
      <c r="D1155" s="28">
        <f>CEILING(C1155/$H$3,1)*CEILING($H$2/$H$3,1)/CEILING($H$2/$H$3,1)</f>
        <v>6</v>
      </c>
      <c r="E1155" s="28">
        <f>CEILING(C1155/$H$3,1)*CEILING($H$2/$H$3,1)/CEILING(C1155/$H$3,1)</f>
        <v>1</v>
      </c>
      <c r="F1155" s="28">
        <f>$B$5/D1155/B1155*E1155</f>
        <v>1.6413750000000003</v>
      </c>
    </row>
    <row r="1156" spans="1:6" x14ac:dyDescent="0.4">
      <c r="A1156" s="28">
        <f t="shared" si="35"/>
        <v>1440</v>
      </c>
      <c r="B1156" s="28">
        <f t="shared" si="34"/>
        <v>0.13698630136986301</v>
      </c>
      <c r="C1156" s="28">
        <f>A1156+$E$6</f>
        <v>1462</v>
      </c>
      <c r="D1156" s="28">
        <f>CEILING(C1156/$H$3,1)*CEILING($H$2/$H$3,1)/CEILING($H$2/$H$3,1)</f>
        <v>6</v>
      </c>
      <c r="E1156" s="28">
        <f>CEILING(C1156/$H$3,1)*CEILING($H$2/$H$3,1)/CEILING(C1156/$H$3,1)</f>
        <v>1</v>
      </c>
      <c r="F1156" s="28">
        <f>$B$5/D1156/B1156*E1156</f>
        <v>1.6425000000000001</v>
      </c>
    </row>
    <row r="1157" spans="1:6" x14ac:dyDescent="0.4">
      <c r="A1157" s="28">
        <f t="shared" si="35"/>
        <v>1441</v>
      </c>
      <c r="B1157" s="28">
        <f t="shared" si="34"/>
        <v>0.13689253935660506</v>
      </c>
      <c r="C1157" s="28">
        <f>A1157+$E$6</f>
        <v>1463</v>
      </c>
      <c r="D1157" s="28">
        <f>CEILING(C1157/$H$3,1)*CEILING($H$2/$H$3,1)/CEILING($H$2/$H$3,1)</f>
        <v>6</v>
      </c>
      <c r="E1157" s="28">
        <f>CEILING(C1157/$H$3,1)*CEILING($H$2/$H$3,1)/CEILING(C1157/$H$3,1)</f>
        <v>1</v>
      </c>
      <c r="F1157" s="28">
        <f>$B$5/D1157/B1157*E1157</f>
        <v>1.6436250000000001</v>
      </c>
    </row>
    <row r="1158" spans="1:6" x14ac:dyDescent="0.4">
      <c r="A1158" s="28">
        <f t="shared" si="35"/>
        <v>1442</v>
      </c>
      <c r="B1158" s="28">
        <f t="shared" si="34"/>
        <v>0.13679890560875513</v>
      </c>
      <c r="C1158" s="28">
        <f>A1158+$E$6</f>
        <v>1464</v>
      </c>
      <c r="D1158" s="28">
        <f>CEILING(C1158/$H$3,1)*CEILING($H$2/$H$3,1)/CEILING($H$2/$H$3,1)</f>
        <v>6</v>
      </c>
      <c r="E1158" s="28">
        <f>CEILING(C1158/$H$3,1)*CEILING($H$2/$H$3,1)/CEILING(C1158/$H$3,1)</f>
        <v>1</v>
      </c>
      <c r="F1158" s="28">
        <f>$B$5/D1158/B1158*E1158</f>
        <v>1.6447500000000002</v>
      </c>
    </row>
    <row r="1159" spans="1:6" x14ac:dyDescent="0.4">
      <c r="A1159" s="28">
        <f t="shared" si="35"/>
        <v>1443</v>
      </c>
      <c r="B1159" s="28">
        <f t="shared" si="34"/>
        <v>0.13670539986329461</v>
      </c>
      <c r="C1159" s="28">
        <f>A1159+$E$6</f>
        <v>1465</v>
      </c>
      <c r="D1159" s="28">
        <f>CEILING(C1159/$H$3,1)*CEILING($H$2/$H$3,1)/CEILING($H$2/$H$3,1)</f>
        <v>6</v>
      </c>
      <c r="E1159" s="28">
        <f>CEILING(C1159/$H$3,1)*CEILING($H$2/$H$3,1)/CEILING(C1159/$H$3,1)</f>
        <v>1</v>
      </c>
      <c r="F1159" s="28">
        <f>$B$5/D1159/B1159*E1159</f>
        <v>1.645875</v>
      </c>
    </row>
    <row r="1160" spans="1:6" x14ac:dyDescent="0.4">
      <c r="A1160" s="28">
        <f t="shared" si="35"/>
        <v>1444</v>
      </c>
      <c r="B1160" s="28">
        <f t="shared" si="34"/>
        <v>0.13661202185792351</v>
      </c>
      <c r="C1160" s="28">
        <f>A1160+$E$6</f>
        <v>1466</v>
      </c>
      <c r="D1160" s="28">
        <f>CEILING(C1160/$H$3,1)*CEILING($H$2/$H$3,1)/CEILING($H$2/$H$3,1)</f>
        <v>6</v>
      </c>
      <c r="E1160" s="28">
        <f>CEILING(C1160/$H$3,1)*CEILING($H$2/$H$3,1)/CEILING(C1160/$H$3,1)</f>
        <v>1</v>
      </c>
      <c r="F1160" s="28">
        <f>$B$5/D1160/B1160*E1160</f>
        <v>1.6469999999999998</v>
      </c>
    </row>
    <row r="1161" spans="1:6" x14ac:dyDescent="0.4">
      <c r="A1161" s="28">
        <f t="shared" si="35"/>
        <v>1445</v>
      </c>
      <c r="B1161" s="28">
        <f t="shared" si="34"/>
        <v>0.13651877133105803</v>
      </c>
      <c r="C1161" s="28">
        <f>A1161+$E$6</f>
        <v>1467</v>
      </c>
      <c r="D1161" s="28">
        <f>CEILING(C1161/$H$3,1)*CEILING($H$2/$H$3,1)/CEILING($H$2/$H$3,1)</f>
        <v>6</v>
      </c>
      <c r="E1161" s="28">
        <f>CEILING(C1161/$H$3,1)*CEILING($H$2/$H$3,1)/CEILING(C1161/$H$3,1)</f>
        <v>1</v>
      </c>
      <c r="F1161" s="28">
        <f>$B$5/D1161/B1161*E1161</f>
        <v>1.6481250000000001</v>
      </c>
    </row>
    <row r="1162" spans="1:6" x14ac:dyDescent="0.4">
      <c r="A1162" s="28">
        <f t="shared" si="35"/>
        <v>1446</v>
      </c>
      <c r="B1162" s="28">
        <f t="shared" si="34"/>
        <v>0.13642564802182811</v>
      </c>
      <c r="C1162" s="28">
        <f>A1162+$E$6</f>
        <v>1468</v>
      </c>
      <c r="D1162" s="28">
        <f>CEILING(C1162/$H$3,1)*CEILING($H$2/$H$3,1)/CEILING($H$2/$H$3,1)</f>
        <v>6</v>
      </c>
      <c r="E1162" s="28">
        <f>CEILING(C1162/$H$3,1)*CEILING($H$2/$H$3,1)/CEILING(C1162/$H$3,1)</f>
        <v>1</v>
      </c>
      <c r="F1162" s="28">
        <f>$B$5/D1162/B1162*E1162</f>
        <v>1.6492500000000001</v>
      </c>
    </row>
    <row r="1163" spans="1:6" x14ac:dyDescent="0.4">
      <c r="A1163" s="28">
        <f t="shared" si="35"/>
        <v>1447</v>
      </c>
      <c r="B1163" s="28">
        <f t="shared" ref="B1163:B1226" si="36">$B$4/8/(A1163+$B$2)</f>
        <v>0.13633265167007499</v>
      </c>
      <c r="C1163" s="28">
        <f>A1163+$E$6</f>
        <v>1469</v>
      </c>
      <c r="D1163" s="28">
        <f>CEILING(C1163/$H$3,1)*CEILING($H$2/$H$3,1)/CEILING($H$2/$H$3,1)</f>
        <v>6</v>
      </c>
      <c r="E1163" s="28">
        <f>CEILING(C1163/$H$3,1)*CEILING($H$2/$H$3,1)/CEILING(C1163/$H$3,1)</f>
        <v>1</v>
      </c>
      <c r="F1163" s="28">
        <f>$B$5/D1163/B1163*E1163</f>
        <v>1.6503749999999999</v>
      </c>
    </row>
    <row r="1164" spans="1:6" x14ac:dyDescent="0.4">
      <c r="A1164" s="28">
        <f t="shared" si="35"/>
        <v>1448</v>
      </c>
      <c r="B1164" s="28">
        <f t="shared" si="36"/>
        <v>0.13623978201634879</v>
      </c>
      <c r="C1164" s="28">
        <f>A1164+$E$6</f>
        <v>1470</v>
      </c>
      <c r="D1164" s="28">
        <f>CEILING(C1164/$H$3,1)*CEILING($H$2/$H$3,1)/CEILING($H$2/$H$3,1)</f>
        <v>6</v>
      </c>
      <c r="E1164" s="28">
        <f>CEILING(C1164/$H$3,1)*CEILING($H$2/$H$3,1)/CEILING(C1164/$H$3,1)</f>
        <v>1</v>
      </c>
      <c r="F1164" s="28">
        <f>$B$5/D1164/B1164*E1164</f>
        <v>1.6515</v>
      </c>
    </row>
    <row r="1165" spans="1:6" x14ac:dyDescent="0.4">
      <c r="A1165" s="28">
        <f t="shared" ref="A1165:A1228" si="37">A1164+$B$3</f>
        <v>1449</v>
      </c>
      <c r="B1165" s="28">
        <f t="shared" si="36"/>
        <v>0.13614703880190607</v>
      </c>
      <c r="C1165" s="28">
        <f>A1165+$E$6</f>
        <v>1471</v>
      </c>
      <c r="D1165" s="28">
        <f>CEILING(C1165/$H$3,1)*CEILING($H$2/$H$3,1)/CEILING($H$2/$H$3,1)</f>
        <v>6</v>
      </c>
      <c r="E1165" s="28">
        <f>CEILING(C1165/$H$3,1)*CEILING($H$2/$H$3,1)/CEILING(C1165/$H$3,1)</f>
        <v>1</v>
      </c>
      <c r="F1165" s="28">
        <f>$B$5/D1165/B1165*E1165</f>
        <v>1.652625</v>
      </c>
    </row>
    <row r="1166" spans="1:6" x14ac:dyDescent="0.4">
      <c r="A1166" s="28">
        <f t="shared" si="37"/>
        <v>1450</v>
      </c>
      <c r="B1166" s="28">
        <f t="shared" si="36"/>
        <v>0.1360544217687075</v>
      </c>
      <c r="C1166" s="28">
        <f>A1166+$E$6</f>
        <v>1472</v>
      </c>
      <c r="D1166" s="28">
        <f>CEILING(C1166/$H$3,1)*CEILING($H$2/$H$3,1)/CEILING($H$2/$H$3,1)</f>
        <v>6</v>
      </c>
      <c r="E1166" s="28">
        <f>CEILING(C1166/$H$3,1)*CEILING($H$2/$H$3,1)/CEILING(C1166/$H$3,1)</f>
        <v>1</v>
      </c>
      <c r="F1166" s="28">
        <f>$B$5/D1166/B1166*E1166</f>
        <v>1.6537499999999998</v>
      </c>
    </row>
    <row r="1167" spans="1:6" x14ac:dyDescent="0.4">
      <c r="A1167" s="28">
        <f t="shared" si="37"/>
        <v>1451</v>
      </c>
      <c r="B1167" s="28">
        <f t="shared" si="36"/>
        <v>0.13596193065941536</v>
      </c>
      <c r="C1167" s="28">
        <f>A1167+$E$6</f>
        <v>1473</v>
      </c>
      <c r="D1167" s="28">
        <f>CEILING(C1167/$H$3,1)*CEILING($H$2/$H$3,1)/CEILING($H$2/$H$3,1)</f>
        <v>6</v>
      </c>
      <c r="E1167" s="28">
        <f>CEILING(C1167/$H$3,1)*CEILING($H$2/$H$3,1)/CEILING(C1167/$H$3,1)</f>
        <v>1</v>
      </c>
      <c r="F1167" s="28">
        <f>$B$5/D1167/B1167*E1167</f>
        <v>1.6548750000000001</v>
      </c>
    </row>
    <row r="1168" spans="1:6" x14ac:dyDescent="0.4">
      <c r="A1168" s="28">
        <f t="shared" si="37"/>
        <v>1452</v>
      </c>
      <c r="B1168" s="28">
        <f t="shared" si="36"/>
        <v>0.1358695652173913</v>
      </c>
      <c r="C1168" s="28">
        <f>A1168+$E$6</f>
        <v>1474</v>
      </c>
      <c r="D1168" s="28">
        <f>CEILING(C1168/$H$3,1)*CEILING($H$2/$H$3,1)/CEILING($H$2/$H$3,1)</f>
        <v>6</v>
      </c>
      <c r="E1168" s="28">
        <f>CEILING(C1168/$H$3,1)*CEILING($H$2/$H$3,1)/CEILING(C1168/$H$3,1)</f>
        <v>1</v>
      </c>
      <c r="F1168" s="28">
        <f>$B$5/D1168/B1168*E1168</f>
        <v>1.6560000000000001</v>
      </c>
    </row>
    <row r="1169" spans="1:6" x14ac:dyDescent="0.4">
      <c r="A1169" s="28">
        <f t="shared" si="37"/>
        <v>1453</v>
      </c>
      <c r="B1169" s="28">
        <f t="shared" si="36"/>
        <v>0.13577732518669383</v>
      </c>
      <c r="C1169" s="28">
        <f>A1169+$E$6</f>
        <v>1475</v>
      </c>
      <c r="D1169" s="28">
        <f>CEILING(C1169/$H$3,1)*CEILING($H$2/$H$3,1)/CEILING($H$2/$H$3,1)</f>
        <v>6</v>
      </c>
      <c r="E1169" s="28">
        <f>CEILING(C1169/$H$3,1)*CEILING($H$2/$H$3,1)/CEILING(C1169/$H$3,1)</f>
        <v>1</v>
      </c>
      <c r="F1169" s="28">
        <f>$B$5/D1169/B1169*E1169</f>
        <v>1.657125</v>
      </c>
    </row>
    <row r="1170" spans="1:6" x14ac:dyDescent="0.4">
      <c r="A1170" s="28">
        <f t="shared" si="37"/>
        <v>1454</v>
      </c>
      <c r="B1170" s="28">
        <f t="shared" si="36"/>
        <v>0.13568521031207598</v>
      </c>
      <c r="C1170" s="28">
        <f>A1170+$E$6</f>
        <v>1476</v>
      </c>
      <c r="D1170" s="28">
        <f>CEILING(C1170/$H$3,1)*CEILING($H$2/$H$3,1)/CEILING($H$2/$H$3,1)</f>
        <v>6</v>
      </c>
      <c r="E1170" s="28">
        <f>CEILING(C1170/$H$3,1)*CEILING($H$2/$H$3,1)/CEILING(C1170/$H$3,1)</f>
        <v>1</v>
      </c>
      <c r="F1170" s="28">
        <f>$B$5/D1170/B1170*E1170</f>
        <v>1.6582500000000002</v>
      </c>
    </row>
    <row r="1171" spans="1:6" x14ac:dyDescent="0.4">
      <c r="A1171" s="28">
        <f t="shared" si="37"/>
        <v>1455</v>
      </c>
      <c r="B1171" s="28">
        <f t="shared" si="36"/>
        <v>0.13559322033898305</v>
      </c>
      <c r="C1171" s="28">
        <f>A1171+$E$6</f>
        <v>1477</v>
      </c>
      <c r="D1171" s="28">
        <f>CEILING(C1171/$H$3,1)*CEILING($H$2/$H$3,1)/CEILING($H$2/$H$3,1)</f>
        <v>6</v>
      </c>
      <c r="E1171" s="28">
        <f>CEILING(C1171/$H$3,1)*CEILING($H$2/$H$3,1)/CEILING(C1171/$H$3,1)</f>
        <v>1</v>
      </c>
      <c r="F1171" s="28">
        <f>$B$5/D1171/B1171*E1171</f>
        <v>1.659375</v>
      </c>
    </row>
    <row r="1172" spans="1:6" x14ac:dyDescent="0.4">
      <c r="A1172" s="28">
        <f t="shared" si="37"/>
        <v>1456</v>
      </c>
      <c r="B1172" s="28">
        <f t="shared" si="36"/>
        <v>0.13550135501355012</v>
      </c>
      <c r="C1172" s="28">
        <f>A1172+$E$6</f>
        <v>1478</v>
      </c>
      <c r="D1172" s="28">
        <f>CEILING(C1172/$H$3,1)*CEILING($H$2/$H$3,1)/CEILING($H$2/$H$3,1)</f>
        <v>6</v>
      </c>
      <c r="E1172" s="28">
        <f>CEILING(C1172/$H$3,1)*CEILING($H$2/$H$3,1)/CEILING(C1172/$H$3,1)</f>
        <v>1</v>
      </c>
      <c r="F1172" s="28">
        <f>$B$5/D1172/B1172*E1172</f>
        <v>1.6605000000000001</v>
      </c>
    </row>
    <row r="1173" spans="1:6" x14ac:dyDescent="0.4">
      <c r="A1173" s="28">
        <f t="shared" si="37"/>
        <v>1457</v>
      </c>
      <c r="B1173" s="28">
        <f t="shared" si="36"/>
        <v>0.13540961408259986</v>
      </c>
      <c r="C1173" s="28">
        <f>A1173+$E$6</f>
        <v>1479</v>
      </c>
      <c r="D1173" s="28">
        <f>CEILING(C1173/$H$3,1)*CEILING($H$2/$H$3,1)/CEILING($H$2/$H$3,1)</f>
        <v>6</v>
      </c>
      <c r="E1173" s="28">
        <f>CEILING(C1173/$H$3,1)*CEILING($H$2/$H$3,1)/CEILING(C1173/$H$3,1)</f>
        <v>1</v>
      </c>
      <c r="F1173" s="28">
        <f>$B$5/D1173/B1173*E1173</f>
        <v>1.6616250000000001</v>
      </c>
    </row>
    <row r="1174" spans="1:6" x14ac:dyDescent="0.4">
      <c r="A1174" s="28">
        <f t="shared" si="37"/>
        <v>1458</v>
      </c>
      <c r="B1174" s="28">
        <f t="shared" si="36"/>
        <v>0.13531799729364005</v>
      </c>
      <c r="C1174" s="28">
        <f>A1174+$E$6</f>
        <v>1480</v>
      </c>
      <c r="D1174" s="28">
        <f>CEILING(C1174/$H$3,1)*CEILING($H$2/$H$3,1)/CEILING($H$2/$H$3,1)</f>
        <v>6</v>
      </c>
      <c r="E1174" s="28">
        <f>CEILING(C1174/$H$3,1)*CEILING($H$2/$H$3,1)/CEILING(C1174/$H$3,1)</f>
        <v>1</v>
      </c>
      <c r="F1174" s="28">
        <f>$B$5/D1174/B1174*E1174</f>
        <v>1.6627500000000002</v>
      </c>
    </row>
    <row r="1175" spans="1:6" x14ac:dyDescent="0.4">
      <c r="A1175" s="28">
        <f t="shared" si="37"/>
        <v>1459</v>
      </c>
      <c r="B1175" s="28">
        <f t="shared" si="36"/>
        <v>0.13522650439486139</v>
      </c>
      <c r="C1175" s="28">
        <f>A1175+$E$6</f>
        <v>1481</v>
      </c>
      <c r="D1175" s="28">
        <f>CEILING(C1175/$H$3,1)*CEILING($H$2/$H$3,1)/CEILING($H$2/$H$3,1)</f>
        <v>6</v>
      </c>
      <c r="E1175" s="28">
        <f>CEILING(C1175/$H$3,1)*CEILING($H$2/$H$3,1)/CEILING(C1175/$H$3,1)</f>
        <v>1</v>
      </c>
      <c r="F1175" s="28">
        <f>$B$5/D1175/B1175*E1175</f>
        <v>1.663875</v>
      </c>
    </row>
    <row r="1176" spans="1:6" x14ac:dyDescent="0.4">
      <c r="A1176" s="28">
        <f t="shared" si="37"/>
        <v>1460</v>
      </c>
      <c r="B1176" s="28">
        <f t="shared" si="36"/>
        <v>0.13513513513513514</v>
      </c>
      <c r="C1176" s="28">
        <f>A1176+$E$6</f>
        <v>1482</v>
      </c>
      <c r="D1176" s="28">
        <f>CEILING(C1176/$H$3,1)*CEILING($H$2/$H$3,1)/CEILING($H$2/$H$3,1)</f>
        <v>6</v>
      </c>
      <c r="E1176" s="28">
        <f>CEILING(C1176/$H$3,1)*CEILING($H$2/$H$3,1)/CEILING(C1176/$H$3,1)</f>
        <v>1</v>
      </c>
      <c r="F1176" s="28">
        <f>$B$5/D1176/B1176*E1176</f>
        <v>1.665</v>
      </c>
    </row>
    <row r="1177" spans="1:6" x14ac:dyDescent="0.4">
      <c r="A1177" s="28">
        <f t="shared" si="37"/>
        <v>1461</v>
      </c>
      <c r="B1177" s="28">
        <f t="shared" si="36"/>
        <v>0.13504388926401081</v>
      </c>
      <c r="C1177" s="28">
        <f>A1177+$E$6</f>
        <v>1483</v>
      </c>
      <c r="D1177" s="28">
        <f>CEILING(C1177/$H$3,1)*CEILING($H$2/$H$3,1)/CEILING($H$2/$H$3,1)</f>
        <v>6</v>
      </c>
      <c r="E1177" s="28">
        <f>CEILING(C1177/$H$3,1)*CEILING($H$2/$H$3,1)/CEILING(C1177/$H$3,1)</f>
        <v>1</v>
      </c>
      <c r="F1177" s="28">
        <f>$B$5/D1177/B1177*E1177</f>
        <v>1.6661249999999999</v>
      </c>
    </row>
    <row r="1178" spans="1:6" x14ac:dyDescent="0.4">
      <c r="A1178" s="28">
        <f t="shared" si="37"/>
        <v>1462</v>
      </c>
      <c r="B1178" s="28">
        <f t="shared" si="36"/>
        <v>0.1349527665317139</v>
      </c>
      <c r="C1178" s="28">
        <f>A1178+$E$6</f>
        <v>1484</v>
      </c>
      <c r="D1178" s="28">
        <f>CEILING(C1178/$H$3,1)*CEILING($H$2/$H$3,1)/CEILING($H$2/$H$3,1)</f>
        <v>6</v>
      </c>
      <c r="E1178" s="28">
        <f>CEILING(C1178/$H$3,1)*CEILING($H$2/$H$3,1)/CEILING(C1178/$H$3,1)</f>
        <v>1</v>
      </c>
      <c r="F1178" s="28">
        <f>$B$5/D1178/B1178*E1178</f>
        <v>1.6672500000000001</v>
      </c>
    </row>
    <row r="1179" spans="1:6" x14ac:dyDescent="0.4">
      <c r="A1179" s="28">
        <f t="shared" si="37"/>
        <v>1463</v>
      </c>
      <c r="B1179" s="28">
        <f t="shared" si="36"/>
        <v>0.13486176668914363</v>
      </c>
      <c r="C1179" s="28">
        <f>A1179+$E$6</f>
        <v>1485</v>
      </c>
      <c r="D1179" s="28">
        <f>CEILING(C1179/$H$3,1)*CEILING($H$2/$H$3,1)/CEILING($H$2/$H$3,1)</f>
        <v>6</v>
      </c>
      <c r="E1179" s="28">
        <f>CEILING(C1179/$H$3,1)*CEILING($H$2/$H$3,1)/CEILING(C1179/$H$3,1)</f>
        <v>1</v>
      </c>
      <c r="F1179" s="28">
        <f>$B$5/D1179/B1179*E1179</f>
        <v>1.6683750000000002</v>
      </c>
    </row>
    <row r="1180" spans="1:6" x14ac:dyDescent="0.4">
      <c r="A1180" s="28">
        <f t="shared" si="37"/>
        <v>1464</v>
      </c>
      <c r="B1180" s="28">
        <f t="shared" si="36"/>
        <v>0.13477088948787061</v>
      </c>
      <c r="C1180" s="28">
        <f>A1180+$E$6</f>
        <v>1486</v>
      </c>
      <c r="D1180" s="28">
        <f>CEILING(C1180/$H$3,1)*CEILING($H$2/$H$3,1)/CEILING($H$2/$H$3,1)</f>
        <v>6</v>
      </c>
      <c r="E1180" s="28">
        <f>CEILING(C1180/$H$3,1)*CEILING($H$2/$H$3,1)/CEILING(C1180/$H$3,1)</f>
        <v>1</v>
      </c>
      <c r="F1180" s="28">
        <f>$B$5/D1180/B1180*E1180</f>
        <v>1.6695000000000002</v>
      </c>
    </row>
    <row r="1181" spans="1:6" x14ac:dyDescent="0.4">
      <c r="A1181" s="28">
        <f t="shared" si="37"/>
        <v>1465</v>
      </c>
      <c r="B1181" s="28">
        <f t="shared" si="36"/>
        <v>0.13468013468013468</v>
      </c>
      <c r="C1181" s="28">
        <f>A1181+$E$6</f>
        <v>1487</v>
      </c>
      <c r="D1181" s="28">
        <f>CEILING(C1181/$H$3,1)*CEILING($H$2/$H$3,1)/CEILING($H$2/$H$3,1)</f>
        <v>6</v>
      </c>
      <c r="E1181" s="28">
        <f>CEILING(C1181/$H$3,1)*CEILING($H$2/$H$3,1)/CEILING(C1181/$H$3,1)</f>
        <v>1</v>
      </c>
      <c r="F1181" s="28">
        <f>$B$5/D1181/B1181*E1181</f>
        <v>1.670625</v>
      </c>
    </row>
    <row r="1182" spans="1:6" x14ac:dyDescent="0.4">
      <c r="A1182" s="28">
        <f t="shared" si="37"/>
        <v>1466</v>
      </c>
      <c r="B1182" s="28">
        <f t="shared" si="36"/>
        <v>0.13458950201884254</v>
      </c>
      <c r="C1182" s="28">
        <f>A1182+$E$6</f>
        <v>1488</v>
      </c>
      <c r="D1182" s="28">
        <f>CEILING(C1182/$H$3,1)*CEILING($H$2/$H$3,1)/CEILING($H$2/$H$3,1)</f>
        <v>6</v>
      </c>
      <c r="E1182" s="28">
        <f>CEILING(C1182/$H$3,1)*CEILING($H$2/$H$3,1)/CEILING(C1182/$H$3,1)</f>
        <v>1</v>
      </c>
      <c r="F1182" s="28">
        <f>$B$5/D1182/B1182*E1182</f>
        <v>1.6717499999999998</v>
      </c>
    </row>
    <row r="1183" spans="1:6" x14ac:dyDescent="0.4">
      <c r="A1183" s="28">
        <f t="shared" si="37"/>
        <v>1467</v>
      </c>
      <c r="B1183" s="28">
        <f t="shared" si="36"/>
        <v>0.13449899125756556</v>
      </c>
      <c r="C1183" s="28">
        <f>A1183+$E$6</f>
        <v>1489</v>
      </c>
      <c r="D1183" s="28">
        <f>CEILING(C1183/$H$3,1)*CEILING($H$2/$H$3,1)/CEILING($H$2/$H$3,1)</f>
        <v>6</v>
      </c>
      <c r="E1183" s="28">
        <f>CEILING(C1183/$H$3,1)*CEILING($H$2/$H$3,1)/CEILING(C1183/$H$3,1)</f>
        <v>1</v>
      </c>
      <c r="F1183" s="28">
        <f>$B$5/D1183/B1183*E1183</f>
        <v>1.6728750000000001</v>
      </c>
    </row>
    <row r="1184" spans="1:6" x14ac:dyDescent="0.4">
      <c r="A1184" s="28">
        <f t="shared" si="37"/>
        <v>1468</v>
      </c>
      <c r="B1184" s="28">
        <f t="shared" si="36"/>
        <v>0.13440860215053763</v>
      </c>
      <c r="C1184" s="28">
        <f>A1184+$E$6</f>
        <v>1490</v>
      </c>
      <c r="D1184" s="28">
        <f>CEILING(C1184/$H$3,1)*CEILING($H$2/$H$3,1)/CEILING($H$2/$H$3,1)</f>
        <v>6</v>
      </c>
      <c r="E1184" s="28">
        <f>CEILING(C1184/$H$3,1)*CEILING($H$2/$H$3,1)/CEILING(C1184/$H$3,1)</f>
        <v>1</v>
      </c>
      <c r="F1184" s="28">
        <f>$B$5/D1184/B1184*E1184</f>
        <v>1.6740000000000002</v>
      </c>
    </row>
    <row r="1185" spans="1:6" x14ac:dyDescent="0.4">
      <c r="A1185" s="28">
        <f t="shared" si="37"/>
        <v>1469</v>
      </c>
      <c r="B1185" s="28">
        <f t="shared" si="36"/>
        <v>0.13431833445265279</v>
      </c>
      <c r="C1185" s="28">
        <f>A1185+$E$6</f>
        <v>1491</v>
      </c>
      <c r="D1185" s="28">
        <f>CEILING(C1185/$H$3,1)*CEILING($H$2/$H$3,1)/CEILING($H$2/$H$3,1)</f>
        <v>6</v>
      </c>
      <c r="E1185" s="28">
        <f>CEILING(C1185/$H$3,1)*CEILING($H$2/$H$3,1)/CEILING(C1185/$H$3,1)</f>
        <v>1</v>
      </c>
      <c r="F1185" s="28">
        <f>$B$5/D1185/B1185*E1185</f>
        <v>1.675125</v>
      </c>
    </row>
    <row r="1186" spans="1:6" x14ac:dyDescent="0.4">
      <c r="A1186" s="28">
        <f t="shared" si="37"/>
        <v>1470</v>
      </c>
      <c r="B1186" s="28">
        <f t="shared" si="36"/>
        <v>0.13422818791946309</v>
      </c>
      <c r="C1186" s="28">
        <f>A1186+$E$6</f>
        <v>1492</v>
      </c>
      <c r="D1186" s="28">
        <f>CEILING(C1186/$H$3,1)*CEILING($H$2/$H$3,1)/CEILING($H$2/$H$3,1)</f>
        <v>6</v>
      </c>
      <c r="E1186" s="28">
        <f>CEILING(C1186/$H$3,1)*CEILING($H$2/$H$3,1)/CEILING(C1186/$H$3,1)</f>
        <v>1</v>
      </c>
      <c r="F1186" s="28">
        <f>$B$5/D1186/B1186*E1186</f>
        <v>1.67625</v>
      </c>
    </row>
    <row r="1187" spans="1:6" x14ac:dyDescent="0.4">
      <c r="A1187" s="28">
        <f t="shared" si="37"/>
        <v>1471</v>
      </c>
      <c r="B1187" s="28">
        <f t="shared" si="36"/>
        <v>0.1341381623071764</v>
      </c>
      <c r="C1187" s="28">
        <f>A1187+$E$6</f>
        <v>1493</v>
      </c>
      <c r="D1187" s="28">
        <f>CEILING(C1187/$H$3,1)*CEILING($H$2/$H$3,1)/CEILING($H$2/$H$3,1)</f>
        <v>6</v>
      </c>
      <c r="E1187" s="28">
        <f>CEILING(C1187/$H$3,1)*CEILING($H$2/$H$3,1)/CEILING(C1187/$H$3,1)</f>
        <v>1</v>
      </c>
      <c r="F1187" s="28">
        <f>$B$5/D1187/B1187*E1187</f>
        <v>1.6773749999999998</v>
      </c>
    </row>
    <row r="1188" spans="1:6" x14ac:dyDescent="0.4">
      <c r="A1188" s="28">
        <f t="shared" si="37"/>
        <v>1472</v>
      </c>
      <c r="B1188" s="28">
        <f t="shared" si="36"/>
        <v>0.13404825737265416</v>
      </c>
      <c r="C1188" s="28">
        <f>A1188+$E$6</f>
        <v>1494</v>
      </c>
      <c r="D1188" s="28">
        <f>CEILING(C1188/$H$3,1)*CEILING($H$2/$H$3,1)/CEILING($H$2/$H$3,1)</f>
        <v>6</v>
      </c>
      <c r="E1188" s="28">
        <f>CEILING(C1188/$H$3,1)*CEILING($H$2/$H$3,1)/CEILING(C1188/$H$3,1)</f>
        <v>1</v>
      </c>
      <c r="F1188" s="28">
        <f>$B$5/D1188/B1188*E1188</f>
        <v>1.6784999999999999</v>
      </c>
    </row>
    <row r="1189" spans="1:6" x14ac:dyDescent="0.4">
      <c r="A1189" s="28">
        <f t="shared" si="37"/>
        <v>1473</v>
      </c>
      <c r="B1189" s="28">
        <f t="shared" si="36"/>
        <v>0.13395847287340926</v>
      </c>
      <c r="C1189" s="28">
        <f>A1189+$E$6</f>
        <v>1495</v>
      </c>
      <c r="D1189" s="28">
        <f>CEILING(C1189/$H$3,1)*CEILING($H$2/$H$3,1)/CEILING($H$2/$H$3,1)</f>
        <v>6</v>
      </c>
      <c r="E1189" s="28">
        <f>CEILING(C1189/$H$3,1)*CEILING($H$2/$H$3,1)/CEILING(C1189/$H$3,1)</f>
        <v>1</v>
      </c>
      <c r="F1189" s="28">
        <f>$B$5/D1189/B1189*E1189</f>
        <v>1.6796249999999999</v>
      </c>
    </row>
    <row r="1190" spans="1:6" x14ac:dyDescent="0.4">
      <c r="A1190" s="28">
        <f t="shared" si="37"/>
        <v>1474</v>
      </c>
      <c r="B1190" s="28">
        <f t="shared" si="36"/>
        <v>0.13386880856760375</v>
      </c>
      <c r="C1190" s="28">
        <f>A1190+$E$6</f>
        <v>1496</v>
      </c>
      <c r="D1190" s="28">
        <f>CEILING(C1190/$H$3,1)*CEILING($H$2/$H$3,1)/CEILING($H$2/$H$3,1)</f>
        <v>6</v>
      </c>
      <c r="E1190" s="28">
        <f>CEILING(C1190/$H$3,1)*CEILING($H$2/$H$3,1)/CEILING(C1190/$H$3,1)</f>
        <v>1</v>
      </c>
      <c r="F1190" s="28">
        <f>$B$5/D1190/B1190*E1190</f>
        <v>1.68075</v>
      </c>
    </row>
    <row r="1191" spans="1:6" x14ac:dyDescent="0.4">
      <c r="A1191" s="28">
        <f t="shared" si="37"/>
        <v>1475</v>
      </c>
      <c r="B1191" s="28">
        <f t="shared" si="36"/>
        <v>0.13377926421404682</v>
      </c>
      <c r="C1191" s="28">
        <f>A1191+$E$6</f>
        <v>1497</v>
      </c>
      <c r="D1191" s="28">
        <f>CEILING(C1191/$H$3,1)*CEILING($H$2/$H$3,1)/CEILING($H$2/$H$3,1)</f>
        <v>6</v>
      </c>
      <c r="E1191" s="28">
        <f>CEILING(C1191/$H$3,1)*CEILING($H$2/$H$3,1)/CEILING(C1191/$H$3,1)</f>
        <v>1</v>
      </c>
      <c r="F1191" s="28">
        <f>$B$5/D1191/B1191*E1191</f>
        <v>1.681875</v>
      </c>
    </row>
    <row r="1192" spans="1:6" x14ac:dyDescent="0.4">
      <c r="A1192" s="28">
        <f t="shared" si="37"/>
        <v>1476</v>
      </c>
      <c r="B1192" s="28">
        <f t="shared" si="36"/>
        <v>0.13368983957219252</v>
      </c>
      <c r="C1192" s="28">
        <f>A1192+$E$6</f>
        <v>1498</v>
      </c>
      <c r="D1192" s="28">
        <f>CEILING(C1192/$H$3,1)*CEILING($H$2/$H$3,1)/CEILING($H$2/$H$3,1)</f>
        <v>6</v>
      </c>
      <c r="E1192" s="28">
        <f>CEILING(C1192/$H$3,1)*CEILING($H$2/$H$3,1)/CEILING(C1192/$H$3,1)</f>
        <v>1</v>
      </c>
      <c r="F1192" s="28">
        <f>$B$5/D1192/B1192*E1192</f>
        <v>1.6830000000000001</v>
      </c>
    </row>
    <row r="1193" spans="1:6" x14ac:dyDescent="0.4">
      <c r="A1193" s="28">
        <f t="shared" si="37"/>
        <v>1477</v>
      </c>
      <c r="B1193" s="28">
        <f t="shared" si="36"/>
        <v>0.13360053440213762</v>
      </c>
      <c r="C1193" s="28">
        <f>A1193+$E$6</f>
        <v>1499</v>
      </c>
      <c r="D1193" s="28">
        <f>CEILING(C1193/$H$3,1)*CEILING($H$2/$H$3,1)/CEILING($H$2/$H$3,1)</f>
        <v>6</v>
      </c>
      <c r="E1193" s="28">
        <f>CEILING(C1193/$H$3,1)*CEILING($H$2/$H$3,1)/CEILING(C1193/$H$3,1)</f>
        <v>1</v>
      </c>
      <c r="F1193" s="28">
        <f>$B$5/D1193/B1193*E1193</f>
        <v>1.6841249999999999</v>
      </c>
    </row>
    <row r="1194" spans="1:6" x14ac:dyDescent="0.4">
      <c r="A1194" s="28">
        <f t="shared" si="37"/>
        <v>1478</v>
      </c>
      <c r="B1194" s="28">
        <f t="shared" si="36"/>
        <v>0.13351134846461948</v>
      </c>
      <c r="C1194" s="28">
        <f>A1194+$E$6</f>
        <v>1500</v>
      </c>
      <c r="D1194" s="28">
        <f>CEILING(C1194/$H$3,1)*CEILING($H$2/$H$3,1)/CEILING($H$2/$H$3,1)</f>
        <v>6</v>
      </c>
      <c r="E1194" s="28">
        <f>CEILING(C1194/$H$3,1)*CEILING($H$2/$H$3,1)/CEILING(C1194/$H$3,1)</f>
        <v>1</v>
      </c>
      <c r="F1194" s="28">
        <f>$B$5/D1194/B1194*E1194</f>
        <v>1.6852500000000001</v>
      </c>
    </row>
    <row r="1195" spans="1:6" x14ac:dyDescent="0.4">
      <c r="A1195" s="28">
        <f t="shared" si="37"/>
        <v>1479</v>
      </c>
      <c r="B1195" s="28">
        <f t="shared" si="36"/>
        <v>0.13342228152101401</v>
      </c>
      <c r="C1195" s="28">
        <f>A1195+$E$6</f>
        <v>1501</v>
      </c>
      <c r="D1195" s="28">
        <f>CEILING(C1195/$H$3,1)*CEILING($H$2/$H$3,1)/CEILING($H$2/$H$3,1)</f>
        <v>6</v>
      </c>
      <c r="E1195" s="28">
        <f>CEILING(C1195/$H$3,1)*CEILING($H$2/$H$3,1)/CEILING(C1195/$H$3,1)</f>
        <v>1</v>
      </c>
      <c r="F1195" s="28">
        <f>$B$5/D1195/B1195*E1195</f>
        <v>1.686375</v>
      </c>
    </row>
    <row r="1196" spans="1:6" x14ac:dyDescent="0.4">
      <c r="A1196" s="28">
        <f t="shared" si="37"/>
        <v>1480</v>
      </c>
      <c r="B1196" s="28">
        <f t="shared" si="36"/>
        <v>0.13333333333333333</v>
      </c>
      <c r="C1196" s="28">
        <f>A1196+$E$6</f>
        <v>1502</v>
      </c>
      <c r="D1196" s="28">
        <f>CEILING(C1196/$H$3,1)*CEILING($H$2/$H$3,1)/CEILING($H$2/$H$3,1)</f>
        <v>6</v>
      </c>
      <c r="E1196" s="28">
        <f>CEILING(C1196/$H$3,1)*CEILING($H$2/$H$3,1)/CEILING(C1196/$H$3,1)</f>
        <v>1</v>
      </c>
      <c r="F1196" s="28">
        <f>$B$5/D1196/B1196*E1196</f>
        <v>1.6875</v>
      </c>
    </row>
    <row r="1197" spans="1:6" x14ac:dyDescent="0.4">
      <c r="A1197" s="28">
        <f t="shared" si="37"/>
        <v>1481</v>
      </c>
      <c r="B1197" s="28">
        <f t="shared" si="36"/>
        <v>0.13324450366422386</v>
      </c>
      <c r="C1197" s="28">
        <f>A1197+$E$6</f>
        <v>1503</v>
      </c>
      <c r="D1197" s="28">
        <f>CEILING(C1197/$H$3,1)*CEILING($H$2/$H$3,1)/CEILING($H$2/$H$3,1)</f>
        <v>6</v>
      </c>
      <c r="E1197" s="28">
        <f>CEILING(C1197/$H$3,1)*CEILING($H$2/$H$3,1)/CEILING(C1197/$H$3,1)</f>
        <v>1</v>
      </c>
      <c r="F1197" s="28">
        <f>$B$5/D1197/B1197*E1197</f>
        <v>1.688625</v>
      </c>
    </row>
    <row r="1198" spans="1:6" x14ac:dyDescent="0.4">
      <c r="A1198" s="28">
        <f t="shared" si="37"/>
        <v>1482</v>
      </c>
      <c r="B1198" s="28">
        <f t="shared" si="36"/>
        <v>0.13315579227696406</v>
      </c>
      <c r="C1198" s="28">
        <f>A1198+$E$6</f>
        <v>1504</v>
      </c>
      <c r="D1198" s="28">
        <f>CEILING(C1198/$H$3,1)*CEILING($H$2/$H$3,1)/CEILING($H$2/$H$3,1)</f>
        <v>6</v>
      </c>
      <c r="E1198" s="28">
        <f>CEILING(C1198/$H$3,1)*CEILING($H$2/$H$3,1)/CEILING(C1198/$H$3,1)</f>
        <v>1</v>
      </c>
      <c r="F1198" s="28">
        <f>$B$5/D1198/B1198*E1198</f>
        <v>1.6897499999999999</v>
      </c>
    </row>
    <row r="1199" spans="1:6" x14ac:dyDescent="0.4">
      <c r="A1199" s="28">
        <f t="shared" si="37"/>
        <v>1483</v>
      </c>
      <c r="B1199" s="28">
        <f t="shared" si="36"/>
        <v>0.1330671989354624</v>
      </c>
      <c r="C1199" s="28">
        <f>A1199+$E$6</f>
        <v>1505</v>
      </c>
      <c r="D1199" s="28">
        <f>CEILING(C1199/$H$3,1)*CEILING($H$2/$H$3,1)/CEILING($H$2/$H$3,1)</f>
        <v>6</v>
      </c>
      <c r="E1199" s="28">
        <f>CEILING(C1199/$H$3,1)*CEILING($H$2/$H$3,1)/CEILING(C1199/$H$3,1)</f>
        <v>1</v>
      </c>
      <c r="F1199" s="28">
        <f>$B$5/D1199/B1199*E1199</f>
        <v>1.6908750000000001</v>
      </c>
    </row>
    <row r="1200" spans="1:6" x14ac:dyDescent="0.4">
      <c r="A1200" s="28">
        <f t="shared" si="37"/>
        <v>1484</v>
      </c>
      <c r="B1200" s="28">
        <f t="shared" si="36"/>
        <v>0.13297872340425532</v>
      </c>
      <c r="C1200" s="28">
        <f>A1200+$E$6</f>
        <v>1506</v>
      </c>
      <c r="D1200" s="28">
        <f>CEILING(C1200/$H$3,1)*CEILING($H$2/$H$3,1)/CEILING($H$2/$H$3,1)</f>
        <v>6</v>
      </c>
      <c r="E1200" s="28">
        <f>CEILING(C1200/$H$3,1)*CEILING($H$2/$H$3,1)/CEILING(C1200/$H$3,1)</f>
        <v>1</v>
      </c>
      <c r="F1200" s="28">
        <f>$B$5/D1200/B1200*E1200</f>
        <v>1.6920000000000002</v>
      </c>
    </row>
    <row r="1201" spans="1:6" x14ac:dyDescent="0.4">
      <c r="A1201" s="28">
        <f t="shared" si="37"/>
        <v>1485</v>
      </c>
      <c r="B1201" s="28">
        <f t="shared" si="36"/>
        <v>0.13289036544850499</v>
      </c>
      <c r="C1201" s="28">
        <f>A1201+$E$6</f>
        <v>1507</v>
      </c>
      <c r="D1201" s="28">
        <f>CEILING(C1201/$H$3,1)*CEILING($H$2/$H$3,1)/CEILING($H$2/$H$3,1)</f>
        <v>6</v>
      </c>
      <c r="E1201" s="28">
        <f>CEILING(C1201/$H$3,1)*CEILING($H$2/$H$3,1)/CEILING(C1201/$H$3,1)</f>
        <v>1</v>
      </c>
      <c r="F1201" s="28">
        <f>$B$5/D1201/B1201*E1201</f>
        <v>1.693125</v>
      </c>
    </row>
    <row r="1202" spans="1:6" x14ac:dyDescent="0.4">
      <c r="A1202" s="28">
        <f t="shared" si="37"/>
        <v>1486</v>
      </c>
      <c r="B1202" s="28">
        <f t="shared" si="36"/>
        <v>0.13280212483399734</v>
      </c>
      <c r="C1202" s="28">
        <f>A1202+$E$6</f>
        <v>1508</v>
      </c>
      <c r="D1202" s="28">
        <f>CEILING(C1202/$H$3,1)*CEILING($H$2/$H$3,1)/CEILING($H$2/$H$3,1)</f>
        <v>6</v>
      </c>
      <c r="E1202" s="28">
        <f>CEILING(C1202/$H$3,1)*CEILING($H$2/$H$3,1)/CEILING(C1202/$H$3,1)</f>
        <v>1</v>
      </c>
      <c r="F1202" s="28">
        <f>$B$5/D1202/B1202*E1202</f>
        <v>1.69425</v>
      </c>
    </row>
    <row r="1203" spans="1:6" x14ac:dyDescent="0.4">
      <c r="A1203" s="28">
        <f t="shared" si="37"/>
        <v>1487</v>
      </c>
      <c r="B1203" s="28">
        <f t="shared" si="36"/>
        <v>0.13271400132714001</v>
      </c>
      <c r="C1203" s="28">
        <f>A1203+$E$6</f>
        <v>1509</v>
      </c>
      <c r="D1203" s="28">
        <f>CEILING(C1203/$H$3,1)*CEILING($H$2/$H$3,1)/CEILING($H$2/$H$3,1)</f>
        <v>6</v>
      </c>
      <c r="E1203" s="28">
        <f>CEILING(C1203/$H$3,1)*CEILING($H$2/$H$3,1)/CEILING(C1203/$H$3,1)</f>
        <v>1</v>
      </c>
      <c r="F1203" s="28">
        <f>$B$5/D1203/B1203*E1203</f>
        <v>1.6953750000000001</v>
      </c>
    </row>
    <row r="1204" spans="1:6" x14ac:dyDescent="0.4">
      <c r="A1204" s="28">
        <f t="shared" si="37"/>
        <v>1488</v>
      </c>
      <c r="B1204" s="28">
        <f t="shared" si="36"/>
        <v>0.13262599469496023</v>
      </c>
      <c r="C1204" s="28">
        <f>A1204+$E$6</f>
        <v>1510</v>
      </c>
      <c r="D1204" s="28">
        <f>CEILING(C1204/$H$3,1)*CEILING($H$2/$H$3,1)/CEILING($H$2/$H$3,1)</f>
        <v>6</v>
      </c>
      <c r="E1204" s="28">
        <f>CEILING(C1204/$H$3,1)*CEILING($H$2/$H$3,1)/CEILING(C1204/$H$3,1)</f>
        <v>1</v>
      </c>
      <c r="F1204" s="28">
        <f>$B$5/D1204/B1204*E1204</f>
        <v>1.6964999999999999</v>
      </c>
    </row>
    <row r="1205" spans="1:6" x14ac:dyDescent="0.4">
      <c r="A1205" s="28">
        <f t="shared" si="37"/>
        <v>1489</v>
      </c>
      <c r="B1205" s="28">
        <f t="shared" si="36"/>
        <v>0.13253810470510272</v>
      </c>
      <c r="C1205" s="28">
        <f>A1205+$E$6</f>
        <v>1511</v>
      </c>
      <c r="D1205" s="28">
        <f>CEILING(C1205/$H$3,1)*CEILING($H$2/$H$3,1)/CEILING($H$2/$H$3,1)</f>
        <v>6</v>
      </c>
      <c r="E1205" s="28">
        <f>CEILING(C1205/$H$3,1)*CEILING($H$2/$H$3,1)/CEILING(C1205/$H$3,1)</f>
        <v>1</v>
      </c>
      <c r="F1205" s="28">
        <f>$B$5/D1205/B1205*E1205</f>
        <v>1.6976250000000002</v>
      </c>
    </row>
    <row r="1206" spans="1:6" x14ac:dyDescent="0.4">
      <c r="A1206" s="28">
        <f t="shared" si="37"/>
        <v>1490</v>
      </c>
      <c r="B1206" s="28">
        <f t="shared" si="36"/>
        <v>0.13245033112582782</v>
      </c>
      <c r="C1206" s="28">
        <f>A1206+$E$6</f>
        <v>1512</v>
      </c>
      <c r="D1206" s="28">
        <f>CEILING(C1206/$H$3,1)*CEILING($H$2/$H$3,1)/CEILING($H$2/$H$3,1)</f>
        <v>6</v>
      </c>
      <c r="E1206" s="28">
        <f>CEILING(C1206/$H$3,1)*CEILING($H$2/$H$3,1)/CEILING(C1206/$H$3,1)</f>
        <v>1</v>
      </c>
      <c r="F1206" s="28">
        <f>$B$5/D1206/B1206*E1206</f>
        <v>1.69875</v>
      </c>
    </row>
    <row r="1207" spans="1:6" x14ac:dyDescent="0.4">
      <c r="A1207" s="28">
        <f t="shared" si="37"/>
        <v>1491</v>
      </c>
      <c r="B1207" s="28">
        <f t="shared" si="36"/>
        <v>0.13236267372600927</v>
      </c>
      <c r="C1207" s="28">
        <f>A1207+$E$6</f>
        <v>1513</v>
      </c>
      <c r="D1207" s="28">
        <f>CEILING(C1207/$H$3,1)*CEILING($H$2/$H$3,1)/CEILING($H$2/$H$3,1)</f>
        <v>6</v>
      </c>
      <c r="E1207" s="28">
        <f>CEILING(C1207/$H$3,1)*CEILING($H$2/$H$3,1)/CEILING(C1207/$H$3,1)</f>
        <v>1</v>
      </c>
      <c r="F1207" s="28">
        <f>$B$5/D1207/B1207*E1207</f>
        <v>1.699875</v>
      </c>
    </row>
    <row r="1208" spans="1:6" x14ac:dyDescent="0.4">
      <c r="A1208" s="28">
        <f t="shared" si="37"/>
        <v>1492</v>
      </c>
      <c r="B1208" s="28">
        <f t="shared" si="36"/>
        <v>0.13227513227513227</v>
      </c>
      <c r="C1208" s="28">
        <f>A1208+$E$6</f>
        <v>1514</v>
      </c>
      <c r="D1208" s="28">
        <f>CEILING(C1208/$H$3,1)*CEILING($H$2/$H$3,1)/CEILING($H$2/$H$3,1)</f>
        <v>6</v>
      </c>
      <c r="E1208" s="28">
        <f>CEILING(C1208/$H$3,1)*CEILING($H$2/$H$3,1)/CEILING(C1208/$H$3,1)</f>
        <v>1</v>
      </c>
      <c r="F1208" s="28">
        <f>$B$5/D1208/B1208*E1208</f>
        <v>1.7010000000000001</v>
      </c>
    </row>
    <row r="1209" spans="1:6" x14ac:dyDescent="0.4">
      <c r="A1209" s="28">
        <f t="shared" si="37"/>
        <v>1493</v>
      </c>
      <c r="B1209" s="28">
        <f t="shared" si="36"/>
        <v>0.13218770654329148</v>
      </c>
      <c r="C1209" s="28">
        <f>A1209+$E$6</f>
        <v>1515</v>
      </c>
      <c r="D1209" s="28">
        <f>CEILING(C1209/$H$3,1)*CEILING($H$2/$H$3,1)/CEILING($H$2/$H$3,1)</f>
        <v>6</v>
      </c>
      <c r="E1209" s="28">
        <f>CEILING(C1209/$H$3,1)*CEILING($H$2/$H$3,1)/CEILING(C1209/$H$3,1)</f>
        <v>1</v>
      </c>
      <c r="F1209" s="28">
        <f>$B$5/D1209/B1209*E1209</f>
        <v>1.7021249999999999</v>
      </c>
    </row>
    <row r="1210" spans="1:6" x14ac:dyDescent="0.4">
      <c r="A1210" s="28">
        <f t="shared" si="37"/>
        <v>1494</v>
      </c>
      <c r="B1210" s="28">
        <f t="shared" si="36"/>
        <v>0.13210039630118892</v>
      </c>
      <c r="C1210" s="28">
        <f>A1210+$E$6</f>
        <v>1516</v>
      </c>
      <c r="D1210" s="28">
        <f>CEILING(C1210/$H$3,1)*CEILING($H$2/$H$3,1)/CEILING($H$2/$H$3,1)</f>
        <v>6</v>
      </c>
      <c r="E1210" s="28">
        <f>CEILING(C1210/$H$3,1)*CEILING($H$2/$H$3,1)/CEILING(C1210/$H$3,1)</f>
        <v>1</v>
      </c>
      <c r="F1210" s="28">
        <f>$B$5/D1210/B1210*E1210</f>
        <v>1.7032499999999999</v>
      </c>
    </row>
    <row r="1211" spans="1:6" x14ac:dyDescent="0.4">
      <c r="A1211" s="28">
        <f t="shared" si="37"/>
        <v>1495</v>
      </c>
      <c r="B1211" s="28">
        <f t="shared" si="36"/>
        <v>0.132013201320132</v>
      </c>
      <c r="C1211" s="28">
        <f>A1211+$E$6</f>
        <v>1517</v>
      </c>
      <c r="D1211" s="28">
        <f>CEILING(C1211/$H$3,1)*CEILING($H$2/$H$3,1)/CEILING($H$2/$H$3,1)</f>
        <v>6</v>
      </c>
      <c r="E1211" s="28">
        <f>CEILING(C1211/$H$3,1)*CEILING($H$2/$H$3,1)/CEILING(C1211/$H$3,1)</f>
        <v>1</v>
      </c>
      <c r="F1211" s="28">
        <f>$B$5/D1211/B1211*E1211</f>
        <v>1.7043750000000002</v>
      </c>
    </row>
    <row r="1212" spans="1:6" x14ac:dyDescent="0.4">
      <c r="A1212" s="28">
        <f t="shared" si="37"/>
        <v>1496</v>
      </c>
      <c r="B1212" s="28">
        <f t="shared" si="36"/>
        <v>0.13192612137203166</v>
      </c>
      <c r="C1212" s="28">
        <f>A1212+$E$6</f>
        <v>1518</v>
      </c>
      <c r="D1212" s="28">
        <f>CEILING(C1212/$H$3,1)*CEILING($H$2/$H$3,1)/CEILING($H$2/$H$3,1)</f>
        <v>6</v>
      </c>
      <c r="E1212" s="28">
        <f>CEILING(C1212/$H$3,1)*CEILING($H$2/$H$3,1)/CEILING(C1212/$H$3,1)</f>
        <v>1</v>
      </c>
      <c r="F1212" s="28">
        <f>$B$5/D1212/B1212*E1212</f>
        <v>1.7055</v>
      </c>
    </row>
    <row r="1213" spans="1:6" x14ac:dyDescent="0.4">
      <c r="A1213" s="28">
        <f t="shared" si="37"/>
        <v>1497</v>
      </c>
      <c r="B1213" s="28">
        <f t="shared" si="36"/>
        <v>0.13183915622940012</v>
      </c>
      <c r="C1213" s="28">
        <f>A1213+$E$6</f>
        <v>1519</v>
      </c>
      <c r="D1213" s="28">
        <f>CEILING(C1213/$H$3,1)*CEILING($H$2/$H$3,1)/CEILING($H$2/$H$3,1)</f>
        <v>6</v>
      </c>
      <c r="E1213" s="28">
        <f>CEILING(C1213/$H$3,1)*CEILING($H$2/$H$3,1)/CEILING(C1213/$H$3,1)</f>
        <v>1</v>
      </c>
      <c r="F1213" s="28">
        <f>$B$5/D1213/B1213*E1213</f>
        <v>1.7066250000000001</v>
      </c>
    </row>
    <row r="1214" spans="1:6" x14ac:dyDescent="0.4">
      <c r="A1214" s="28">
        <f t="shared" si="37"/>
        <v>1498</v>
      </c>
      <c r="B1214" s="28">
        <f t="shared" si="36"/>
        <v>0.13175230566534915</v>
      </c>
      <c r="C1214" s="28">
        <f>A1214+$E$6</f>
        <v>1520</v>
      </c>
      <c r="D1214" s="28">
        <f>CEILING(C1214/$H$3,1)*CEILING($H$2/$H$3,1)/CEILING($H$2/$H$3,1)</f>
        <v>6</v>
      </c>
      <c r="E1214" s="28">
        <f>CEILING(C1214/$H$3,1)*CEILING($H$2/$H$3,1)/CEILING(C1214/$H$3,1)</f>
        <v>1</v>
      </c>
      <c r="F1214" s="28">
        <f>$B$5/D1214/B1214*E1214</f>
        <v>1.7077499999999999</v>
      </c>
    </row>
    <row r="1215" spans="1:6" x14ac:dyDescent="0.4">
      <c r="A1215" s="28">
        <f t="shared" si="37"/>
        <v>1499</v>
      </c>
      <c r="B1215" s="28">
        <f t="shared" si="36"/>
        <v>0.1316655694535879</v>
      </c>
      <c r="C1215" s="28">
        <f>A1215+$E$6</f>
        <v>1521</v>
      </c>
      <c r="D1215" s="28">
        <f>CEILING(C1215/$H$3,1)*CEILING($H$2/$H$3,1)/CEILING($H$2/$H$3,1)</f>
        <v>6</v>
      </c>
      <c r="E1215" s="28">
        <f>CEILING(C1215/$H$3,1)*CEILING($H$2/$H$3,1)/CEILING(C1215/$H$3,1)</f>
        <v>1</v>
      </c>
      <c r="F1215" s="28">
        <f>$B$5/D1215/B1215*E1215</f>
        <v>1.7088749999999999</v>
      </c>
    </row>
    <row r="1216" spans="1:6" x14ac:dyDescent="0.4">
      <c r="A1216" s="28">
        <f t="shared" si="37"/>
        <v>1500</v>
      </c>
      <c r="B1216" s="28">
        <f t="shared" si="36"/>
        <v>0.13157894736842105</v>
      </c>
      <c r="C1216" s="28">
        <f>A1216+$E$6</f>
        <v>1522</v>
      </c>
      <c r="D1216" s="28">
        <f>CEILING(C1216/$H$3,1)*CEILING($H$2/$H$3,1)/CEILING($H$2/$H$3,1)</f>
        <v>6</v>
      </c>
      <c r="E1216" s="28">
        <f>CEILING(C1216/$H$3,1)*CEILING($H$2/$H$3,1)/CEILING(C1216/$H$3,1)</f>
        <v>1</v>
      </c>
      <c r="F1216" s="28">
        <f>$B$5/D1216/B1216*E1216</f>
        <v>1.7100000000000002</v>
      </c>
    </row>
    <row r="1217" spans="1:6" x14ac:dyDescent="0.4">
      <c r="A1217" s="28">
        <f t="shared" si="37"/>
        <v>1501</v>
      </c>
      <c r="B1217" s="28">
        <f t="shared" si="36"/>
        <v>0.13149243918474687</v>
      </c>
      <c r="C1217" s="28">
        <f>A1217+$E$6</f>
        <v>1523</v>
      </c>
      <c r="D1217" s="28">
        <f>CEILING(C1217/$H$3,1)*CEILING($H$2/$H$3,1)/CEILING($H$2/$H$3,1)</f>
        <v>6</v>
      </c>
      <c r="E1217" s="28">
        <f>CEILING(C1217/$H$3,1)*CEILING($H$2/$H$3,1)/CEILING(C1217/$H$3,1)</f>
        <v>1</v>
      </c>
      <c r="F1217" s="28">
        <f>$B$5/D1217/B1217*E1217</f>
        <v>1.711125</v>
      </c>
    </row>
    <row r="1218" spans="1:6" x14ac:dyDescent="0.4">
      <c r="A1218" s="28">
        <f t="shared" si="37"/>
        <v>1502</v>
      </c>
      <c r="B1218" s="28">
        <f t="shared" si="36"/>
        <v>0.13140604467805519</v>
      </c>
      <c r="C1218" s="28">
        <f>A1218+$E$6</f>
        <v>1524</v>
      </c>
      <c r="D1218" s="28">
        <f>CEILING(C1218/$H$3,1)*CEILING($H$2/$H$3,1)/CEILING($H$2/$H$3,1)</f>
        <v>6</v>
      </c>
      <c r="E1218" s="28">
        <f>CEILING(C1218/$H$3,1)*CEILING($H$2/$H$3,1)/CEILING(C1218/$H$3,1)</f>
        <v>1</v>
      </c>
      <c r="F1218" s="28">
        <f>$B$5/D1218/B1218*E1218</f>
        <v>1.71225</v>
      </c>
    </row>
    <row r="1219" spans="1:6" x14ac:dyDescent="0.4">
      <c r="A1219" s="28">
        <f t="shared" si="37"/>
        <v>1503</v>
      </c>
      <c r="B1219" s="28">
        <f t="shared" si="36"/>
        <v>0.13131976362442549</v>
      </c>
      <c r="C1219" s="28">
        <f>A1219+$E$6</f>
        <v>1525</v>
      </c>
      <c r="D1219" s="28">
        <f>CEILING(C1219/$H$3,1)*CEILING($H$2/$H$3,1)/CEILING($H$2/$H$3,1)</f>
        <v>6</v>
      </c>
      <c r="E1219" s="28">
        <f>CEILING(C1219/$H$3,1)*CEILING($H$2/$H$3,1)/CEILING(C1219/$H$3,1)</f>
        <v>1</v>
      </c>
      <c r="F1219" s="28">
        <f>$B$5/D1219/B1219*E1219</f>
        <v>1.7133749999999999</v>
      </c>
    </row>
    <row r="1220" spans="1:6" x14ac:dyDescent="0.4">
      <c r="A1220" s="28">
        <f t="shared" si="37"/>
        <v>1504</v>
      </c>
      <c r="B1220" s="28">
        <f t="shared" si="36"/>
        <v>0.13123359580052493</v>
      </c>
      <c r="C1220" s="28">
        <f>A1220+$E$6</f>
        <v>1526</v>
      </c>
      <c r="D1220" s="28">
        <f>CEILING(C1220/$H$3,1)*CEILING($H$2/$H$3,1)/CEILING($H$2/$H$3,1)</f>
        <v>6</v>
      </c>
      <c r="E1220" s="28">
        <f>CEILING(C1220/$H$3,1)*CEILING($H$2/$H$3,1)/CEILING(C1220/$H$3,1)</f>
        <v>1</v>
      </c>
      <c r="F1220" s="28">
        <f>$B$5/D1220/B1220*E1220</f>
        <v>1.7145000000000001</v>
      </c>
    </row>
    <row r="1221" spans="1:6" x14ac:dyDescent="0.4">
      <c r="A1221" s="28">
        <f t="shared" si="37"/>
        <v>1505</v>
      </c>
      <c r="B1221" s="28">
        <f t="shared" si="36"/>
        <v>0.13114754098360656</v>
      </c>
      <c r="C1221" s="28">
        <f>A1221+$E$6</f>
        <v>1527</v>
      </c>
      <c r="D1221" s="28">
        <f>CEILING(C1221/$H$3,1)*CEILING($H$2/$H$3,1)/CEILING($H$2/$H$3,1)</f>
        <v>6</v>
      </c>
      <c r="E1221" s="28">
        <f>CEILING(C1221/$H$3,1)*CEILING($H$2/$H$3,1)/CEILING(C1221/$H$3,1)</f>
        <v>1</v>
      </c>
      <c r="F1221" s="28">
        <f>$B$5/D1221/B1221*E1221</f>
        <v>1.715625</v>
      </c>
    </row>
    <row r="1222" spans="1:6" x14ac:dyDescent="0.4">
      <c r="A1222" s="28">
        <f t="shared" si="37"/>
        <v>1506</v>
      </c>
      <c r="B1222" s="28">
        <f t="shared" si="36"/>
        <v>0.13106159895150721</v>
      </c>
      <c r="C1222" s="28">
        <f>A1222+$E$6</f>
        <v>1528</v>
      </c>
      <c r="D1222" s="28">
        <f>CEILING(C1222/$H$3,1)*CEILING($H$2/$H$3,1)/CEILING($H$2/$H$3,1)</f>
        <v>6</v>
      </c>
      <c r="E1222" s="28">
        <f>CEILING(C1222/$H$3,1)*CEILING($H$2/$H$3,1)/CEILING(C1222/$H$3,1)</f>
        <v>1</v>
      </c>
      <c r="F1222" s="28">
        <f>$B$5/D1222/B1222*E1222</f>
        <v>1.71675</v>
      </c>
    </row>
    <row r="1223" spans="1:6" x14ac:dyDescent="0.4">
      <c r="A1223" s="28">
        <f t="shared" si="37"/>
        <v>1507</v>
      </c>
      <c r="B1223" s="28">
        <f t="shared" si="36"/>
        <v>0.13097576948264572</v>
      </c>
      <c r="C1223" s="28">
        <f>A1223+$E$6</f>
        <v>1529</v>
      </c>
      <c r="D1223" s="28">
        <f>CEILING(C1223/$H$3,1)*CEILING($H$2/$H$3,1)/CEILING($H$2/$H$3,1)</f>
        <v>6</v>
      </c>
      <c r="E1223" s="28">
        <f>CEILING(C1223/$H$3,1)*CEILING($H$2/$H$3,1)/CEILING(C1223/$H$3,1)</f>
        <v>1</v>
      </c>
      <c r="F1223" s="28">
        <f>$B$5/D1223/B1223*E1223</f>
        <v>1.7178749999999998</v>
      </c>
    </row>
    <row r="1224" spans="1:6" x14ac:dyDescent="0.4">
      <c r="A1224" s="28">
        <f t="shared" si="37"/>
        <v>1508</v>
      </c>
      <c r="B1224" s="28">
        <f t="shared" si="36"/>
        <v>0.13089005235602094</v>
      </c>
      <c r="C1224" s="28">
        <f>A1224+$E$6</f>
        <v>1530</v>
      </c>
      <c r="D1224" s="28">
        <f>CEILING(C1224/$H$3,1)*CEILING($H$2/$H$3,1)/CEILING($H$2/$H$3,1)</f>
        <v>6</v>
      </c>
      <c r="E1224" s="28">
        <f>CEILING(C1224/$H$3,1)*CEILING($H$2/$H$3,1)/CEILING(C1224/$H$3,1)</f>
        <v>1</v>
      </c>
      <c r="F1224" s="28">
        <f>$B$5/D1224/B1224*E1224</f>
        <v>1.7190000000000001</v>
      </c>
    </row>
    <row r="1225" spans="1:6" x14ac:dyDescent="0.4">
      <c r="A1225" s="28">
        <f t="shared" si="37"/>
        <v>1509</v>
      </c>
      <c r="B1225" s="28">
        <f t="shared" si="36"/>
        <v>0.13080444735120994</v>
      </c>
      <c r="C1225" s="28">
        <f>A1225+$E$6</f>
        <v>1531</v>
      </c>
      <c r="D1225" s="28">
        <f>CEILING(C1225/$H$3,1)*CEILING($H$2/$H$3,1)/CEILING($H$2/$H$3,1)</f>
        <v>6</v>
      </c>
      <c r="E1225" s="28">
        <f>CEILING(C1225/$H$3,1)*CEILING($H$2/$H$3,1)/CEILING(C1225/$H$3,1)</f>
        <v>1</v>
      </c>
      <c r="F1225" s="28">
        <f>$B$5/D1225/B1225*E1225</f>
        <v>1.7201250000000001</v>
      </c>
    </row>
    <row r="1226" spans="1:6" x14ac:dyDescent="0.4">
      <c r="A1226" s="28">
        <f t="shared" si="37"/>
        <v>1510</v>
      </c>
      <c r="B1226" s="28">
        <f t="shared" si="36"/>
        <v>0.13071895424836602</v>
      </c>
      <c r="C1226" s="28">
        <f>A1226+$E$6</f>
        <v>1532</v>
      </c>
      <c r="D1226" s="28">
        <f>CEILING(C1226/$H$3,1)*CEILING($H$2/$H$3,1)/CEILING($H$2/$H$3,1)</f>
        <v>6</v>
      </c>
      <c r="E1226" s="28">
        <f>CEILING(C1226/$H$3,1)*CEILING($H$2/$H$3,1)/CEILING(C1226/$H$3,1)</f>
        <v>1</v>
      </c>
      <c r="F1226" s="28">
        <f>$B$5/D1226/B1226*E1226</f>
        <v>1.7212499999999999</v>
      </c>
    </row>
    <row r="1227" spans="1:6" x14ac:dyDescent="0.4">
      <c r="A1227" s="28">
        <f t="shared" si="37"/>
        <v>1511</v>
      </c>
      <c r="B1227" s="28">
        <f t="shared" ref="B1227:B1290" si="38">$B$4/8/(A1227+$B$2)</f>
        <v>0.13063357282821686</v>
      </c>
      <c r="C1227" s="28">
        <f>A1227+$E$6</f>
        <v>1533</v>
      </c>
      <c r="D1227" s="28">
        <f>CEILING(C1227/$H$3,1)*CEILING($H$2/$H$3,1)/CEILING($H$2/$H$3,1)</f>
        <v>6</v>
      </c>
      <c r="E1227" s="28">
        <f>CEILING(C1227/$H$3,1)*CEILING($H$2/$H$3,1)/CEILING(C1227/$H$3,1)</f>
        <v>1</v>
      </c>
      <c r="F1227" s="28">
        <f>$B$5/D1227/B1227*E1227</f>
        <v>1.722375</v>
      </c>
    </row>
    <row r="1228" spans="1:6" x14ac:dyDescent="0.4">
      <c r="A1228" s="28">
        <f t="shared" si="37"/>
        <v>1512</v>
      </c>
      <c r="B1228" s="28">
        <f t="shared" si="38"/>
        <v>0.13054830287206268</v>
      </c>
      <c r="C1228" s="28">
        <f>A1228+$E$6</f>
        <v>1534</v>
      </c>
      <c r="D1228" s="28">
        <f>CEILING(C1228/$H$3,1)*CEILING($H$2/$H$3,1)/CEILING($H$2/$H$3,1)</f>
        <v>6</v>
      </c>
      <c r="E1228" s="28">
        <f>CEILING(C1228/$H$3,1)*CEILING($H$2/$H$3,1)/CEILING(C1228/$H$3,1)</f>
        <v>1</v>
      </c>
      <c r="F1228" s="28">
        <f>$B$5/D1228/B1228*E1228</f>
        <v>1.7234999999999998</v>
      </c>
    </row>
    <row r="1229" spans="1:6" x14ac:dyDescent="0.4">
      <c r="A1229" s="28">
        <f t="shared" ref="A1229:A1292" si="39">A1228+$B$3</f>
        <v>1513</v>
      </c>
      <c r="B1229" s="28">
        <f t="shared" si="38"/>
        <v>0.13046314416177429</v>
      </c>
      <c r="C1229" s="28">
        <f>A1229+$E$6</f>
        <v>1535</v>
      </c>
      <c r="D1229" s="28">
        <f>CEILING(C1229/$H$3,1)*CEILING($H$2/$H$3,1)/CEILING($H$2/$H$3,1)</f>
        <v>6</v>
      </c>
      <c r="E1229" s="28">
        <f>CEILING(C1229/$H$3,1)*CEILING($H$2/$H$3,1)/CEILING(C1229/$H$3,1)</f>
        <v>1</v>
      </c>
      <c r="F1229" s="28">
        <f>$B$5/D1229/B1229*E1229</f>
        <v>1.7246250000000001</v>
      </c>
    </row>
    <row r="1230" spans="1:6" x14ac:dyDescent="0.4">
      <c r="A1230" s="28">
        <f t="shared" si="39"/>
        <v>1514</v>
      </c>
      <c r="B1230" s="28">
        <f t="shared" si="38"/>
        <v>0.1303780964797914</v>
      </c>
      <c r="C1230" s="28">
        <f>A1230+$E$6</f>
        <v>1536</v>
      </c>
      <c r="D1230" s="28">
        <f>CEILING(C1230/$H$3,1)*CEILING($H$2/$H$3,1)/CEILING($H$2/$H$3,1)</f>
        <v>6</v>
      </c>
      <c r="E1230" s="28">
        <f>CEILING(C1230/$H$3,1)*CEILING($H$2/$H$3,1)/CEILING(C1230/$H$3,1)</f>
        <v>1</v>
      </c>
      <c r="F1230" s="28">
        <f>$B$5/D1230/B1230*E1230</f>
        <v>1.7257499999999999</v>
      </c>
    </row>
    <row r="1231" spans="1:6" x14ac:dyDescent="0.4">
      <c r="A1231" s="28">
        <f t="shared" si="39"/>
        <v>1515</v>
      </c>
      <c r="B1231" s="28">
        <f t="shared" si="38"/>
        <v>0.13029315960912052</v>
      </c>
      <c r="C1231" s="28">
        <f>A1231+$E$6</f>
        <v>1537</v>
      </c>
      <c r="D1231" s="28">
        <f>CEILING(C1231/$H$3,1)*CEILING($H$2/$H$3,1)/CEILING($H$2/$H$3,1)</f>
        <v>7</v>
      </c>
      <c r="E1231" s="28">
        <f>CEILING(C1231/$H$3,1)*CEILING($H$2/$H$3,1)/CEILING(C1231/$H$3,1)</f>
        <v>1</v>
      </c>
      <c r="F1231" s="28">
        <f>$B$5/D1231/B1231*E1231</f>
        <v>1.4801785714285716</v>
      </c>
    </row>
    <row r="1232" spans="1:6" x14ac:dyDescent="0.4">
      <c r="A1232" s="28">
        <f t="shared" si="39"/>
        <v>1516</v>
      </c>
      <c r="B1232" s="28">
        <f t="shared" si="38"/>
        <v>0.13020833333333334</v>
      </c>
      <c r="C1232" s="28">
        <f>A1232+$E$6</f>
        <v>1538</v>
      </c>
      <c r="D1232" s="28">
        <f>CEILING(C1232/$H$3,1)*CEILING($H$2/$H$3,1)/CEILING($H$2/$H$3,1)</f>
        <v>7</v>
      </c>
      <c r="E1232" s="28">
        <f>CEILING(C1232/$H$3,1)*CEILING($H$2/$H$3,1)/CEILING(C1232/$H$3,1)</f>
        <v>1</v>
      </c>
      <c r="F1232" s="28">
        <f>$B$5/D1232/B1232*E1232</f>
        <v>1.4811428571428571</v>
      </c>
    </row>
    <row r="1233" spans="1:6" x14ac:dyDescent="0.4">
      <c r="A1233" s="28">
        <f t="shared" si="39"/>
        <v>1517</v>
      </c>
      <c r="B1233" s="28">
        <f t="shared" si="38"/>
        <v>0.13012361743656473</v>
      </c>
      <c r="C1233" s="28">
        <f>A1233+$E$6</f>
        <v>1539</v>
      </c>
      <c r="D1233" s="28">
        <f>CEILING(C1233/$H$3,1)*CEILING($H$2/$H$3,1)/CEILING($H$2/$H$3,1)</f>
        <v>7</v>
      </c>
      <c r="E1233" s="28">
        <f>CEILING(C1233/$H$3,1)*CEILING($H$2/$H$3,1)/CEILING(C1233/$H$3,1)</f>
        <v>1</v>
      </c>
      <c r="F1233" s="28">
        <f>$B$5/D1233/B1233*E1233</f>
        <v>1.4821071428571431</v>
      </c>
    </row>
    <row r="1234" spans="1:6" x14ac:dyDescent="0.4">
      <c r="A1234" s="28">
        <f t="shared" si="39"/>
        <v>1518</v>
      </c>
      <c r="B1234" s="28">
        <f t="shared" si="38"/>
        <v>0.13003901170351106</v>
      </c>
      <c r="C1234" s="28">
        <f>A1234+$E$6</f>
        <v>1540</v>
      </c>
      <c r="D1234" s="28">
        <f>CEILING(C1234/$H$3,1)*CEILING($H$2/$H$3,1)/CEILING($H$2/$H$3,1)</f>
        <v>7</v>
      </c>
      <c r="E1234" s="28">
        <f>CEILING(C1234/$H$3,1)*CEILING($H$2/$H$3,1)/CEILING(C1234/$H$3,1)</f>
        <v>1</v>
      </c>
      <c r="F1234" s="28">
        <f>$B$5/D1234/B1234*E1234</f>
        <v>1.4830714285714286</v>
      </c>
    </row>
    <row r="1235" spans="1:6" x14ac:dyDescent="0.4">
      <c r="A1235" s="28">
        <f t="shared" si="39"/>
        <v>1519</v>
      </c>
      <c r="B1235" s="28">
        <f t="shared" si="38"/>
        <v>0.12995451591942819</v>
      </c>
      <c r="C1235" s="28">
        <f>A1235+$E$6</f>
        <v>1541</v>
      </c>
      <c r="D1235" s="28">
        <f>CEILING(C1235/$H$3,1)*CEILING($H$2/$H$3,1)/CEILING($H$2/$H$3,1)</f>
        <v>7</v>
      </c>
      <c r="E1235" s="28">
        <f>CEILING(C1235/$H$3,1)*CEILING($H$2/$H$3,1)/CEILING(C1235/$H$3,1)</f>
        <v>1</v>
      </c>
      <c r="F1235" s="28">
        <f>$B$5/D1235/B1235*E1235</f>
        <v>1.4840357142857143</v>
      </c>
    </row>
    <row r="1236" spans="1:6" x14ac:dyDescent="0.4">
      <c r="A1236" s="28">
        <f t="shared" si="39"/>
        <v>1520</v>
      </c>
      <c r="B1236" s="28">
        <f t="shared" si="38"/>
        <v>0.12987012987012986</v>
      </c>
      <c r="C1236" s="28">
        <f>A1236+$E$6</f>
        <v>1542</v>
      </c>
      <c r="D1236" s="28">
        <f>CEILING(C1236/$H$3,1)*CEILING($H$2/$H$3,1)/CEILING($H$2/$H$3,1)</f>
        <v>7</v>
      </c>
      <c r="E1236" s="28">
        <f>CEILING(C1236/$H$3,1)*CEILING($H$2/$H$3,1)/CEILING(C1236/$H$3,1)</f>
        <v>1</v>
      </c>
      <c r="F1236" s="28">
        <f>$B$5/D1236/B1236*E1236</f>
        <v>1.4850000000000001</v>
      </c>
    </row>
    <row r="1237" spans="1:6" x14ac:dyDescent="0.4">
      <c r="A1237" s="28">
        <f t="shared" si="39"/>
        <v>1521</v>
      </c>
      <c r="B1237" s="28">
        <f t="shared" si="38"/>
        <v>0.12978585334198572</v>
      </c>
      <c r="C1237" s="28">
        <f>A1237+$E$6</f>
        <v>1543</v>
      </c>
      <c r="D1237" s="28">
        <f>CEILING(C1237/$H$3,1)*CEILING($H$2/$H$3,1)/CEILING($H$2/$H$3,1)</f>
        <v>7</v>
      </c>
      <c r="E1237" s="28">
        <f>CEILING(C1237/$H$3,1)*CEILING($H$2/$H$3,1)/CEILING(C1237/$H$3,1)</f>
        <v>1</v>
      </c>
      <c r="F1237" s="28">
        <f>$B$5/D1237/B1237*E1237</f>
        <v>1.4859642857142858</v>
      </c>
    </row>
    <row r="1238" spans="1:6" x14ac:dyDescent="0.4">
      <c r="A1238" s="28">
        <f t="shared" si="39"/>
        <v>1522</v>
      </c>
      <c r="B1238" s="28">
        <f t="shared" si="38"/>
        <v>0.1297016861219196</v>
      </c>
      <c r="C1238" s="28">
        <f>A1238+$E$6</f>
        <v>1544</v>
      </c>
      <c r="D1238" s="28">
        <f>CEILING(C1238/$H$3,1)*CEILING($H$2/$H$3,1)/CEILING($H$2/$H$3,1)</f>
        <v>7</v>
      </c>
      <c r="E1238" s="28">
        <f>CEILING(C1238/$H$3,1)*CEILING($H$2/$H$3,1)/CEILING(C1238/$H$3,1)</f>
        <v>1</v>
      </c>
      <c r="F1238" s="28">
        <f>$B$5/D1238/B1238*E1238</f>
        <v>1.4869285714285714</v>
      </c>
    </row>
    <row r="1239" spans="1:6" x14ac:dyDescent="0.4">
      <c r="A1239" s="28">
        <f t="shared" si="39"/>
        <v>1523</v>
      </c>
      <c r="B1239" s="28">
        <f t="shared" si="38"/>
        <v>0.12961762799740764</v>
      </c>
      <c r="C1239" s="28">
        <f>A1239+$E$6</f>
        <v>1545</v>
      </c>
      <c r="D1239" s="28">
        <f>CEILING(C1239/$H$3,1)*CEILING($H$2/$H$3,1)/CEILING($H$2/$H$3,1)</f>
        <v>7</v>
      </c>
      <c r="E1239" s="28">
        <f>CEILING(C1239/$H$3,1)*CEILING($H$2/$H$3,1)/CEILING(C1239/$H$3,1)</f>
        <v>1</v>
      </c>
      <c r="F1239" s="28">
        <f>$B$5/D1239/B1239*E1239</f>
        <v>1.4878928571428574</v>
      </c>
    </row>
    <row r="1240" spans="1:6" x14ac:dyDescent="0.4">
      <c r="A1240" s="28">
        <f t="shared" si="39"/>
        <v>1524</v>
      </c>
      <c r="B1240" s="28">
        <f t="shared" si="38"/>
        <v>0.12953367875647667</v>
      </c>
      <c r="C1240" s="28">
        <f>A1240+$E$6</f>
        <v>1546</v>
      </c>
      <c r="D1240" s="28">
        <f>CEILING(C1240/$H$3,1)*CEILING($H$2/$H$3,1)/CEILING($H$2/$H$3,1)</f>
        <v>7</v>
      </c>
      <c r="E1240" s="28">
        <f>CEILING(C1240/$H$3,1)*CEILING($H$2/$H$3,1)/CEILING(C1240/$H$3,1)</f>
        <v>1</v>
      </c>
      <c r="F1240" s="28">
        <f>$B$5/D1240/B1240*E1240</f>
        <v>1.4888571428571431</v>
      </c>
    </row>
    <row r="1241" spans="1:6" x14ac:dyDescent="0.4">
      <c r="A1241" s="28">
        <f t="shared" si="39"/>
        <v>1525</v>
      </c>
      <c r="B1241" s="28">
        <f t="shared" si="38"/>
        <v>0.12944983818770225</v>
      </c>
      <c r="C1241" s="28">
        <f>A1241+$E$6</f>
        <v>1547</v>
      </c>
      <c r="D1241" s="28">
        <f>CEILING(C1241/$H$3,1)*CEILING($H$2/$H$3,1)/CEILING($H$2/$H$3,1)</f>
        <v>7</v>
      </c>
      <c r="E1241" s="28">
        <f>CEILING(C1241/$H$3,1)*CEILING($H$2/$H$3,1)/CEILING(C1241/$H$3,1)</f>
        <v>1</v>
      </c>
      <c r="F1241" s="28">
        <f>$B$5/D1241/B1241*E1241</f>
        <v>1.4898214285714289</v>
      </c>
    </row>
    <row r="1242" spans="1:6" x14ac:dyDescent="0.4">
      <c r="A1242" s="28">
        <f t="shared" si="39"/>
        <v>1526</v>
      </c>
      <c r="B1242" s="28">
        <f t="shared" si="38"/>
        <v>0.12936610608020699</v>
      </c>
      <c r="C1242" s="28">
        <f>A1242+$E$6</f>
        <v>1548</v>
      </c>
      <c r="D1242" s="28">
        <f>CEILING(C1242/$H$3,1)*CEILING($H$2/$H$3,1)/CEILING($H$2/$H$3,1)</f>
        <v>7</v>
      </c>
      <c r="E1242" s="28">
        <f>CEILING(C1242/$H$3,1)*CEILING($H$2/$H$3,1)/CEILING(C1242/$H$3,1)</f>
        <v>1</v>
      </c>
      <c r="F1242" s="28">
        <f>$B$5/D1242/B1242*E1242</f>
        <v>1.4907857142857144</v>
      </c>
    </row>
    <row r="1243" spans="1:6" x14ac:dyDescent="0.4">
      <c r="A1243" s="28">
        <f t="shared" si="39"/>
        <v>1527</v>
      </c>
      <c r="B1243" s="28">
        <f t="shared" si="38"/>
        <v>0.12928248222365871</v>
      </c>
      <c r="C1243" s="28">
        <f>A1243+$E$6</f>
        <v>1549</v>
      </c>
      <c r="D1243" s="28">
        <f>CEILING(C1243/$H$3,1)*CEILING($H$2/$H$3,1)/CEILING($H$2/$H$3,1)</f>
        <v>7</v>
      </c>
      <c r="E1243" s="28">
        <f>CEILING(C1243/$H$3,1)*CEILING($H$2/$H$3,1)/CEILING(C1243/$H$3,1)</f>
        <v>1</v>
      </c>
      <c r="F1243" s="28">
        <f>$B$5/D1243/B1243*E1243</f>
        <v>1.4917499999999999</v>
      </c>
    </row>
    <row r="1244" spans="1:6" x14ac:dyDescent="0.4">
      <c r="A1244" s="28">
        <f t="shared" si="39"/>
        <v>1528</v>
      </c>
      <c r="B1244" s="28">
        <f t="shared" si="38"/>
        <v>0.12919896640826872</v>
      </c>
      <c r="C1244" s="28">
        <f>A1244+$E$6</f>
        <v>1550</v>
      </c>
      <c r="D1244" s="28">
        <f>CEILING(C1244/$H$3,1)*CEILING($H$2/$H$3,1)/CEILING($H$2/$H$3,1)</f>
        <v>7</v>
      </c>
      <c r="E1244" s="28">
        <f>CEILING(C1244/$H$3,1)*CEILING($H$2/$H$3,1)/CEILING(C1244/$H$3,1)</f>
        <v>1</v>
      </c>
      <c r="F1244" s="28">
        <f>$B$5/D1244/B1244*E1244</f>
        <v>1.4927142857142859</v>
      </c>
    </row>
    <row r="1245" spans="1:6" x14ac:dyDescent="0.4">
      <c r="A1245" s="28">
        <f t="shared" si="39"/>
        <v>1529</v>
      </c>
      <c r="B1245" s="28">
        <f t="shared" si="38"/>
        <v>0.12911555842479019</v>
      </c>
      <c r="C1245" s="28">
        <f>A1245+$E$6</f>
        <v>1551</v>
      </c>
      <c r="D1245" s="28">
        <f>CEILING(C1245/$H$3,1)*CEILING($H$2/$H$3,1)/CEILING($H$2/$H$3,1)</f>
        <v>7</v>
      </c>
      <c r="E1245" s="28">
        <f>CEILING(C1245/$H$3,1)*CEILING($H$2/$H$3,1)/CEILING(C1245/$H$3,1)</f>
        <v>1</v>
      </c>
      <c r="F1245" s="28">
        <f>$B$5/D1245/B1245*E1245</f>
        <v>1.4936785714285714</v>
      </c>
    </row>
    <row r="1246" spans="1:6" x14ac:dyDescent="0.4">
      <c r="A1246" s="28">
        <f t="shared" si="39"/>
        <v>1530</v>
      </c>
      <c r="B1246" s="28">
        <f t="shared" si="38"/>
        <v>0.12903225806451613</v>
      </c>
      <c r="C1246" s="28">
        <f>A1246+$E$6</f>
        <v>1552</v>
      </c>
      <c r="D1246" s="28">
        <f>CEILING(C1246/$H$3,1)*CEILING($H$2/$H$3,1)/CEILING($H$2/$H$3,1)</f>
        <v>7</v>
      </c>
      <c r="E1246" s="28">
        <f>CEILING(C1246/$H$3,1)*CEILING($H$2/$H$3,1)/CEILING(C1246/$H$3,1)</f>
        <v>1</v>
      </c>
      <c r="F1246" s="28">
        <f>$B$5/D1246/B1246*E1246</f>
        <v>1.4946428571428572</v>
      </c>
    </row>
    <row r="1247" spans="1:6" x14ac:dyDescent="0.4">
      <c r="A1247" s="28">
        <f t="shared" si="39"/>
        <v>1531</v>
      </c>
      <c r="B1247" s="28">
        <f t="shared" si="38"/>
        <v>0.12894906511927789</v>
      </c>
      <c r="C1247" s="28">
        <f>A1247+$E$6</f>
        <v>1553</v>
      </c>
      <c r="D1247" s="28">
        <f>CEILING(C1247/$H$3,1)*CEILING($H$2/$H$3,1)/CEILING($H$2/$H$3,1)</f>
        <v>7</v>
      </c>
      <c r="E1247" s="28">
        <f>CEILING(C1247/$H$3,1)*CEILING($H$2/$H$3,1)/CEILING(C1247/$H$3,1)</f>
        <v>1</v>
      </c>
      <c r="F1247" s="28">
        <f>$B$5/D1247/B1247*E1247</f>
        <v>1.4956071428571429</v>
      </c>
    </row>
    <row r="1248" spans="1:6" x14ac:dyDescent="0.4">
      <c r="A1248" s="28">
        <f t="shared" si="39"/>
        <v>1532</v>
      </c>
      <c r="B1248" s="28">
        <f t="shared" si="38"/>
        <v>0.12886597938144329</v>
      </c>
      <c r="C1248" s="28">
        <f>A1248+$E$6</f>
        <v>1554</v>
      </c>
      <c r="D1248" s="28">
        <f>CEILING(C1248/$H$3,1)*CEILING($H$2/$H$3,1)/CEILING($H$2/$H$3,1)</f>
        <v>7</v>
      </c>
      <c r="E1248" s="28">
        <f>CEILING(C1248/$H$3,1)*CEILING($H$2/$H$3,1)/CEILING(C1248/$H$3,1)</f>
        <v>1</v>
      </c>
      <c r="F1248" s="28">
        <f>$B$5/D1248/B1248*E1248</f>
        <v>1.4965714285714289</v>
      </c>
    </row>
    <row r="1249" spans="1:6" x14ac:dyDescent="0.4">
      <c r="A1249" s="28">
        <f t="shared" si="39"/>
        <v>1533</v>
      </c>
      <c r="B1249" s="28">
        <f t="shared" si="38"/>
        <v>0.12878300064391501</v>
      </c>
      <c r="C1249" s="28">
        <f>A1249+$E$6</f>
        <v>1555</v>
      </c>
      <c r="D1249" s="28">
        <f>CEILING(C1249/$H$3,1)*CEILING($H$2/$H$3,1)/CEILING($H$2/$H$3,1)</f>
        <v>7</v>
      </c>
      <c r="E1249" s="28">
        <f>CEILING(C1249/$H$3,1)*CEILING($H$2/$H$3,1)/CEILING(C1249/$H$3,1)</f>
        <v>1</v>
      </c>
      <c r="F1249" s="28">
        <f>$B$5/D1249/B1249*E1249</f>
        <v>1.4975357142857142</v>
      </c>
    </row>
    <row r="1250" spans="1:6" x14ac:dyDescent="0.4">
      <c r="A1250" s="28">
        <f t="shared" si="39"/>
        <v>1534</v>
      </c>
      <c r="B1250" s="28">
        <f t="shared" si="38"/>
        <v>0.1287001287001287</v>
      </c>
      <c r="C1250" s="28">
        <f>A1250+$E$6</f>
        <v>1556</v>
      </c>
      <c r="D1250" s="28">
        <f>CEILING(C1250/$H$3,1)*CEILING($H$2/$H$3,1)/CEILING($H$2/$H$3,1)</f>
        <v>7</v>
      </c>
      <c r="E1250" s="28">
        <f>CEILING(C1250/$H$3,1)*CEILING($H$2/$H$3,1)/CEILING(C1250/$H$3,1)</f>
        <v>1</v>
      </c>
      <c r="F1250" s="28">
        <f>$B$5/D1250/B1250*E1250</f>
        <v>1.4984999999999999</v>
      </c>
    </row>
    <row r="1251" spans="1:6" x14ac:dyDescent="0.4">
      <c r="A1251" s="28">
        <f t="shared" si="39"/>
        <v>1535</v>
      </c>
      <c r="B1251" s="28">
        <f t="shared" si="38"/>
        <v>0.12861736334405144</v>
      </c>
      <c r="C1251" s="28">
        <f>A1251+$E$6</f>
        <v>1557</v>
      </c>
      <c r="D1251" s="28">
        <f>CEILING(C1251/$H$3,1)*CEILING($H$2/$H$3,1)/CEILING($H$2/$H$3,1)</f>
        <v>7</v>
      </c>
      <c r="E1251" s="28">
        <f>CEILING(C1251/$H$3,1)*CEILING($H$2/$H$3,1)/CEILING(C1251/$H$3,1)</f>
        <v>1</v>
      </c>
      <c r="F1251" s="28">
        <f>$B$5/D1251/B1251*E1251</f>
        <v>1.4994642857142859</v>
      </c>
    </row>
    <row r="1252" spans="1:6" x14ac:dyDescent="0.4">
      <c r="A1252" s="28">
        <f t="shared" si="39"/>
        <v>1536</v>
      </c>
      <c r="B1252" s="28">
        <f t="shared" si="38"/>
        <v>0.12853470437017994</v>
      </c>
      <c r="C1252" s="28">
        <f>A1252+$E$6</f>
        <v>1558</v>
      </c>
      <c r="D1252" s="28">
        <f>CEILING(C1252/$H$3,1)*CEILING($H$2/$H$3,1)/CEILING($H$2/$H$3,1)</f>
        <v>7</v>
      </c>
      <c r="E1252" s="28">
        <f>CEILING(C1252/$H$3,1)*CEILING($H$2/$H$3,1)/CEILING(C1252/$H$3,1)</f>
        <v>1</v>
      </c>
      <c r="F1252" s="28">
        <f>$B$5/D1252/B1252*E1252</f>
        <v>1.5004285714285717</v>
      </c>
    </row>
    <row r="1253" spans="1:6" x14ac:dyDescent="0.4">
      <c r="A1253" s="28">
        <f t="shared" si="39"/>
        <v>1537</v>
      </c>
      <c r="B1253" s="28">
        <f t="shared" si="38"/>
        <v>0.12845215157353887</v>
      </c>
      <c r="C1253" s="28">
        <f>A1253+$E$6</f>
        <v>1559</v>
      </c>
      <c r="D1253" s="28">
        <f>CEILING(C1253/$H$3,1)*CEILING($H$2/$H$3,1)/CEILING($H$2/$H$3,1)</f>
        <v>7</v>
      </c>
      <c r="E1253" s="28">
        <f>CEILING(C1253/$H$3,1)*CEILING($H$2/$H$3,1)/CEILING(C1253/$H$3,1)</f>
        <v>1</v>
      </c>
      <c r="F1253" s="28">
        <f>$B$5/D1253/B1253*E1253</f>
        <v>1.501392857142857</v>
      </c>
    </row>
    <row r="1254" spans="1:6" x14ac:dyDescent="0.4">
      <c r="A1254" s="28">
        <f t="shared" si="39"/>
        <v>1538</v>
      </c>
      <c r="B1254" s="28">
        <f t="shared" si="38"/>
        <v>0.12836970474967907</v>
      </c>
      <c r="C1254" s="28">
        <f>A1254+$E$6</f>
        <v>1560</v>
      </c>
      <c r="D1254" s="28">
        <f>CEILING(C1254/$H$3,1)*CEILING($H$2/$H$3,1)/CEILING($H$2/$H$3,1)</f>
        <v>7</v>
      </c>
      <c r="E1254" s="28">
        <f>CEILING(C1254/$H$3,1)*CEILING($H$2/$H$3,1)/CEILING(C1254/$H$3,1)</f>
        <v>1</v>
      </c>
      <c r="F1254" s="28">
        <f>$B$5/D1254/B1254*E1254</f>
        <v>1.5023571428571429</v>
      </c>
    </row>
    <row r="1255" spans="1:6" x14ac:dyDescent="0.4">
      <c r="A1255" s="28">
        <f t="shared" si="39"/>
        <v>1539</v>
      </c>
      <c r="B1255" s="28">
        <f t="shared" si="38"/>
        <v>0.12828736369467608</v>
      </c>
      <c r="C1255" s="28">
        <f>A1255+$E$6</f>
        <v>1561</v>
      </c>
      <c r="D1255" s="28">
        <f>CEILING(C1255/$H$3,1)*CEILING($H$2/$H$3,1)/CEILING($H$2/$H$3,1)</f>
        <v>7</v>
      </c>
      <c r="E1255" s="28">
        <f>CEILING(C1255/$H$3,1)*CEILING($H$2/$H$3,1)/CEILING(C1255/$H$3,1)</f>
        <v>1</v>
      </c>
      <c r="F1255" s="28">
        <f>$B$5/D1255/B1255*E1255</f>
        <v>1.5033214285714285</v>
      </c>
    </row>
    <row r="1256" spans="1:6" x14ac:dyDescent="0.4">
      <c r="A1256" s="28">
        <f t="shared" si="39"/>
        <v>1540</v>
      </c>
      <c r="B1256" s="28">
        <f t="shared" si="38"/>
        <v>0.12820512820512819</v>
      </c>
      <c r="C1256" s="28">
        <f>A1256+$E$6</f>
        <v>1562</v>
      </c>
      <c r="D1256" s="28">
        <f>CEILING(C1256/$H$3,1)*CEILING($H$2/$H$3,1)/CEILING($H$2/$H$3,1)</f>
        <v>7</v>
      </c>
      <c r="E1256" s="28">
        <f>CEILING(C1256/$H$3,1)*CEILING($H$2/$H$3,1)/CEILING(C1256/$H$3,1)</f>
        <v>1</v>
      </c>
      <c r="F1256" s="28">
        <f>$B$5/D1256/B1256*E1256</f>
        <v>1.5042857142857144</v>
      </c>
    </row>
    <row r="1257" spans="1:6" x14ac:dyDescent="0.4">
      <c r="A1257" s="28">
        <f t="shared" si="39"/>
        <v>1541</v>
      </c>
      <c r="B1257" s="28">
        <f t="shared" si="38"/>
        <v>0.12812299807815503</v>
      </c>
      <c r="C1257" s="28">
        <f>A1257+$E$6</f>
        <v>1563</v>
      </c>
      <c r="D1257" s="28">
        <f>CEILING(C1257/$H$3,1)*CEILING($H$2/$H$3,1)/CEILING($H$2/$H$3,1)</f>
        <v>7</v>
      </c>
      <c r="E1257" s="28">
        <f>CEILING(C1257/$H$3,1)*CEILING($H$2/$H$3,1)/CEILING(C1257/$H$3,1)</f>
        <v>1</v>
      </c>
      <c r="F1257" s="28">
        <f>$B$5/D1257/B1257*E1257</f>
        <v>1.5052500000000002</v>
      </c>
    </row>
    <row r="1258" spans="1:6" x14ac:dyDescent="0.4">
      <c r="A1258" s="28">
        <f t="shared" si="39"/>
        <v>1542</v>
      </c>
      <c r="B1258" s="28">
        <f t="shared" si="38"/>
        <v>0.12804097311139565</v>
      </c>
      <c r="C1258" s="28">
        <f>A1258+$E$6</f>
        <v>1564</v>
      </c>
      <c r="D1258" s="28">
        <f>CEILING(C1258/$H$3,1)*CEILING($H$2/$H$3,1)/CEILING($H$2/$H$3,1)</f>
        <v>7</v>
      </c>
      <c r="E1258" s="28">
        <f>CEILING(C1258/$H$3,1)*CEILING($H$2/$H$3,1)/CEILING(C1258/$H$3,1)</f>
        <v>1</v>
      </c>
      <c r="F1258" s="28">
        <f>$B$5/D1258/B1258*E1258</f>
        <v>1.5062142857142857</v>
      </c>
    </row>
    <row r="1259" spans="1:6" x14ac:dyDescent="0.4">
      <c r="A1259" s="28">
        <f t="shared" si="39"/>
        <v>1543</v>
      </c>
      <c r="B1259" s="28">
        <f t="shared" si="38"/>
        <v>0.12795905310300704</v>
      </c>
      <c r="C1259" s="28">
        <f>A1259+$E$6</f>
        <v>1565</v>
      </c>
      <c r="D1259" s="28">
        <f>CEILING(C1259/$H$3,1)*CEILING($H$2/$H$3,1)/CEILING($H$2/$H$3,1)</f>
        <v>7</v>
      </c>
      <c r="E1259" s="28">
        <f>CEILING(C1259/$H$3,1)*CEILING($H$2/$H$3,1)/CEILING(C1259/$H$3,1)</f>
        <v>1</v>
      </c>
      <c r="F1259" s="28">
        <f>$B$5/D1259/B1259*E1259</f>
        <v>1.5071785714285715</v>
      </c>
    </row>
    <row r="1260" spans="1:6" x14ac:dyDescent="0.4">
      <c r="A1260" s="28">
        <f t="shared" si="39"/>
        <v>1544</v>
      </c>
      <c r="B1260" s="28">
        <f t="shared" si="38"/>
        <v>0.12787723785166241</v>
      </c>
      <c r="C1260" s="28">
        <f>A1260+$E$6</f>
        <v>1566</v>
      </c>
      <c r="D1260" s="28">
        <f>CEILING(C1260/$H$3,1)*CEILING($H$2/$H$3,1)/CEILING($H$2/$H$3,1)</f>
        <v>7</v>
      </c>
      <c r="E1260" s="28">
        <f>CEILING(C1260/$H$3,1)*CEILING($H$2/$H$3,1)/CEILING(C1260/$H$3,1)</f>
        <v>1</v>
      </c>
      <c r="F1260" s="28">
        <f>$B$5/D1260/B1260*E1260</f>
        <v>1.508142857142857</v>
      </c>
    </row>
    <row r="1261" spans="1:6" x14ac:dyDescent="0.4">
      <c r="A1261" s="28">
        <f t="shared" si="39"/>
        <v>1545</v>
      </c>
      <c r="B1261" s="28">
        <f t="shared" si="38"/>
        <v>0.12779552715654952</v>
      </c>
      <c r="C1261" s="28">
        <f>A1261+$E$6</f>
        <v>1567</v>
      </c>
      <c r="D1261" s="28">
        <f>CEILING(C1261/$H$3,1)*CEILING($H$2/$H$3,1)/CEILING($H$2/$H$3,1)</f>
        <v>7</v>
      </c>
      <c r="E1261" s="28">
        <f>CEILING(C1261/$H$3,1)*CEILING($H$2/$H$3,1)/CEILING(C1261/$H$3,1)</f>
        <v>1</v>
      </c>
      <c r="F1261" s="28">
        <f>$B$5/D1261/B1261*E1261</f>
        <v>1.509107142857143</v>
      </c>
    </row>
    <row r="1262" spans="1:6" x14ac:dyDescent="0.4">
      <c r="A1262" s="28">
        <f t="shared" si="39"/>
        <v>1546</v>
      </c>
      <c r="B1262" s="28">
        <f t="shared" si="38"/>
        <v>0.1277139208173691</v>
      </c>
      <c r="C1262" s="28">
        <f>A1262+$E$6</f>
        <v>1568</v>
      </c>
      <c r="D1262" s="28">
        <f>CEILING(C1262/$H$3,1)*CEILING($H$2/$H$3,1)/CEILING($H$2/$H$3,1)</f>
        <v>7</v>
      </c>
      <c r="E1262" s="28">
        <f>CEILING(C1262/$H$3,1)*CEILING($H$2/$H$3,1)/CEILING(C1262/$H$3,1)</f>
        <v>1</v>
      </c>
      <c r="F1262" s="28">
        <f>$B$5/D1262/B1262*E1262</f>
        <v>1.5100714285714285</v>
      </c>
    </row>
    <row r="1263" spans="1:6" x14ac:dyDescent="0.4">
      <c r="A1263" s="28">
        <f t="shared" si="39"/>
        <v>1547</v>
      </c>
      <c r="B1263" s="28">
        <f t="shared" si="38"/>
        <v>0.12763241863433311</v>
      </c>
      <c r="C1263" s="28">
        <f>A1263+$E$6</f>
        <v>1569</v>
      </c>
      <c r="D1263" s="28">
        <f>CEILING(C1263/$H$3,1)*CEILING($H$2/$H$3,1)/CEILING($H$2/$H$3,1)</f>
        <v>7</v>
      </c>
      <c r="E1263" s="28">
        <f>CEILING(C1263/$H$3,1)*CEILING($H$2/$H$3,1)/CEILING(C1263/$H$3,1)</f>
        <v>1</v>
      </c>
      <c r="F1263" s="28">
        <f>$B$5/D1263/B1263*E1263</f>
        <v>1.5110357142857145</v>
      </c>
    </row>
    <row r="1264" spans="1:6" x14ac:dyDescent="0.4">
      <c r="A1264" s="28">
        <f t="shared" si="39"/>
        <v>1548</v>
      </c>
      <c r="B1264" s="28">
        <f t="shared" si="38"/>
        <v>0.12755102040816327</v>
      </c>
      <c r="C1264" s="28">
        <f>A1264+$E$6</f>
        <v>1570</v>
      </c>
      <c r="D1264" s="28">
        <f>CEILING(C1264/$H$3,1)*CEILING($H$2/$H$3,1)/CEILING($H$2/$H$3,1)</f>
        <v>7</v>
      </c>
      <c r="E1264" s="28">
        <f>CEILING(C1264/$H$3,1)*CEILING($H$2/$H$3,1)/CEILING(C1264/$H$3,1)</f>
        <v>1</v>
      </c>
      <c r="F1264" s="28">
        <f>$B$5/D1264/B1264*E1264</f>
        <v>1.512</v>
      </c>
    </row>
    <row r="1265" spans="1:6" x14ac:dyDescent="0.4">
      <c r="A1265" s="28">
        <f t="shared" si="39"/>
        <v>1549</v>
      </c>
      <c r="B1265" s="28">
        <f t="shared" si="38"/>
        <v>0.12746972594008923</v>
      </c>
      <c r="C1265" s="28">
        <f>A1265+$E$6</f>
        <v>1571</v>
      </c>
      <c r="D1265" s="28">
        <f>CEILING(C1265/$H$3,1)*CEILING($H$2/$H$3,1)/CEILING($H$2/$H$3,1)</f>
        <v>7</v>
      </c>
      <c r="E1265" s="28">
        <f>CEILING(C1265/$H$3,1)*CEILING($H$2/$H$3,1)/CEILING(C1265/$H$3,1)</f>
        <v>1</v>
      </c>
      <c r="F1265" s="28">
        <f>$B$5/D1265/B1265*E1265</f>
        <v>1.5129642857142858</v>
      </c>
    </row>
    <row r="1266" spans="1:6" x14ac:dyDescent="0.4">
      <c r="A1266" s="28">
        <f t="shared" si="39"/>
        <v>1550</v>
      </c>
      <c r="B1266" s="28">
        <f t="shared" si="38"/>
        <v>0.12738853503184713</v>
      </c>
      <c r="C1266" s="28">
        <f>A1266+$E$6</f>
        <v>1572</v>
      </c>
      <c r="D1266" s="28">
        <f>CEILING(C1266/$H$3,1)*CEILING($H$2/$H$3,1)/CEILING($H$2/$H$3,1)</f>
        <v>7</v>
      </c>
      <c r="E1266" s="28">
        <f>CEILING(C1266/$H$3,1)*CEILING($H$2/$H$3,1)/CEILING(C1266/$H$3,1)</f>
        <v>1</v>
      </c>
      <c r="F1266" s="28">
        <f>$B$5/D1266/B1266*E1266</f>
        <v>1.5139285714285715</v>
      </c>
    </row>
    <row r="1267" spans="1:6" x14ac:dyDescent="0.4">
      <c r="A1267" s="28">
        <f t="shared" si="39"/>
        <v>1551</v>
      </c>
      <c r="B1267" s="28">
        <f t="shared" si="38"/>
        <v>0.1273074474856779</v>
      </c>
      <c r="C1267" s="28">
        <f>A1267+$E$6</f>
        <v>1573</v>
      </c>
      <c r="D1267" s="28">
        <f>CEILING(C1267/$H$3,1)*CEILING($H$2/$H$3,1)/CEILING($H$2/$H$3,1)</f>
        <v>7</v>
      </c>
      <c r="E1267" s="28">
        <f>CEILING(C1267/$H$3,1)*CEILING($H$2/$H$3,1)/CEILING(C1267/$H$3,1)</f>
        <v>1</v>
      </c>
      <c r="F1267" s="28">
        <f>$B$5/D1267/B1267*E1267</f>
        <v>1.5148928571428573</v>
      </c>
    </row>
    <row r="1268" spans="1:6" x14ac:dyDescent="0.4">
      <c r="A1268" s="28">
        <f t="shared" si="39"/>
        <v>1552</v>
      </c>
      <c r="B1268" s="28">
        <f t="shared" si="38"/>
        <v>0.1272264631043257</v>
      </c>
      <c r="C1268" s="28">
        <f>A1268+$E$6</f>
        <v>1574</v>
      </c>
      <c r="D1268" s="28">
        <f>CEILING(C1268/$H$3,1)*CEILING($H$2/$H$3,1)/CEILING($H$2/$H$3,1)</f>
        <v>7</v>
      </c>
      <c r="E1268" s="28">
        <f>CEILING(C1268/$H$3,1)*CEILING($H$2/$H$3,1)/CEILING(C1268/$H$3,1)</f>
        <v>1</v>
      </c>
      <c r="F1268" s="28">
        <f>$B$5/D1268/B1268*E1268</f>
        <v>1.515857142857143</v>
      </c>
    </row>
    <row r="1269" spans="1:6" x14ac:dyDescent="0.4">
      <c r="A1269" s="28">
        <f t="shared" si="39"/>
        <v>1553</v>
      </c>
      <c r="B1269" s="28">
        <f t="shared" si="38"/>
        <v>0.12714558169103624</v>
      </c>
      <c r="C1269" s="28">
        <f>A1269+$E$6</f>
        <v>1575</v>
      </c>
      <c r="D1269" s="28">
        <f>CEILING(C1269/$H$3,1)*CEILING($H$2/$H$3,1)/CEILING($H$2/$H$3,1)</f>
        <v>7</v>
      </c>
      <c r="E1269" s="28">
        <f>CEILING(C1269/$H$3,1)*CEILING($H$2/$H$3,1)/CEILING(C1269/$H$3,1)</f>
        <v>1</v>
      </c>
      <c r="F1269" s="28">
        <f>$B$5/D1269/B1269*E1269</f>
        <v>1.5168214285714285</v>
      </c>
    </row>
    <row r="1270" spans="1:6" x14ac:dyDescent="0.4">
      <c r="A1270" s="28">
        <f t="shared" si="39"/>
        <v>1554</v>
      </c>
      <c r="B1270" s="28">
        <f t="shared" si="38"/>
        <v>0.12706480304955528</v>
      </c>
      <c r="C1270" s="28">
        <f>A1270+$E$6</f>
        <v>1576</v>
      </c>
      <c r="D1270" s="28">
        <f>CEILING(C1270/$H$3,1)*CEILING($H$2/$H$3,1)/CEILING($H$2/$H$3,1)</f>
        <v>7</v>
      </c>
      <c r="E1270" s="28">
        <f>CEILING(C1270/$H$3,1)*CEILING($H$2/$H$3,1)/CEILING(C1270/$H$3,1)</f>
        <v>1</v>
      </c>
      <c r="F1270" s="28">
        <f>$B$5/D1270/B1270*E1270</f>
        <v>1.5177857142857143</v>
      </c>
    </row>
    <row r="1271" spans="1:6" x14ac:dyDescent="0.4">
      <c r="A1271" s="28">
        <f t="shared" si="39"/>
        <v>1555</v>
      </c>
      <c r="B1271" s="28">
        <f t="shared" si="38"/>
        <v>0.12698412698412698</v>
      </c>
      <c r="C1271" s="28">
        <f>A1271+$E$6</f>
        <v>1577</v>
      </c>
      <c r="D1271" s="28">
        <f>CEILING(C1271/$H$3,1)*CEILING($H$2/$H$3,1)/CEILING($H$2/$H$3,1)</f>
        <v>7</v>
      </c>
      <c r="E1271" s="28">
        <f>CEILING(C1271/$H$3,1)*CEILING($H$2/$H$3,1)/CEILING(C1271/$H$3,1)</f>
        <v>1</v>
      </c>
      <c r="F1271" s="28">
        <f>$B$5/D1271/B1271*E1271</f>
        <v>1.51875</v>
      </c>
    </row>
    <row r="1272" spans="1:6" x14ac:dyDescent="0.4">
      <c r="A1272" s="28">
        <f t="shared" si="39"/>
        <v>1556</v>
      </c>
      <c r="B1272" s="28">
        <f t="shared" si="38"/>
        <v>0.12690355329949238</v>
      </c>
      <c r="C1272" s="28">
        <f>A1272+$E$6</f>
        <v>1578</v>
      </c>
      <c r="D1272" s="28">
        <f>CEILING(C1272/$H$3,1)*CEILING($H$2/$H$3,1)/CEILING($H$2/$H$3,1)</f>
        <v>7</v>
      </c>
      <c r="E1272" s="28">
        <f>CEILING(C1272/$H$3,1)*CEILING($H$2/$H$3,1)/CEILING(C1272/$H$3,1)</f>
        <v>1</v>
      </c>
      <c r="F1272" s="28">
        <f>$B$5/D1272/B1272*E1272</f>
        <v>1.5197142857142858</v>
      </c>
    </row>
    <row r="1273" spans="1:6" x14ac:dyDescent="0.4">
      <c r="A1273" s="28">
        <f t="shared" si="39"/>
        <v>1557</v>
      </c>
      <c r="B1273" s="28">
        <f t="shared" si="38"/>
        <v>0.12682308180088775</v>
      </c>
      <c r="C1273" s="28">
        <f>A1273+$E$6</f>
        <v>1579</v>
      </c>
      <c r="D1273" s="28">
        <f>CEILING(C1273/$H$3,1)*CEILING($H$2/$H$3,1)/CEILING($H$2/$H$3,1)</f>
        <v>7</v>
      </c>
      <c r="E1273" s="28">
        <f>CEILING(C1273/$H$3,1)*CEILING($H$2/$H$3,1)/CEILING(C1273/$H$3,1)</f>
        <v>1</v>
      </c>
      <c r="F1273" s="28">
        <f>$B$5/D1273/B1273*E1273</f>
        <v>1.5206785714285715</v>
      </c>
    </row>
    <row r="1274" spans="1:6" x14ac:dyDescent="0.4">
      <c r="A1274" s="28">
        <f t="shared" si="39"/>
        <v>1558</v>
      </c>
      <c r="B1274" s="28">
        <f t="shared" si="38"/>
        <v>0.1267427122940431</v>
      </c>
      <c r="C1274" s="28">
        <f>A1274+$E$6</f>
        <v>1580</v>
      </c>
      <c r="D1274" s="28">
        <f>CEILING(C1274/$H$3,1)*CEILING($H$2/$H$3,1)/CEILING($H$2/$H$3,1)</f>
        <v>7</v>
      </c>
      <c r="E1274" s="28">
        <f>CEILING(C1274/$H$3,1)*CEILING($H$2/$H$3,1)/CEILING(C1274/$H$3,1)</f>
        <v>1</v>
      </c>
      <c r="F1274" s="28">
        <f>$B$5/D1274/B1274*E1274</f>
        <v>1.5216428571428571</v>
      </c>
    </row>
    <row r="1275" spans="1:6" x14ac:dyDescent="0.4">
      <c r="A1275" s="28">
        <f t="shared" si="39"/>
        <v>1559</v>
      </c>
      <c r="B1275" s="28">
        <f t="shared" si="38"/>
        <v>0.1266624445851805</v>
      </c>
      <c r="C1275" s="28">
        <f>A1275+$E$6</f>
        <v>1581</v>
      </c>
      <c r="D1275" s="28">
        <f>CEILING(C1275/$H$3,1)*CEILING($H$2/$H$3,1)/CEILING($H$2/$H$3,1)</f>
        <v>7</v>
      </c>
      <c r="E1275" s="28">
        <f>CEILING(C1275/$H$3,1)*CEILING($H$2/$H$3,1)/CEILING(C1275/$H$3,1)</f>
        <v>1</v>
      </c>
      <c r="F1275" s="28">
        <f>$B$5/D1275/B1275*E1275</f>
        <v>1.5226071428571428</v>
      </c>
    </row>
    <row r="1276" spans="1:6" x14ac:dyDescent="0.4">
      <c r="A1276" s="28">
        <f t="shared" si="39"/>
        <v>1560</v>
      </c>
      <c r="B1276" s="28">
        <f t="shared" si="38"/>
        <v>0.12658227848101267</v>
      </c>
      <c r="C1276" s="28">
        <f>A1276+$E$6</f>
        <v>1582</v>
      </c>
      <c r="D1276" s="28">
        <f>CEILING(C1276/$H$3,1)*CEILING($H$2/$H$3,1)/CEILING($H$2/$H$3,1)</f>
        <v>7</v>
      </c>
      <c r="E1276" s="28">
        <f>CEILING(C1276/$H$3,1)*CEILING($H$2/$H$3,1)/CEILING(C1276/$H$3,1)</f>
        <v>1</v>
      </c>
      <c r="F1276" s="28">
        <f>$B$5/D1276/B1276*E1276</f>
        <v>1.5235714285714286</v>
      </c>
    </row>
    <row r="1277" spans="1:6" x14ac:dyDescent="0.4">
      <c r="A1277" s="28">
        <f t="shared" si="39"/>
        <v>1561</v>
      </c>
      <c r="B1277" s="28">
        <f t="shared" si="38"/>
        <v>0.1265022137887413</v>
      </c>
      <c r="C1277" s="28">
        <f>A1277+$E$6</f>
        <v>1583</v>
      </c>
      <c r="D1277" s="28">
        <f>CEILING(C1277/$H$3,1)*CEILING($H$2/$H$3,1)/CEILING($H$2/$H$3,1)</f>
        <v>7</v>
      </c>
      <c r="E1277" s="28">
        <f>CEILING(C1277/$H$3,1)*CEILING($H$2/$H$3,1)/CEILING(C1277/$H$3,1)</f>
        <v>1</v>
      </c>
      <c r="F1277" s="28">
        <f>$B$5/D1277/B1277*E1277</f>
        <v>1.5245357142857143</v>
      </c>
    </row>
    <row r="1278" spans="1:6" x14ac:dyDescent="0.4">
      <c r="A1278" s="28">
        <f t="shared" si="39"/>
        <v>1562</v>
      </c>
      <c r="B1278" s="28">
        <f t="shared" si="38"/>
        <v>0.12642225031605561</v>
      </c>
      <c r="C1278" s="28">
        <f>A1278+$E$6</f>
        <v>1584</v>
      </c>
      <c r="D1278" s="28">
        <f>CEILING(C1278/$H$3,1)*CEILING($H$2/$H$3,1)/CEILING($H$2/$H$3,1)</f>
        <v>7</v>
      </c>
      <c r="E1278" s="28">
        <f>CEILING(C1278/$H$3,1)*CEILING($H$2/$H$3,1)/CEILING(C1278/$H$3,1)</f>
        <v>1</v>
      </c>
      <c r="F1278" s="28">
        <f>$B$5/D1278/B1278*E1278</f>
        <v>1.5255000000000003</v>
      </c>
    </row>
    <row r="1279" spans="1:6" x14ac:dyDescent="0.4">
      <c r="A1279" s="28">
        <f t="shared" si="39"/>
        <v>1563</v>
      </c>
      <c r="B1279" s="28">
        <f t="shared" si="38"/>
        <v>0.12634238787113075</v>
      </c>
      <c r="C1279" s="28">
        <f>A1279+$E$6</f>
        <v>1585</v>
      </c>
      <c r="D1279" s="28">
        <f>CEILING(C1279/$H$3,1)*CEILING($H$2/$H$3,1)/CEILING($H$2/$H$3,1)</f>
        <v>7</v>
      </c>
      <c r="E1279" s="28">
        <f>CEILING(C1279/$H$3,1)*CEILING($H$2/$H$3,1)/CEILING(C1279/$H$3,1)</f>
        <v>1</v>
      </c>
      <c r="F1279" s="28">
        <f>$B$5/D1279/B1279*E1279</f>
        <v>1.5264642857142861</v>
      </c>
    </row>
    <row r="1280" spans="1:6" x14ac:dyDescent="0.4">
      <c r="A1280" s="28">
        <f t="shared" si="39"/>
        <v>1564</v>
      </c>
      <c r="B1280" s="28">
        <f t="shared" si="38"/>
        <v>0.12626262626262627</v>
      </c>
      <c r="C1280" s="28">
        <f>A1280+$E$6</f>
        <v>1586</v>
      </c>
      <c r="D1280" s="28">
        <f>CEILING(C1280/$H$3,1)*CEILING($H$2/$H$3,1)/CEILING($H$2/$H$3,1)</f>
        <v>7</v>
      </c>
      <c r="E1280" s="28">
        <f>CEILING(C1280/$H$3,1)*CEILING($H$2/$H$3,1)/CEILING(C1280/$H$3,1)</f>
        <v>1</v>
      </c>
      <c r="F1280" s="28">
        <f>$B$5/D1280/B1280*E1280</f>
        <v>1.5274285714285714</v>
      </c>
    </row>
    <row r="1281" spans="1:6" x14ac:dyDescent="0.4">
      <c r="A1281" s="28">
        <f t="shared" si="39"/>
        <v>1565</v>
      </c>
      <c r="B1281" s="28">
        <f t="shared" si="38"/>
        <v>0.12618296529968454</v>
      </c>
      <c r="C1281" s="28">
        <f>A1281+$E$6</f>
        <v>1587</v>
      </c>
      <c r="D1281" s="28">
        <f>CEILING(C1281/$H$3,1)*CEILING($H$2/$H$3,1)/CEILING($H$2/$H$3,1)</f>
        <v>7</v>
      </c>
      <c r="E1281" s="28">
        <f>CEILING(C1281/$H$3,1)*CEILING($H$2/$H$3,1)/CEILING(C1281/$H$3,1)</f>
        <v>1</v>
      </c>
      <c r="F1281" s="28">
        <f>$B$5/D1281/B1281*E1281</f>
        <v>1.5283928571428573</v>
      </c>
    </row>
    <row r="1282" spans="1:6" x14ac:dyDescent="0.4">
      <c r="A1282" s="28">
        <f t="shared" si="39"/>
        <v>1566</v>
      </c>
      <c r="B1282" s="28">
        <f t="shared" si="38"/>
        <v>0.12610340479192939</v>
      </c>
      <c r="C1282" s="28">
        <f>A1282+$E$6</f>
        <v>1588</v>
      </c>
      <c r="D1282" s="28">
        <f>CEILING(C1282/$H$3,1)*CEILING($H$2/$H$3,1)/CEILING($H$2/$H$3,1)</f>
        <v>7</v>
      </c>
      <c r="E1282" s="28">
        <f>CEILING(C1282/$H$3,1)*CEILING($H$2/$H$3,1)/CEILING(C1282/$H$3,1)</f>
        <v>1</v>
      </c>
      <c r="F1282" s="28">
        <f>$B$5/D1282/B1282*E1282</f>
        <v>1.5293571428571429</v>
      </c>
    </row>
    <row r="1283" spans="1:6" x14ac:dyDescent="0.4">
      <c r="A1283" s="28">
        <f t="shared" si="39"/>
        <v>1567</v>
      </c>
      <c r="B1283" s="28">
        <f t="shared" si="38"/>
        <v>0.12602394454946439</v>
      </c>
      <c r="C1283" s="28">
        <f>A1283+$E$6</f>
        <v>1589</v>
      </c>
      <c r="D1283" s="28">
        <f>CEILING(C1283/$H$3,1)*CEILING($H$2/$H$3,1)/CEILING($H$2/$H$3,1)</f>
        <v>7</v>
      </c>
      <c r="E1283" s="28">
        <f>CEILING(C1283/$H$3,1)*CEILING($H$2/$H$3,1)/CEILING(C1283/$H$3,1)</f>
        <v>1</v>
      </c>
      <c r="F1283" s="28">
        <f>$B$5/D1283/B1283*E1283</f>
        <v>1.5303214285714288</v>
      </c>
    </row>
    <row r="1284" spans="1:6" x14ac:dyDescent="0.4">
      <c r="A1284" s="28">
        <f t="shared" si="39"/>
        <v>1568</v>
      </c>
      <c r="B1284" s="28">
        <f t="shared" si="38"/>
        <v>0.12594458438287154</v>
      </c>
      <c r="C1284" s="28">
        <f>A1284+$E$6</f>
        <v>1590</v>
      </c>
      <c r="D1284" s="28">
        <f>CEILING(C1284/$H$3,1)*CEILING($H$2/$H$3,1)/CEILING($H$2/$H$3,1)</f>
        <v>7</v>
      </c>
      <c r="E1284" s="28">
        <f>CEILING(C1284/$H$3,1)*CEILING($H$2/$H$3,1)/CEILING(C1284/$H$3,1)</f>
        <v>1</v>
      </c>
      <c r="F1284" s="28">
        <f>$B$5/D1284/B1284*E1284</f>
        <v>1.5312857142857144</v>
      </c>
    </row>
    <row r="1285" spans="1:6" x14ac:dyDescent="0.4">
      <c r="A1285" s="28">
        <f t="shared" si="39"/>
        <v>1569</v>
      </c>
      <c r="B1285" s="28">
        <f t="shared" si="38"/>
        <v>0.12586532410320955</v>
      </c>
      <c r="C1285" s="28">
        <f>A1285+$E$6</f>
        <v>1591</v>
      </c>
      <c r="D1285" s="28">
        <f>CEILING(C1285/$H$3,1)*CEILING($H$2/$H$3,1)/CEILING($H$2/$H$3,1)</f>
        <v>7</v>
      </c>
      <c r="E1285" s="28">
        <f>CEILING(C1285/$H$3,1)*CEILING($H$2/$H$3,1)/CEILING(C1285/$H$3,1)</f>
        <v>1</v>
      </c>
      <c r="F1285" s="28">
        <f>$B$5/D1285/B1285*E1285</f>
        <v>1.5322500000000003</v>
      </c>
    </row>
    <row r="1286" spans="1:6" x14ac:dyDescent="0.4">
      <c r="A1286" s="28">
        <f t="shared" si="39"/>
        <v>1570</v>
      </c>
      <c r="B1286" s="28">
        <f t="shared" si="38"/>
        <v>0.12578616352201258</v>
      </c>
      <c r="C1286" s="28">
        <f>A1286+$E$6</f>
        <v>1592</v>
      </c>
      <c r="D1286" s="28">
        <f>CEILING(C1286/$H$3,1)*CEILING($H$2/$H$3,1)/CEILING($H$2/$H$3,1)</f>
        <v>7</v>
      </c>
      <c r="E1286" s="28">
        <f>CEILING(C1286/$H$3,1)*CEILING($H$2/$H$3,1)/CEILING(C1286/$H$3,1)</f>
        <v>1</v>
      </c>
      <c r="F1286" s="28">
        <f>$B$5/D1286/B1286*E1286</f>
        <v>1.5332142857142859</v>
      </c>
    </row>
    <row r="1287" spans="1:6" x14ac:dyDescent="0.4">
      <c r="A1287" s="28">
        <f t="shared" si="39"/>
        <v>1571</v>
      </c>
      <c r="B1287" s="28">
        <f t="shared" si="38"/>
        <v>0.12570710245128849</v>
      </c>
      <c r="C1287" s="28">
        <f>A1287+$E$6</f>
        <v>1593</v>
      </c>
      <c r="D1287" s="28">
        <f>CEILING(C1287/$H$3,1)*CEILING($H$2/$H$3,1)/CEILING($H$2/$H$3,1)</f>
        <v>7</v>
      </c>
      <c r="E1287" s="28">
        <f>CEILING(C1287/$H$3,1)*CEILING($H$2/$H$3,1)/CEILING(C1287/$H$3,1)</f>
        <v>1</v>
      </c>
      <c r="F1287" s="28">
        <f>$B$5/D1287/B1287*E1287</f>
        <v>1.5341785714285716</v>
      </c>
    </row>
    <row r="1288" spans="1:6" x14ac:dyDescent="0.4">
      <c r="A1288" s="28">
        <f t="shared" si="39"/>
        <v>1572</v>
      </c>
      <c r="B1288" s="28">
        <f t="shared" si="38"/>
        <v>0.12562814070351758</v>
      </c>
      <c r="C1288" s="28">
        <f>A1288+$E$6</f>
        <v>1594</v>
      </c>
      <c r="D1288" s="28">
        <f>CEILING(C1288/$H$3,1)*CEILING($H$2/$H$3,1)/CEILING($H$2/$H$3,1)</f>
        <v>7</v>
      </c>
      <c r="E1288" s="28">
        <f>CEILING(C1288/$H$3,1)*CEILING($H$2/$H$3,1)/CEILING(C1288/$H$3,1)</f>
        <v>1</v>
      </c>
      <c r="F1288" s="28">
        <f>$B$5/D1288/B1288*E1288</f>
        <v>1.5351428571428574</v>
      </c>
    </row>
    <row r="1289" spans="1:6" x14ac:dyDescent="0.4">
      <c r="A1289" s="28">
        <f t="shared" si="39"/>
        <v>1573</v>
      </c>
      <c r="B1289" s="28">
        <f t="shared" si="38"/>
        <v>0.12554927809165098</v>
      </c>
      <c r="C1289" s="28">
        <f>A1289+$E$6</f>
        <v>1595</v>
      </c>
      <c r="D1289" s="28">
        <f>CEILING(C1289/$H$3,1)*CEILING($H$2/$H$3,1)/CEILING($H$2/$H$3,1)</f>
        <v>7</v>
      </c>
      <c r="E1289" s="28">
        <f>CEILING(C1289/$H$3,1)*CEILING($H$2/$H$3,1)/CEILING(C1289/$H$3,1)</f>
        <v>1</v>
      </c>
      <c r="F1289" s="28">
        <f>$B$5/D1289/B1289*E1289</f>
        <v>1.5361071428571429</v>
      </c>
    </row>
    <row r="1290" spans="1:6" x14ac:dyDescent="0.4">
      <c r="A1290" s="28">
        <f t="shared" si="39"/>
        <v>1574</v>
      </c>
      <c r="B1290" s="28">
        <f t="shared" si="38"/>
        <v>0.12547051442910917</v>
      </c>
      <c r="C1290" s="28">
        <f>A1290+$E$6</f>
        <v>1596</v>
      </c>
      <c r="D1290" s="28">
        <f>CEILING(C1290/$H$3,1)*CEILING($H$2/$H$3,1)/CEILING($H$2/$H$3,1)</f>
        <v>7</v>
      </c>
      <c r="E1290" s="28">
        <f>CEILING(C1290/$H$3,1)*CEILING($H$2/$H$3,1)/CEILING(C1290/$H$3,1)</f>
        <v>1</v>
      </c>
      <c r="F1290" s="28">
        <f>$B$5/D1290/B1290*E1290</f>
        <v>1.5370714285714284</v>
      </c>
    </row>
    <row r="1291" spans="1:6" x14ac:dyDescent="0.4">
      <c r="A1291" s="28">
        <f t="shared" si="39"/>
        <v>1575</v>
      </c>
      <c r="B1291" s="28">
        <f t="shared" ref="B1291:B1354" si="40">$B$4/8/(A1291+$B$2)</f>
        <v>0.12539184952978055</v>
      </c>
      <c r="C1291" s="28">
        <f>A1291+$E$6</f>
        <v>1597</v>
      </c>
      <c r="D1291" s="28">
        <f>CEILING(C1291/$H$3,1)*CEILING($H$2/$H$3,1)/CEILING($H$2/$H$3,1)</f>
        <v>7</v>
      </c>
      <c r="E1291" s="28">
        <f>CEILING(C1291/$H$3,1)*CEILING($H$2/$H$3,1)/CEILING(C1291/$H$3,1)</f>
        <v>1</v>
      </c>
      <c r="F1291" s="28">
        <f>$B$5/D1291/B1291*E1291</f>
        <v>1.5380357142857144</v>
      </c>
    </row>
    <row r="1292" spans="1:6" x14ac:dyDescent="0.4">
      <c r="A1292" s="28">
        <f t="shared" si="39"/>
        <v>1576</v>
      </c>
      <c r="B1292" s="28">
        <f t="shared" si="40"/>
        <v>0.12531328320802004</v>
      </c>
      <c r="C1292" s="28">
        <f>A1292+$E$6</f>
        <v>1598</v>
      </c>
      <c r="D1292" s="28">
        <f>CEILING(C1292/$H$3,1)*CEILING($H$2/$H$3,1)/CEILING($H$2/$H$3,1)</f>
        <v>7</v>
      </c>
      <c r="E1292" s="28">
        <f>CEILING(C1292/$H$3,1)*CEILING($H$2/$H$3,1)/CEILING(C1292/$H$3,1)</f>
        <v>1</v>
      </c>
      <c r="F1292" s="28">
        <f>$B$5/D1292/B1292*E1292</f>
        <v>1.5390000000000001</v>
      </c>
    </row>
    <row r="1293" spans="1:6" x14ac:dyDescent="0.4">
      <c r="A1293" s="28">
        <f t="shared" ref="A1293:A1356" si="41">A1292+$B$3</f>
        <v>1577</v>
      </c>
      <c r="B1293" s="28">
        <f t="shared" si="40"/>
        <v>0.12523481527864747</v>
      </c>
      <c r="C1293" s="28">
        <f>A1293+$E$6</f>
        <v>1599</v>
      </c>
      <c r="D1293" s="28">
        <f>CEILING(C1293/$H$3,1)*CEILING($H$2/$H$3,1)/CEILING($H$2/$H$3,1)</f>
        <v>7</v>
      </c>
      <c r="E1293" s="28">
        <f>CEILING(C1293/$H$3,1)*CEILING($H$2/$H$3,1)/CEILING(C1293/$H$3,1)</f>
        <v>1</v>
      </c>
      <c r="F1293" s="28">
        <f>$B$5/D1293/B1293*E1293</f>
        <v>1.5399642857142857</v>
      </c>
    </row>
    <row r="1294" spans="1:6" x14ac:dyDescent="0.4">
      <c r="A1294" s="28">
        <f t="shared" si="41"/>
        <v>1578</v>
      </c>
      <c r="B1294" s="28">
        <f t="shared" si="40"/>
        <v>0.12515644555694619</v>
      </c>
      <c r="C1294" s="28">
        <f>A1294+$E$6</f>
        <v>1600</v>
      </c>
      <c r="D1294" s="28">
        <f>CEILING(C1294/$H$3,1)*CEILING($H$2/$H$3,1)/CEILING($H$2/$H$3,1)</f>
        <v>7</v>
      </c>
      <c r="E1294" s="28">
        <f>CEILING(C1294/$H$3,1)*CEILING($H$2/$H$3,1)/CEILING(C1294/$H$3,1)</f>
        <v>1</v>
      </c>
      <c r="F1294" s="28">
        <f>$B$5/D1294/B1294*E1294</f>
        <v>1.5409285714285714</v>
      </c>
    </row>
    <row r="1295" spans="1:6" x14ac:dyDescent="0.4">
      <c r="A1295" s="28">
        <f t="shared" si="41"/>
        <v>1579</v>
      </c>
      <c r="B1295" s="28">
        <f t="shared" si="40"/>
        <v>0.12507817385866166</v>
      </c>
      <c r="C1295" s="28">
        <f>A1295+$E$6</f>
        <v>1601</v>
      </c>
      <c r="D1295" s="28">
        <f>CEILING(C1295/$H$3,1)*CEILING($H$2/$H$3,1)/CEILING($H$2/$H$3,1)</f>
        <v>7</v>
      </c>
      <c r="E1295" s="28">
        <f>CEILING(C1295/$H$3,1)*CEILING($H$2/$H$3,1)/CEILING(C1295/$H$3,1)</f>
        <v>1</v>
      </c>
      <c r="F1295" s="28">
        <f>$B$5/D1295/B1295*E1295</f>
        <v>1.5418928571428574</v>
      </c>
    </row>
    <row r="1296" spans="1:6" x14ac:dyDescent="0.4">
      <c r="A1296" s="28">
        <f t="shared" si="41"/>
        <v>1580</v>
      </c>
      <c r="B1296" s="28">
        <f t="shared" si="40"/>
        <v>0.125</v>
      </c>
      <c r="C1296" s="28">
        <f>A1296+$E$6</f>
        <v>1602</v>
      </c>
      <c r="D1296" s="28">
        <f>CEILING(C1296/$H$3,1)*CEILING($H$2/$H$3,1)/CEILING($H$2/$H$3,1)</f>
        <v>7</v>
      </c>
      <c r="E1296" s="28">
        <f>CEILING(C1296/$H$3,1)*CEILING($H$2/$H$3,1)/CEILING(C1296/$H$3,1)</f>
        <v>1</v>
      </c>
      <c r="F1296" s="28">
        <f>$B$5/D1296/B1296*E1296</f>
        <v>1.5428571428571429</v>
      </c>
    </row>
    <row r="1297" spans="1:6" x14ac:dyDescent="0.4">
      <c r="A1297" s="28">
        <f t="shared" si="41"/>
        <v>1581</v>
      </c>
      <c r="B1297" s="28">
        <f t="shared" si="40"/>
        <v>0.12492192379762648</v>
      </c>
      <c r="C1297" s="28">
        <f>A1297+$E$6</f>
        <v>1603</v>
      </c>
      <c r="D1297" s="28">
        <f>CEILING(C1297/$H$3,1)*CEILING($H$2/$H$3,1)/CEILING($H$2/$H$3,1)</f>
        <v>7</v>
      </c>
      <c r="E1297" s="28">
        <f>CEILING(C1297/$H$3,1)*CEILING($H$2/$H$3,1)/CEILING(C1297/$H$3,1)</f>
        <v>1</v>
      </c>
      <c r="F1297" s="28">
        <f>$B$5/D1297/B1297*E1297</f>
        <v>1.5438214285714287</v>
      </c>
    </row>
    <row r="1298" spans="1:6" x14ac:dyDescent="0.4">
      <c r="A1298" s="28">
        <f t="shared" si="41"/>
        <v>1582</v>
      </c>
      <c r="B1298" s="28">
        <f t="shared" si="40"/>
        <v>0.12484394506866417</v>
      </c>
      <c r="C1298" s="28">
        <f>A1298+$E$6</f>
        <v>1604</v>
      </c>
      <c r="D1298" s="28">
        <f>CEILING(C1298/$H$3,1)*CEILING($H$2/$H$3,1)/CEILING($H$2/$H$3,1)</f>
        <v>7</v>
      </c>
      <c r="E1298" s="28">
        <f>CEILING(C1298/$H$3,1)*CEILING($H$2/$H$3,1)/CEILING(C1298/$H$3,1)</f>
        <v>1</v>
      </c>
      <c r="F1298" s="28">
        <f>$B$5/D1298/B1298*E1298</f>
        <v>1.5447857142857144</v>
      </c>
    </row>
    <row r="1299" spans="1:6" x14ac:dyDescent="0.4">
      <c r="A1299" s="28">
        <f t="shared" si="41"/>
        <v>1583</v>
      </c>
      <c r="B1299" s="28">
        <f t="shared" si="40"/>
        <v>0.12476606363069245</v>
      </c>
      <c r="C1299" s="28">
        <f>A1299+$E$6</f>
        <v>1605</v>
      </c>
      <c r="D1299" s="28">
        <f>CEILING(C1299/$H$3,1)*CEILING($H$2/$H$3,1)/CEILING($H$2/$H$3,1)</f>
        <v>7</v>
      </c>
      <c r="E1299" s="28">
        <f>CEILING(C1299/$H$3,1)*CEILING($H$2/$H$3,1)/CEILING(C1299/$H$3,1)</f>
        <v>1</v>
      </c>
      <c r="F1299" s="28">
        <f>$B$5/D1299/B1299*E1299</f>
        <v>1.54575</v>
      </c>
    </row>
    <row r="1300" spans="1:6" x14ac:dyDescent="0.4">
      <c r="A1300" s="28">
        <f t="shared" si="41"/>
        <v>1584</v>
      </c>
      <c r="B1300" s="28">
        <f t="shared" si="40"/>
        <v>0.12468827930174564</v>
      </c>
      <c r="C1300" s="28">
        <f>A1300+$E$6</f>
        <v>1606</v>
      </c>
      <c r="D1300" s="28">
        <f>CEILING(C1300/$H$3,1)*CEILING($H$2/$H$3,1)/CEILING($H$2/$H$3,1)</f>
        <v>7</v>
      </c>
      <c r="E1300" s="28">
        <f>CEILING(C1300/$H$3,1)*CEILING($H$2/$H$3,1)/CEILING(C1300/$H$3,1)</f>
        <v>1</v>
      </c>
      <c r="F1300" s="28">
        <f>$B$5/D1300/B1300*E1300</f>
        <v>1.5467142857142857</v>
      </c>
    </row>
    <row r="1301" spans="1:6" x14ac:dyDescent="0.4">
      <c r="A1301" s="28">
        <f t="shared" si="41"/>
        <v>1585</v>
      </c>
      <c r="B1301" s="28">
        <f t="shared" si="40"/>
        <v>0.12461059190031153</v>
      </c>
      <c r="C1301" s="28">
        <f>A1301+$E$6</f>
        <v>1607</v>
      </c>
      <c r="D1301" s="28">
        <f>CEILING(C1301/$H$3,1)*CEILING($H$2/$H$3,1)/CEILING($H$2/$H$3,1)</f>
        <v>7</v>
      </c>
      <c r="E1301" s="28">
        <f>CEILING(C1301/$H$3,1)*CEILING($H$2/$H$3,1)/CEILING(C1301/$H$3,1)</f>
        <v>1</v>
      </c>
      <c r="F1301" s="28">
        <f>$B$5/D1301/B1301*E1301</f>
        <v>1.5476785714285715</v>
      </c>
    </row>
    <row r="1302" spans="1:6" x14ac:dyDescent="0.4">
      <c r="A1302" s="28">
        <f t="shared" si="41"/>
        <v>1586</v>
      </c>
      <c r="B1302" s="28">
        <f t="shared" si="40"/>
        <v>0.12453300124533001</v>
      </c>
      <c r="C1302" s="28">
        <f>A1302+$E$6</f>
        <v>1608</v>
      </c>
      <c r="D1302" s="28">
        <f>CEILING(C1302/$H$3,1)*CEILING($H$2/$H$3,1)/CEILING($H$2/$H$3,1)</f>
        <v>7</v>
      </c>
      <c r="E1302" s="28">
        <f>CEILING(C1302/$H$3,1)*CEILING($H$2/$H$3,1)/CEILING(C1302/$H$3,1)</f>
        <v>1</v>
      </c>
      <c r="F1302" s="28">
        <f>$B$5/D1302/B1302*E1302</f>
        <v>1.5486428571428572</v>
      </c>
    </row>
    <row r="1303" spans="1:6" x14ac:dyDescent="0.4">
      <c r="A1303" s="28">
        <f t="shared" si="41"/>
        <v>1587</v>
      </c>
      <c r="B1303" s="28">
        <f t="shared" si="40"/>
        <v>0.12445550715619166</v>
      </c>
      <c r="C1303" s="28">
        <f>A1303+$E$6</f>
        <v>1609</v>
      </c>
      <c r="D1303" s="28">
        <f>CEILING(C1303/$H$3,1)*CEILING($H$2/$H$3,1)/CEILING($H$2/$H$3,1)</f>
        <v>7</v>
      </c>
      <c r="E1303" s="28">
        <f>CEILING(C1303/$H$3,1)*CEILING($H$2/$H$3,1)/CEILING(C1303/$H$3,1)</f>
        <v>1</v>
      </c>
      <c r="F1303" s="28">
        <f>$B$5/D1303/B1303*E1303</f>
        <v>1.549607142857143</v>
      </c>
    </row>
    <row r="1304" spans="1:6" x14ac:dyDescent="0.4">
      <c r="A1304" s="28">
        <f t="shared" si="41"/>
        <v>1588</v>
      </c>
      <c r="B1304" s="28">
        <f t="shared" si="40"/>
        <v>0.12437810945273632</v>
      </c>
      <c r="C1304" s="28">
        <f>A1304+$E$6</f>
        <v>1610</v>
      </c>
      <c r="D1304" s="28">
        <f>CEILING(C1304/$H$3,1)*CEILING($H$2/$H$3,1)/CEILING($H$2/$H$3,1)</f>
        <v>7</v>
      </c>
      <c r="E1304" s="28">
        <f>CEILING(C1304/$H$3,1)*CEILING($H$2/$H$3,1)/CEILING(C1304/$H$3,1)</f>
        <v>1</v>
      </c>
      <c r="F1304" s="28">
        <f>$B$5/D1304/B1304*E1304</f>
        <v>1.5505714285714287</v>
      </c>
    </row>
    <row r="1305" spans="1:6" x14ac:dyDescent="0.4">
      <c r="A1305" s="28">
        <f t="shared" si="41"/>
        <v>1589</v>
      </c>
      <c r="B1305" s="28">
        <f t="shared" si="40"/>
        <v>0.12430080795525171</v>
      </c>
      <c r="C1305" s="28">
        <f>A1305+$E$6</f>
        <v>1611</v>
      </c>
      <c r="D1305" s="28">
        <f>CEILING(C1305/$H$3,1)*CEILING($H$2/$H$3,1)/CEILING($H$2/$H$3,1)</f>
        <v>7</v>
      </c>
      <c r="E1305" s="28">
        <f>CEILING(C1305/$H$3,1)*CEILING($H$2/$H$3,1)/CEILING(C1305/$H$3,1)</f>
        <v>1</v>
      </c>
      <c r="F1305" s="28">
        <f>$B$5/D1305/B1305*E1305</f>
        <v>1.5515357142857142</v>
      </c>
    </row>
    <row r="1306" spans="1:6" x14ac:dyDescent="0.4">
      <c r="A1306" s="28">
        <f t="shared" si="41"/>
        <v>1590</v>
      </c>
      <c r="B1306" s="28">
        <f t="shared" si="40"/>
        <v>0.12422360248447205</v>
      </c>
      <c r="C1306" s="28">
        <f>A1306+$E$6</f>
        <v>1612</v>
      </c>
      <c r="D1306" s="28">
        <f>CEILING(C1306/$H$3,1)*CEILING($H$2/$H$3,1)/CEILING($H$2/$H$3,1)</f>
        <v>7</v>
      </c>
      <c r="E1306" s="28">
        <f>CEILING(C1306/$H$3,1)*CEILING($H$2/$H$3,1)/CEILING(C1306/$H$3,1)</f>
        <v>1</v>
      </c>
      <c r="F1306" s="28">
        <f>$B$5/D1306/B1306*E1306</f>
        <v>1.5525</v>
      </c>
    </row>
    <row r="1307" spans="1:6" x14ac:dyDescent="0.4">
      <c r="A1307" s="28">
        <f t="shared" si="41"/>
        <v>1591</v>
      </c>
      <c r="B1307" s="28">
        <f t="shared" si="40"/>
        <v>0.12414649286157665</v>
      </c>
      <c r="C1307" s="28">
        <f>A1307+$E$6</f>
        <v>1613</v>
      </c>
      <c r="D1307" s="28">
        <f>CEILING(C1307/$H$3,1)*CEILING($H$2/$H$3,1)/CEILING($H$2/$H$3,1)</f>
        <v>7</v>
      </c>
      <c r="E1307" s="28">
        <f>CEILING(C1307/$H$3,1)*CEILING($H$2/$H$3,1)/CEILING(C1307/$H$3,1)</f>
        <v>1</v>
      </c>
      <c r="F1307" s="28">
        <f>$B$5/D1307/B1307*E1307</f>
        <v>1.553464285714286</v>
      </c>
    </row>
    <row r="1308" spans="1:6" x14ac:dyDescent="0.4">
      <c r="A1308" s="28">
        <f t="shared" si="41"/>
        <v>1592</v>
      </c>
      <c r="B1308" s="28">
        <f t="shared" si="40"/>
        <v>0.12406947890818859</v>
      </c>
      <c r="C1308" s="28">
        <f>A1308+$E$6</f>
        <v>1614</v>
      </c>
      <c r="D1308" s="28">
        <f>CEILING(C1308/$H$3,1)*CEILING($H$2/$H$3,1)/CEILING($H$2/$H$3,1)</f>
        <v>7</v>
      </c>
      <c r="E1308" s="28">
        <f>CEILING(C1308/$H$3,1)*CEILING($H$2/$H$3,1)/CEILING(C1308/$H$3,1)</f>
        <v>1</v>
      </c>
      <c r="F1308" s="28">
        <f>$B$5/D1308/B1308*E1308</f>
        <v>1.5544285714285715</v>
      </c>
    </row>
    <row r="1309" spans="1:6" x14ac:dyDescent="0.4">
      <c r="A1309" s="28">
        <f t="shared" si="41"/>
        <v>1593</v>
      </c>
      <c r="B1309" s="28">
        <f t="shared" si="40"/>
        <v>0.12399256044637322</v>
      </c>
      <c r="C1309" s="28">
        <f>A1309+$E$6</f>
        <v>1615</v>
      </c>
      <c r="D1309" s="28">
        <f>CEILING(C1309/$H$3,1)*CEILING($H$2/$H$3,1)/CEILING($H$2/$H$3,1)</f>
        <v>7</v>
      </c>
      <c r="E1309" s="28">
        <f>CEILING(C1309/$H$3,1)*CEILING($H$2/$H$3,1)/CEILING(C1309/$H$3,1)</f>
        <v>1</v>
      </c>
      <c r="F1309" s="28">
        <f>$B$5/D1309/B1309*E1309</f>
        <v>1.5553928571428572</v>
      </c>
    </row>
    <row r="1310" spans="1:6" x14ac:dyDescent="0.4">
      <c r="A1310" s="28">
        <f t="shared" si="41"/>
        <v>1594</v>
      </c>
      <c r="B1310" s="28">
        <f t="shared" si="40"/>
        <v>0.12391573729863693</v>
      </c>
      <c r="C1310" s="28">
        <f>A1310+$E$6</f>
        <v>1616</v>
      </c>
      <c r="D1310" s="28">
        <f>CEILING(C1310/$H$3,1)*CEILING($H$2/$H$3,1)/CEILING($H$2/$H$3,1)</f>
        <v>7</v>
      </c>
      <c r="E1310" s="28">
        <f>CEILING(C1310/$H$3,1)*CEILING($H$2/$H$3,1)/CEILING(C1310/$H$3,1)</f>
        <v>1</v>
      </c>
      <c r="F1310" s="28">
        <f>$B$5/D1310/B1310*E1310</f>
        <v>1.5563571428571428</v>
      </c>
    </row>
    <row r="1311" spans="1:6" x14ac:dyDescent="0.4">
      <c r="A1311" s="28">
        <f t="shared" si="41"/>
        <v>1595</v>
      </c>
      <c r="B1311" s="28">
        <f t="shared" si="40"/>
        <v>0.1238390092879257</v>
      </c>
      <c r="C1311" s="28">
        <f>A1311+$E$6</f>
        <v>1617</v>
      </c>
      <c r="D1311" s="28">
        <f>CEILING(C1311/$H$3,1)*CEILING($H$2/$H$3,1)/CEILING($H$2/$H$3,1)</f>
        <v>7</v>
      </c>
      <c r="E1311" s="28">
        <f>CEILING(C1311/$H$3,1)*CEILING($H$2/$H$3,1)/CEILING(C1311/$H$3,1)</f>
        <v>1</v>
      </c>
      <c r="F1311" s="28">
        <f>$B$5/D1311/B1311*E1311</f>
        <v>1.5573214285714287</v>
      </c>
    </row>
    <row r="1312" spans="1:6" x14ac:dyDescent="0.4">
      <c r="A1312" s="28">
        <f t="shared" si="41"/>
        <v>1596</v>
      </c>
      <c r="B1312" s="28">
        <f t="shared" si="40"/>
        <v>0.12376237623762376</v>
      </c>
      <c r="C1312" s="28">
        <f>A1312+$E$6</f>
        <v>1618</v>
      </c>
      <c r="D1312" s="28">
        <f>CEILING(C1312/$H$3,1)*CEILING($H$2/$H$3,1)/CEILING($H$2/$H$3,1)</f>
        <v>7</v>
      </c>
      <c r="E1312" s="28">
        <f>CEILING(C1312/$H$3,1)*CEILING($H$2/$H$3,1)/CEILING(C1312/$H$3,1)</f>
        <v>1</v>
      </c>
      <c r="F1312" s="28">
        <f>$B$5/D1312/B1312*E1312</f>
        <v>1.5582857142857143</v>
      </c>
    </row>
    <row r="1313" spans="1:6" x14ac:dyDescent="0.4">
      <c r="A1313" s="28">
        <f t="shared" si="41"/>
        <v>1597</v>
      </c>
      <c r="B1313" s="28">
        <f t="shared" si="40"/>
        <v>0.12368583797155226</v>
      </c>
      <c r="C1313" s="28">
        <f>A1313+$E$6</f>
        <v>1619</v>
      </c>
      <c r="D1313" s="28">
        <f>CEILING(C1313/$H$3,1)*CEILING($H$2/$H$3,1)/CEILING($H$2/$H$3,1)</f>
        <v>7</v>
      </c>
      <c r="E1313" s="28">
        <f>CEILING(C1313/$H$3,1)*CEILING($H$2/$H$3,1)/CEILING(C1313/$H$3,1)</f>
        <v>1</v>
      </c>
      <c r="F1313" s="28">
        <f>$B$5/D1313/B1313*E1313</f>
        <v>1.55925</v>
      </c>
    </row>
    <row r="1314" spans="1:6" x14ac:dyDescent="0.4">
      <c r="A1314" s="28">
        <f t="shared" si="41"/>
        <v>1598</v>
      </c>
      <c r="B1314" s="28">
        <f t="shared" si="40"/>
        <v>0.12360939431396786</v>
      </c>
      <c r="C1314" s="28">
        <f>A1314+$E$6</f>
        <v>1620</v>
      </c>
      <c r="D1314" s="28">
        <f>CEILING(C1314/$H$3,1)*CEILING($H$2/$H$3,1)/CEILING($H$2/$H$3,1)</f>
        <v>7</v>
      </c>
      <c r="E1314" s="28">
        <f>CEILING(C1314/$H$3,1)*CEILING($H$2/$H$3,1)/CEILING(C1314/$H$3,1)</f>
        <v>1</v>
      </c>
      <c r="F1314" s="28">
        <f>$B$5/D1314/B1314*E1314</f>
        <v>1.5602142857142858</v>
      </c>
    </row>
    <row r="1315" spans="1:6" x14ac:dyDescent="0.4">
      <c r="A1315" s="28">
        <f t="shared" si="41"/>
        <v>1599</v>
      </c>
      <c r="B1315" s="28">
        <f t="shared" si="40"/>
        <v>0.12353304508956146</v>
      </c>
      <c r="C1315" s="28">
        <f>A1315+$E$6</f>
        <v>1621</v>
      </c>
      <c r="D1315" s="28">
        <f>CEILING(C1315/$H$3,1)*CEILING($H$2/$H$3,1)/CEILING($H$2/$H$3,1)</f>
        <v>7</v>
      </c>
      <c r="E1315" s="28">
        <f>CEILING(C1315/$H$3,1)*CEILING($H$2/$H$3,1)/CEILING(C1315/$H$3,1)</f>
        <v>1</v>
      </c>
      <c r="F1315" s="28">
        <f>$B$5/D1315/B1315*E1315</f>
        <v>1.5611785714285715</v>
      </c>
    </row>
    <row r="1316" spans="1:6" x14ac:dyDescent="0.4">
      <c r="A1316" s="28">
        <f t="shared" si="41"/>
        <v>1600</v>
      </c>
      <c r="B1316" s="28">
        <f t="shared" si="40"/>
        <v>0.12345679012345678</v>
      </c>
      <c r="C1316" s="28">
        <f>A1316+$E$6</f>
        <v>1622</v>
      </c>
      <c r="D1316" s="28">
        <f>CEILING(C1316/$H$3,1)*CEILING($H$2/$H$3,1)/CEILING($H$2/$H$3,1)</f>
        <v>7</v>
      </c>
      <c r="E1316" s="28">
        <f>CEILING(C1316/$H$3,1)*CEILING($H$2/$H$3,1)/CEILING(C1316/$H$3,1)</f>
        <v>1</v>
      </c>
      <c r="F1316" s="28">
        <f>$B$5/D1316/B1316*E1316</f>
        <v>1.5621428571428573</v>
      </c>
    </row>
    <row r="1317" spans="1:6" x14ac:dyDescent="0.4">
      <c r="A1317" s="28">
        <f t="shared" si="41"/>
        <v>1601</v>
      </c>
      <c r="B1317" s="28">
        <f t="shared" si="40"/>
        <v>0.12338062924120913</v>
      </c>
      <c r="C1317" s="28">
        <f>A1317+$E$6</f>
        <v>1623</v>
      </c>
      <c r="D1317" s="28">
        <f>CEILING(C1317/$H$3,1)*CEILING($H$2/$H$3,1)/CEILING($H$2/$H$3,1)</f>
        <v>7</v>
      </c>
      <c r="E1317" s="28">
        <f>CEILING(C1317/$H$3,1)*CEILING($H$2/$H$3,1)/CEILING(C1317/$H$3,1)</f>
        <v>1</v>
      </c>
      <c r="F1317" s="28">
        <f>$B$5/D1317/B1317*E1317</f>
        <v>1.563107142857143</v>
      </c>
    </row>
    <row r="1318" spans="1:6" x14ac:dyDescent="0.4">
      <c r="A1318" s="28">
        <f t="shared" si="41"/>
        <v>1602</v>
      </c>
      <c r="B1318" s="28">
        <f t="shared" si="40"/>
        <v>0.12330456226880394</v>
      </c>
      <c r="C1318" s="28">
        <f>A1318+$E$6</f>
        <v>1624</v>
      </c>
      <c r="D1318" s="28">
        <f>CEILING(C1318/$H$3,1)*CEILING($H$2/$H$3,1)/CEILING($H$2/$H$3,1)</f>
        <v>7</v>
      </c>
      <c r="E1318" s="28">
        <f>CEILING(C1318/$H$3,1)*CEILING($H$2/$H$3,1)/CEILING(C1318/$H$3,1)</f>
        <v>1</v>
      </c>
      <c r="F1318" s="28">
        <f>$B$5/D1318/B1318*E1318</f>
        <v>1.5640714285714286</v>
      </c>
    </row>
    <row r="1319" spans="1:6" x14ac:dyDescent="0.4">
      <c r="A1319" s="28">
        <f t="shared" si="41"/>
        <v>1603</v>
      </c>
      <c r="B1319" s="28">
        <f t="shared" si="40"/>
        <v>0.12322858903265557</v>
      </c>
      <c r="C1319" s="28">
        <f>A1319+$E$6</f>
        <v>1625</v>
      </c>
      <c r="D1319" s="28">
        <f>CEILING(C1319/$H$3,1)*CEILING($H$2/$H$3,1)/CEILING($H$2/$H$3,1)</f>
        <v>7</v>
      </c>
      <c r="E1319" s="28">
        <f>CEILING(C1319/$H$3,1)*CEILING($H$2/$H$3,1)/CEILING(C1319/$H$3,1)</f>
        <v>1</v>
      </c>
      <c r="F1319" s="28">
        <f>$B$5/D1319/B1319*E1319</f>
        <v>1.5650357142857143</v>
      </c>
    </row>
    <row r="1320" spans="1:6" x14ac:dyDescent="0.4">
      <c r="A1320" s="28">
        <f t="shared" si="41"/>
        <v>1604</v>
      </c>
      <c r="B1320" s="28">
        <f t="shared" si="40"/>
        <v>0.12315270935960591</v>
      </c>
      <c r="C1320" s="28">
        <f>A1320+$E$6</f>
        <v>1626</v>
      </c>
      <c r="D1320" s="28">
        <f>CEILING(C1320/$H$3,1)*CEILING($H$2/$H$3,1)/CEILING($H$2/$H$3,1)</f>
        <v>7</v>
      </c>
      <c r="E1320" s="28">
        <f>CEILING(C1320/$H$3,1)*CEILING($H$2/$H$3,1)/CEILING(C1320/$H$3,1)</f>
        <v>1</v>
      </c>
      <c r="F1320" s="28">
        <f>$B$5/D1320/B1320*E1320</f>
        <v>1.5660000000000001</v>
      </c>
    </row>
    <row r="1321" spans="1:6" x14ac:dyDescent="0.4">
      <c r="A1321" s="28">
        <f t="shared" si="41"/>
        <v>1605</v>
      </c>
      <c r="B1321" s="28">
        <f t="shared" si="40"/>
        <v>0.12307692307692308</v>
      </c>
      <c r="C1321" s="28">
        <f>A1321+$E$6</f>
        <v>1627</v>
      </c>
      <c r="D1321" s="28">
        <f>CEILING(C1321/$H$3,1)*CEILING($H$2/$H$3,1)/CEILING($H$2/$H$3,1)</f>
        <v>7</v>
      </c>
      <c r="E1321" s="28">
        <f>CEILING(C1321/$H$3,1)*CEILING($H$2/$H$3,1)/CEILING(C1321/$H$3,1)</f>
        <v>1</v>
      </c>
      <c r="F1321" s="28">
        <f>$B$5/D1321/B1321*E1321</f>
        <v>1.5669642857142856</v>
      </c>
    </row>
    <row r="1322" spans="1:6" x14ac:dyDescent="0.4">
      <c r="A1322" s="28">
        <f t="shared" si="41"/>
        <v>1606</v>
      </c>
      <c r="B1322" s="28">
        <f t="shared" si="40"/>
        <v>0.12300123001230012</v>
      </c>
      <c r="C1322" s="28">
        <f>A1322+$E$6</f>
        <v>1628</v>
      </c>
      <c r="D1322" s="28">
        <f>CEILING(C1322/$H$3,1)*CEILING($H$2/$H$3,1)/CEILING($H$2/$H$3,1)</f>
        <v>7</v>
      </c>
      <c r="E1322" s="28">
        <f>CEILING(C1322/$H$3,1)*CEILING($H$2/$H$3,1)/CEILING(C1322/$H$3,1)</f>
        <v>1</v>
      </c>
      <c r="F1322" s="28">
        <f>$B$5/D1322/B1322*E1322</f>
        <v>1.5679285714285716</v>
      </c>
    </row>
    <row r="1323" spans="1:6" x14ac:dyDescent="0.4">
      <c r="A1323" s="28">
        <f t="shared" si="41"/>
        <v>1607</v>
      </c>
      <c r="B1323" s="28">
        <f t="shared" si="40"/>
        <v>0.12292562999385372</v>
      </c>
      <c r="C1323" s="28">
        <f>A1323+$E$6</f>
        <v>1629</v>
      </c>
      <c r="D1323" s="28">
        <f>CEILING(C1323/$H$3,1)*CEILING($H$2/$H$3,1)/CEILING($H$2/$H$3,1)</f>
        <v>7</v>
      </c>
      <c r="E1323" s="28">
        <f>CEILING(C1323/$H$3,1)*CEILING($H$2/$H$3,1)/CEILING(C1323/$H$3,1)</f>
        <v>1</v>
      </c>
      <c r="F1323" s="28">
        <f>$B$5/D1323/B1323*E1323</f>
        <v>1.5688928571428573</v>
      </c>
    </row>
    <row r="1324" spans="1:6" x14ac:dyDescent="0.4">
      <c r="A1324" s="28">
        <f t="shared" si="41"/>
        <v>1608</v>
      </c>
      <c r="B1324" s="28">
        <f t="shared" si="40"/>
        <v>0.12285012285012285</v>
      </c>
      <c r="C1324" s="28">
        <f>A1324+$E$6</f>
        <v>1630</v>
      </c>
      <c r="D1324" s="28">
        <f>CEILING(C1324/$H$3,1)*CEILING($H$2/$H$3,1)/CEILING($H$2/$H$3,1)</f>
        <v>7</v>
      </c>
      <c r="E1324" s="28">
        <f>CEILING(C1324/$H$3,1)*CEILING($H$2/$H$3,1)/CEILING(C1324/$H$3,1)</f>
        <v>1</v>
      </c>
      <c r="F1324" s="28">
        <f>$B$5/D1324/B1324*E1324</f>
        <v>1.5698571428571428</v>
      </c>
    </row>
    <row r="1325" spans="1:6" x14ac:dyDescent="0.4">
      <c r="A1325" s="28">
        <f t="shared" si="41"/>
        <v>1609</v>
      </c>
      <c r="B1325" s="28">
        <f t="shared" si="40"/>
        <v>0.12277470841006753</v>
      </c>
      <c r="C1325" s="28">
        <f>A1325+$E$6</f>
        <v>1631</v>
      </c>
      <c r="D1325" s="28">
        <f>CEILING(C1325/$H$3,1)*CEILING($H$2/$H$3,1)/CEILING($H$2/$H$3,1)</f>
        <v>7</v>
      </c>
      <c r="E1325" s="28">
        <f>CEILING(C1325/$H$3,1)*CEILING($H$2/$H$3,1)/CEILING(C1325/$H$3,1)</f>
        <v>1</v>
      </c>
      <c r="F1325" s="28">
        <f>$B$5/D1325/B1325*E1325</f>
        <v>1.5708214285714286</v>
      </c>
    </row>
    <row r="1326" spans="1:6" x14ac:dyDescent="0.4">
      <c r="A1326" s="28">
        <f t="shared" si="41"/>
        <v>1610</v>
      </c>
      <c r="B1326" s="28">
        <f t="shared" si="40"/>
        <v>0.12269938650306748</v>
      </c>
      <c r="C1326" s="28">
        <f>A1326+$E$6</f>
        <v>1632</v>
      </c>
      <c r="D1326" s="28">
        <f>CEILING(C1326/$H$3,1)*CEILING($H$2/$H$3,1)/CEILING($H$2/$H$3,1)</f>
        <v>7</v>
      </c>
      <c r="E1326" s="28">
        <f>CEILING(C1326/$H$3,1)*CEILING($H$2/$H$3,1)/CEILING(C1326/$H$3,1)</f>
        <v>1</v>
      </c>
      <c r="F1326" s="28">
        <f>$B$5/D1326/B1326*E1326</f>
        <v>1.5717857142857143</v>
      </c>
    </row>
    <row r="1327" spans="1:6" x14ac:dyDescent="0.4">
      <c r="A1327" s="28">
        <f t="shared" si="41"/>
        <v>1611</v>
      </c>
      <c r="B1327" s="28">
        <f t="shared" si="40"/>
        <v>0.12262415695892091</v>
      </c>
      <c r="C1327" s="28">
        <f>A1327+$E$6</f>
        <v>1633</v>
      </c>
      <c r="D1327" s="28">
        <f>CEILING(C1327/$H$3,1)*CEILING($H$2/$H$3,1)/CEILING($H$2/$H$3,1)</f>
        <v>7</v>
      </c>
      <c r="E1327" s="28">
        <f>CEILING(C1327/$H$3,1)*CEILING($H$2/$H$3,1)/CEILING(C1327/$H$3,1)</f>
        <v>1</v>
      </c>
      <c r="F1327" s="28">
        <f>$B$5/D1327/B1327*E1327</f>
        <v>1.5727500000000001</v>
      </c>
    </row>
    <row r="1328" spans="1:6" x14ac:dyDescent="0.4">
      <c r="A1328" s="28">
        <f t="shared" si="41"/>
        <v>1612</v>
      </c>
      <c r="B1328" s="28">
        <f t="shared" si="40"/>
        <v>0.12254901960784313</v>
      </c>
      <c r="C1328" s="28">
        <f>A1328+$E$6</f>
        <v>1634</v>
      </c>
      <c r="D1328" s="28">
        <f>CEILING(C1328/$H$3,1)*CEILING($H$2/$H$3,1)/CEILING($H$2/$H$3,1)</f>
        <v>7</v>
      </c>
      <c r="E1328" s="28">
        <f>CEILING(C1328/$H$3,1)*CEILING($H$2/$H$3,1)/CEILING(C1328/$H$3,1)</f>
        <v>1</v>
      </c>
      <c r="F1328" s="28">
        <f>$B$5/D1328/B1328*E1328</f>
        <v>1.5737142857142858</v>
      </c>
    </row>
    <row r="1329" spans="1:6" x14ac:dyDescent="0.4">
      <c r="A1329" s="28">
        <f t="shared" si="41"/>
        <v>1613</v>
      </c>
      <c r="B1329" s="28">
        <f t="shared" si="40"/>
        <v>0.1224739742804654</v>
      </c>
      <c r="C1329" s="28">
        <f>A1329+$E$6</f>
        <v>1635</v>
      </c>
      <c r="D1329" s="28">
        <f>CEILING(C1329/$H$3,1)*CEILING($H$2/$H$3,1)/CEILING($H$2/$H$3,1)</f>
        <v>7</v>
      </c>
      <c r="E1329" s="28">
        <f>CEILING(C1329/$H$3,1)*CEILING($H$2/$H$3,1)/CEILING(C1329/$H$3,1)</f>
        <v>1</v>
      </c>
      <c r="F1329" s="28">
        <f>$B$5/D1329/B1329*E1329</f>
        <v>1.5746785714285716</v>
      </c>
    </row>
    <row r="1330" spans="1:6" x14ac:dyDescent="0.4">
      <c r="A1330" s="28">
        <f t="shared" si="41"/>
        <v>1614</v>
      </c>
      <c r="B1330" s="28">
        <f t="shared" si="40"/>
        <v>0.12239902080783353</v>
      </c>
      <c r="C1330" s="28">
        <f>A1330+$E$6</f>
        <v>1636</v>
      </c>
      <c r="D1330" s="28">
        <f>CEILING(C1330/$H$3,1)*CEILING($H$2/$H$3,1)/CEILING($H$2/$H$3,1)</f>
        <v>7</v>
      </c>
      <c r="E1330" s="28">
        <f>CEILING(C1330/$H$3,1)*CEILING($H$2/$H$3,1)/CEILING(C1330/$H$3,1)</f>
        <v>1</v>
      </c>
      <c r="F1330" s="28">
        <f>$B$5/D1330/B1330*E1330</f>
        <v>1.5756428571428573</v>
      </c>
    </row>
    <row r="1331" spans="1:6" x14ac:dyDescent="0.4">
      <c r="A1331" s="28">
        <f t="shared" si="41"/>
        <v>1615</v>
      </c>
      <c r="B1331" s="28">
        <f t="shared" si="40"/>
        <v>0.12232415902140673</v>
      </c>
      <c r="C1331" s="28">
        <f>A1331+$E$6</f>
        <v>1637</v>
      </c>
      <c r="D1331" s="28">
        <f>CEILING(C1331/$H$3,1)*CEILING($H$2/$H$3,1)/CEILING($H$2/$H$3,1)</f>
        <v>7</v>
      </c>
      <c r="E1331" s="28">
        <f>CEILING(C1331/$H$3,1)*CEILING($H$2/$H$3,1)/CEILING(C1331/$H$3,1)</f>
        <v>1</v>
      </c>
      <c r="F1331" s="28">
        <f>$B$5/D1331/B1331*E1331</f>
        <v>1.5766071428571429</v>
      </c>
    </row>
    <row r="1332" spans="1:6" x14ac:dyDescent="0.4">
      <c r="A1332" s="28">
        <f t="shared" si="41"/>
        <v>1616</v>
      </c>
      <c r="B1332" s="28">
        <f t="shared" si="40"/>
        <v>0.12224938875305623</v>
      </c>
      <c r="C1332" s="28">
        <f>A1332+$E$6</f>
        <v>1638</v>
      </c>
      <c r="D1332" s="28">
        <f>CEILING(C1332/$H$3,1)*CEILING($H$2/$H$3,1)/CEILING($H$2/$H$3,1)</f>
        <v>7</v>
      </c>
      <c r="E1332" s="28">
        <f>CEILING(C1332/$H$3,1)*CEILING($H$2/$H$3,1)/CEILING(C1332/$H$3,1)</f>
        <v>1</v>
      </c>
      <c r="F1332" s="28">
        <f>$B$5/D1332/B1332*E1332</f>
        <v>1.5775714285714286</v>
      </c>
    </row>
    <row r="1333" spans="1:6" x14ac:dyDescent="0.4">
      <c r="A1333" s="28">
        <f t="shared" si="41"/>
        <v>1617</v>
      </c>
      <c r="B1333" s="28">
        <f t="shared" si="40"/>
        <v>0.12217470983506414</v>
      </c>
      <c r="C1333" s="28">
        <f>A1333+$E$6</f>
        <v>1639</v>
      </c>
      <c r="D1333" s="28">
        <f>CEILING(C1333/$H$3,1)*CEILING($H$2/$H$3,1)/CEILING($H$2/$H$3,1)</f>
        <v>7</v>
      </c>
      <c r="E1333" s="28">
        <f>CEILING(C1333/$H$3,1)*CEILING($H$2/$H$3,1)/CEILING(C1333/$H$3,1)</f>
        <v>1</v>
      </c>
      <c r="F1333" s="28">
        <f>$B$5/D1333/B1333*E1333</f>
        <v>1.5785357142857144</v>
      </c>
    </row>
    <row r="1334" spans="1:6" x14ac:dyDescent="0.4">
      <c r="A1334" s="28">
        <f t="shared" si="41"/>
        <v>1618</v>
      </c>
      <c r="B1334" s="28">
        <f t="shared" si="40"/>
        <v>0.1221001221001221</v>
      </c>
      <c r="C1334" s="28">
        <f>A1334+$E$6</f>
        <v>1640</v>
      </c>
      <c r="D1334" s="28">
        <f>CEILING(C1334/$H$3,1)*CEILING($H$2/$H$3,1)/CEILING($H$2/$H$3,1)</f>
        <v>7</v>
      </c>
      <c r="E1334" s="28">
        <f>CEILING(C1334/$H$3,1)*CEILING($H$2/$H$3,1)/CEILING(C1334/$H$3,1)</f>
        <v>1</v>
      </c>
      <c r="F1334" s="28">
        <f>$B$5/D1334/B1334*E1334</f>
        <v>1.5795000000000001</v>
      </c>
    </row>
    <row r="1335" spans="1:6" x14ac:dyDescent="0.4">
      <c r="A1335" s="28">
        <f t="shared" si="41"/>
        <v>1619</v>
      </c>
      <c r="B1335" s="28">
        <f t="shared" si="40"/>
        <v>0.12202562538133008</v>
      </c>
      <c r="C1335" s="28">
        <f>A1335+$E$6</f>
        <v>1641</v>
      </c>
      <c r="D1335" s="28">
        <f>CEILING(C1335/$H$3,1)*CEILING($H$2/$H$3,1)/CEILING($H$2/$H$3,1)</f>
        <v>7</v>
      </c>
      <c r="E1335" s="28">
        <f>CEILING(C1335/$H$3,1)*CEILING($H$2/$H$3,1)/CEILING(C1335/$H$3,1)</f>
        <v>1</v>
      </c>
      <c r="F1335" s="28">
        <f>$B$5/D1335/B1335*E1335</f>
        <v>1.5804642857142859</v>
      </c>
    </row>
    <row r="1336" spans="1:6" x14ac:dyDescent="0.4">
      <c r="A1336" s="28">
        <f t="shared" si="41"/>
        <v>1620</v>
      </c>
      <c r="B1336" s="28">
        <f t="shared" si="40"/>
        <v>0.12195121951219512</v>
      </c>
      <c r="C1336" s="28">
        <f>A1336+$E$6</f>
        <v>1642</v>
      </c>
      <c r="D1336" s="28">
        <f>CEILING(C1336/$H$3,1)*CEILING($H$2/$H$3,1)/CEILING($H$2/$H$3,1)</f>
        <v>7</v>
      </c>
      <c r="E1336" s="28">
        <f>CEILING(C1336/$H$3,1)*CEILING($H$2/$H$3,1)/CEILING(C1336/$H$3,1)</f>
        <v>1</v>
      </c>
      <c r="F1336" s="28">
        <f>$B$5/D1336/B1336*E1336</f>
        <v>1.5814285714285716</v>
      </c>
    </row>
    <row r="1337" spans="1:6" x14ac:dyDescent="0.4">
      <c r="A1337" s="28">
        <f t="shared" si="41"/>
        <v>1621</v>
      </c>
      <c r="B1337" s="28">
        <f t="shared" si="40"/>
        <v>0.12187690432663011</v>
      </c>
      <c r="C1337" s="28">
        <f>A1337+$E$6</f>
        <v>1643</v>
      </c>
      <c r="D1337" s="28">
        <f>CEILING(C1337/$H$3,1)*CEILING($H$2/$H$3,1)/CEILING($H$2/$H$3,1)</f>
        <v>7</v>
      </c>
      <c r="E1337" s="28">
        <f>CEILING(C1337/$H$3,1)*CEILING($H$2/$H$3,1)/CEILING(C1337/$H$3,1)</f>
        <v>1</v>
      </c>
      <c r="F1337" s="28">
        <f>$B$5/D1337/B1337*E1337</f>
        <v>1.5823928571428572</v>
      </c>
    </row>
    <row r="1338" spans="1:6" x14ac:dyDescent="0.4">
      <c r="A1338" s="28">
        <f t="shared" si="41"/>
        <v>1622</v>
      </c>
      <c r="B1338" s="28">
        <f t="shared" si="40"/>
        <v>0.1218026796589525</v>
      </c>
      <c r="C1338" s="28">
        <f>A1338+$E$6</f>
        <v>1644</v>
      </c>
      <c r="D1338" s="28">
        <f>CEILING(C1338/$H$3,1)*CEILING($H$2/$H$3,1)/CEILING($H$2/$H$3,1)</f>
        <v>7</v>
      </c>
      <c r="E1338" s="28">
        <f>CEILING(C1338/$H$3,1)*CEILING($H$2/$H$3,1)/CEILING(C1338/$H$3,1)</f>
        <v>1</v>
      </c>
      <c r="F1338" s="28">
        <f>$B$5/D1338/B1338*E1338</f>
        <v>1.5833571428571429</v>
      </c>
    </row>
    <row r="1339" spans="1:6" x14ac:dyDescent="0.4">
      <c r="A1339" s="28">
        <f t="shared" si="41"/>
        <v>1623</v>
      </c>
      <c r="B1339" s="28">
        <f t="shared" si="40"/>
        <v>0.12172854534388314</v>
      </c>
      <c r="C1339" s="28">
        <f>A1339+$E$6</f>
        <v>1645</v>
      </c>
      <c r="D1339" s="28">
        <f>CEILING(C1339/$H$3,1)*CEILING($H$2/$H$3,1)/CEILING($H$2/$H$3,1)</f>
        <v>7</v>
      </c>
      <c r="E1339" s="28">
        <f>CEILING(C1339/$H$3,1)*CEILING($H$2/$H$3,1)/CEILING(C1339/$H$3,1)</f>
        <v>1</v>
      </c>
      <c r="F1339" s="28">
        <f>$B$5/D1339/B1339*E1339</f>
        <v>1.5843214285714287</v>
      </c>
    </row>
    <row r="1340" spans="1:6" x14ac:dyDescent="0.4">
      <c r="A1340" s="28">
        <f t="shared" si="41"/>
        <v>1624</v>
      </c>
      <c r="B1340" s="28">
        <f t="shared" si="40"/>
        <v>0.12165450121654502</v>
      </c>
      <c r="C1340" s="28">
        <f>A1340+$E$6</f>
        <v>1646</v>
      </c>
      <c r="D1340" s="28">
        <f>CEILING(C1340/$H$3,1)*CEILING($H$2/$H$3,1)/CEILING($H$2/$H$3,1)</f>
        <v>7</v>
      </c>
      <c r="E1340" s="28">
        <f>CEILING(C1340/$H$3,1)*CEILING($H$2/$H$3,1)/CEILING(C1340/$H$3,1)</f>
        <v>1</v>
      </c>
      <c r="F1340" s="28">
        <f>$B$5/D1340/B1340*E1340</f>
        <v>1.5852857142857144</v>
      </c>
    </row>
    <row r="1341" spans="1:6" x14ac:dyDescent="0.4">
      <c r="A1341" s="28">
        <f t="shared" si="41"/>
        <v>1625</v>
      </c>
      <c r="B1341" s="28">
        <f t="shared" si="40"/>
        <v>0.12158054711246201</v>
      </c>
      <c r="C1341" s="28">
        <f>A1341+$E$6</f>
        <v>1647</v>
      </c>
      <c r="D1341" s="28">
        <f>CEILING(C1341/$H$3,1)*CEILING($H$2/$H$3,1)/CEILING($H$2/$H$3,1)</f>
        <v>7</v>
      </c>
      <c r="E1341" s="28">
        <f>CEILING(C1341/$H$3,1)*CEILING($H$2/$H$3,1)/CEILING(C1341/$H$3,1)</f>
        <v>1</v>
      </c>
      <c r="F1341" s="28">
        <f>$B$5/D1341/B1341*E1341</f>
        <v>1.5862499999999999</v>
      </c>
    </row>
    <row r="1342" spans="1:6" x14ac:dyDescent="0.4">
      <c r="A1342" s="28">
        <f t="shared" si="41"/>
        <v>1626</v>
      </c>
      <c r="B1342" s="28">
        <f t="shared" si="40"/>
        <v>0.12150668286755771</v>
      </c>
      <c r="C1342" s="28">
        <f>A1342+$E$6</f>
        <v>1648</v>
      </c>
      <c r="D1342" s="28">
        <f>CEILING(C1342/$H$3,1)*CEILING($H$2/$H$3,1)/CEILING($H$2/$H$3,1)</f>
        <v>7</v>
      </c>
      <c r="E1342" s="28">
        <f>CEILING(C1342/$H$3,1)*CEILING($H$2/$H$3,1)/CEILING(C1342/$H$3,1)</f>
        <v>1</v>
      </c>
      <c r="F1342" s="28">
        <f>$B$5/D1342/B1342*E1342</f>
        <v>1.5872142857142859</v>
      </c>
    </row>
    <row r="1343" spans="1:6" x14ac:dyDescent="0.4">
      <c r="A1343" s="28">
        <f t="shared" si="41"/>
        <v>1627</v>
      </c>
      <c r="B1343" s="28">
        <f t="shared" si="40"/>
        <v>0.12143290831815422</v>
      </c>
      <c r="C1343" s="28">
        <f>A1343+$E$6</f>
        <v>1649</v>
      </c>
      <c r="D1343" s="28">
        <f>CEILING(C1343/$H$3,1)*CEILING($H$2/$H$3,1)/CEILING($H$2/$H$3,1)</f>
        <v>7</v>
      </c>
      <c r="E1343" s="28">
        <f>CEILING(C1343/$H$3,1)*CEILING($H$2/$H$3,1)/CEILING(C1343/$H$3,1)</f>
        <v>1</v>
      </c>
      <c r="F1343" s="28">
        <f>$B$5/D1343/B1343*E1343</f>
        <v>1.5881785714285714</v>
      </c>
    </row>
    <row r="1344" spans="1:6" x14ac:dyDescent="0.4">
      <c r="A1344" s="28">
        <f t="shared" si="41"/>
        <v>1628</v>
      </c>
      <c r="B1344" s="28">
        <f t="shared" si="40"/>
        <v>0.12135922330097088</v>
      </c>
      <c r="C1344" s="28">
        <f>A1344+$E$6</f>
        <v>1650</v>
      </c>
      <c r="D1344" s="28">
        <f>CEILING(C1344/$H$3,1)*CEILING($H$2/$H$3,1)/CEILING($H$2/$H$3,1)</f>
        <v>7</v>
      </c>
      <c r="E1344" s="28">
        <f>CEILING(C1344/$H$3,1)*CEILING($H$2/$H$3,1)/CEILING(C1344/$H$3,1)</f>
        <v>1</v>
      </c>
      <c r="F1344" s="28">
        <f>$B$5/D1344/B1344*E1344</f>
        <v>1.5891428571428572</v>
      </c>
    </row>
    <row r="1345" spans="1:6" x14ac:dyDescent="0.4">
      <c r="A1345" s="28">
        <f t="shared" si="41"/>
        <v>1629</v>
      </c>
      <c r="B1345" s="28">
        <f t="shared" si="40"/>
        <v>0.1212856276531231</v>
      </c>
      <c r="C1345" s="28">
        <f>A1345+$E$6</f>
        <v>1651</v>
      </c>
      <c r="D1345" s="28">
        <f>CEILING(C1345/$H$3,1)*CEILING($H$2/$H$3,1)/CEILING($H$2/$H$3,1)</f>
        <v>7</v>
      </c>
      <c r="E1345" s="28">
        <f>CEILING(C1345/$H$3,1)*CEILING($H$2/$H$3,1)/CEILING(C1345/$H$3,1)</f>
        <v>1</v>
      </c>
      <c r="F1345" s="28">
        <f>$B$5/D1345/B1345*E1345</f>
        <v>1.5901071428571429</v>
      </c>
    </row>
    <row r="1346" spans="1:6" x14ac:dyDescent="0.4">
      <c r="A1346" s="28">
        <f t="shared" si="41"/>
        <v>1630</v>
      </c>
      <c r="B1346" s="28">
        <f t="shared" si="40"/>
        <v>0.12121212121212122</v>
      </c>
      <c r="C1346" s="28">
        <f>A1346+$E$6</f>
        <v>1652</v>
      </c>
      <c r="D1346" s="28">
        <f>CEILING(C1346/$H$3,1)*CEILING($H$2/$H$3,1)/CEILING($H$2/$H$3,1)</f>
        <v>7</v>
      </c>
      <c r="E1346" s="28">
        <f>CEILING(C1346/$H$3,1)*CEILING($H$2/$H$3,1)/CEILING(C1346/$H$3,1)</f>
        <v>1</v>
      </c>
      <c r="F1346" s="28">
        <f>$B$5/D1346/B1346*E1346</f>
        <v>1.5910714285714287</v>
      </c>
    </row>
    <row r="1347" spans="1:6" x14ac:dyDescent="0.4">
      <c r="A1347" s="28">
        <f t="shared" si="41"/>
        <v>1631</v>
      </c>
      <c r="B1347" s="28">
        <f t="shared" si="40"/>
        <v>0.12113870381586916</v>
      </c>
      <c r="C1347" s="28">
        <f>A1347+$E$6</f>
        <v>1653</v>
      </c>
      <c r="D1347" s="28">
        <f>CEILING(C1347/$H$3,1)*CEILING($H$2/$H$3,1)/CEILING($H$2/$H$3,1)</f>
        <v>7</v>
      </c>
      <c r="E1347" s="28">
        <f>CEILING(C1347/$H$3,1)*CEILING($H$2/$H$3,1)/CEILING(C1347/$H$3,1)</f>
        <v>1</v>
      </c>
      <c r="F1347" s="28">
        <f>$B$5/D1347/B1347*E1347</f>
        <v>1.5920357142857144</v>
      </c>
    </row>
    <row r="1348" spans="1:6" x14ac:dyDescent="0.4">
      <c r="A1348" s="28">
        <f t="shared" si="41"/>
        <v>1632</v>
      </c>
      <c r="B1348" s="28">
        <f t="shared" si="40"/>
        <v>0.12106537530266344</v>
      </c>
      <c r="C1348" s="28">
        <f>A1348+$E$6</f>
        <v>1654</v>
      </c>
      <c r="D1348" s="28">
        <f>CEILING(C1348/$H$3,1)*CEILING($H$2/$H$3,1)/CEILING($H$2/$H$3,1)</f>
        <v>7</v>
      </c>
      <c r="E1348" s="28">
        <f>CEILING(C1348/$H$3,1)*CEILING($H$2/$H$3,1)/CEILING(C1348/$H$3,1)</f>
        <v>1</v>
      </c>
      <c r="F1348" s="28">
        <f>$B$5/D1348/B1348*E1348</f>
        <v>1.593</v>
      </c>
    </row>
    <row r="1349" spans="1:6" x14ac:dyDescent="0.4">
      <c r="A1349" s="28">
        <f t="shared" si="41"/>
        <v>1633</v>
      </c>
      <c r="B1349" s="28">
        <f t="shared" si="40"/>
        <v>0.12099213551119177</v>
      </c>
      <c r="C1349" s="28">
        <f>A1349+$E$6</f>
        <v>1655</v>
      </c>
      <c r="D1349" s="28">
        <f>CEILING(C1349/$H$3,1)*CEILING($H$2/$H$3,1)/CEILING($H$2/$H$3,1)</f>
        <v>7</v>
      </c>
      <c r="E1349" s="28">
        <f>CEILING(C1349/$H$3,1)*CEILING($H$2/$H$3,1)/CEILING(C1349/$H$3,1)</f>
        <v>1</v>
      </c>
      <c r="F1349" s="28">
        <f>$B$5/D1349/B1349*E1349</f>
        <v>1.5939642857142857</v>
      </c>
    </row>
    <row r="1350" spans="1:6" x14ac:dyDescent="0.4">
      <c r="A1350" s="28">
        <f t="shared" si="41"/>
        <v>1634</v>
      </c>
      <c r="B1350" s="28">
        <f t="shared" si="40"/>
        <v>0.12091898428053205</v>
      </c>
      <c r="C1350" s="28">
        <f>A1350+$E$6</f>
        <v>1656</v>
      </c>
      <c r="D1350" s="28">
        <f>CEILING(C1350/$H$3,1)*CEILING($H$2/$H$3,1)/CEILING($H$2/$H$3,1)</f>
        <v>7</v>
      </c>
      <c r="E1350" s="28">
        <f>CEILING(C1350/$H$3,1)*CEILING($H$2/$H$3,1)/CEILING(C1350/$H$3,1)</f>
        <v>1</v>
      </c>
      <c r="F1350" s="28">
        <f>$B$5/D1350/B1350*E1350</f>
        <v>1.5949285714285715</v>
      </c>
    </row>
    <row r="1351" spans="1:6" x14ac:dyDescent="0.4">
      <c r="A1351" s="28">
        <f t="shared" si="41"/>
        <v>1635</v>
      </c>
      <c r="B1351" s="28">
        <f t="shared" si="40"/>
        <v>0.12084592145015106</v>
      </c>
      <c r="C1351" s="28">
        <f>A1351+$E$6</f>
        <v>1657</v>
      </c>
      <c r="D1351" s="28">
        <f>CEILING(C1351/$H$3,1)*CEILING($H$2/$H$3,1)/CEILING($H$2/$H$3,1)</f>
        <v>7</v>
      </c>
      <c r="E1351" s="28">
        <f>CEILING(C1351/$H$3,1)*CEILING($H$2/$H$3,1)/CEILING(C1351/$H$3,1)</f>
        <v>1</v>
      </c>
      <c r="F1351" s="28">
        <f>$B$5/D1351/B1351*E1351</f>
        <v>1.5958928571428572</v>
      </c>
    </row>
    <row r="1352" spans="1:6" x14ac:dyDescent="0.4">
      <c r="A1352" s="28">
        <f t="shared" si="41"/>
        <v>1636</v>
      </c>
      <c r="B1352" s="28">
        <f t="shared" si="40"/>
        <v>0.12077294685990338</v>
      </c>
      <c r="C1352" s="28">
        <f>A1352+$E$6</f>
        <v>1658</v>
      </c>
      <c r="D1352" s="28">
        <f>CEILING(C1352/$H$3,1)*CEILING($H$2/$H$3,1)/CEILING($H$2/$H$3,1)</f>
        <v>7</v>
      </c>
      <c r="E1352" s="28">
        <f>CEILING(C1352/$H$3,1)*CEILING($H$2/$H$3,1)/CEILING(C1352/$H$3,1)</f>
        <v>1</v>
      </c>
      <c r="F1352" s="28">
        <f>$B$5/D1352/B1352*E1352</f>
        <v>1.596857142857143</v>
      </c>
    </row>
    <row r="1353" spans="1:6" x14ac:dyDescent="0.4">
      <c r="A1353" s="28">
        <f t="shared" si="41"/>
        <v>1637</v>
      </c>
      <c r="B1353" s="28">
        <f t="shared" si="40"/>
        <v>0.12070006035003017</v>
      </c>
      <c r="C1353" s="28">
        <f>A1353+$E$6</f>
        <v>1659</v>
      </c>
      <c r="D1353" s="28">
        <f>CEILING(C1353/$H$3,1)*CEILING($H$2/$H$3,1)/CEILING($H$2/$H$3,1)</f>
        <v>7</v>
      </c>
      <c r="E1353" s="28">
        <f>CEILING(C1353/$H$3,1)*CEILING($H$2/$H$3,1)/CEILING(C1353/$H$3,1)</f>
        <v>1</v>
      </c>
      <c r="F1353" s="28">
        <f>$B$5/D1353/B1353*E1353</f>
        <v>1.5978214285714287</v>
      </c>
    </row>
    <row r="1354" spans="1:6" x14ac:dyDescent="0.4">
      <c r="A1354" s="28">
        <f t="shared" si="41"/>
        <v>1638</v>
      </c>
      <c r="B1354" s="28">
        <f t="shared" si="40"/>
        <v>0.12062726176115803</v>
      </c>
      <c r="C1354" s="28">
        <f>A1354+$E$6</f>
        <v>1660</v>
      </c>
      <c r="D1354" s="28">
        <f>CEILING(C1354/$H$3,1)*CEILING($H$2/$H$3,1)/CEILING($H$2/$H$3,1)</f>
        <v>7</v>
      </c>
      <c r="E1354" s="28">
        <f>CEILING(C1354/$H$3,1)*CEILING($H$2/$H$3,1)/CEILING(C1354/$H$3,1)</f>
        <v>1</v>
      </c>
      <c r="F1354" s="28">
        <f>$B$5/D1354/B1354*E1354</f>
        <v>1.5987857142857143</v>
      </c>
    </row>
    <row r="1355" spans="1:6" x14ac:dyDescent="0.4">
      <c r="A1355" s="28">
        <f t="shared" si="41"/>
        <v>1639</v>
      </c>
      <c r="B1355" s="28">
        <f t="shared" ref="B1355:B1418" si="42">$B$4/8/(A1355+$B$2)</f>
        <v>0.12055455093429777</v>
      </c>
      <c r="C1355" s="28">
        <f>A1355+$E$6</f>
        <v>1661</v>
      </c>
      <c r="D1355" s="28">
        <f>CEILING(C1355/$H$3,1)*CEILING($H$2/$H$3,1)/CEILING($H$2/$H$3,1)</f>
        <v>7</v>
      </c>
      <c r="E1355" s="28">
        <f>CEILING(C1355/$H$3,1)*CEILING($H$2/$H$3,1)/CEILING(C1355/$H$3,1)</f>
        <v>1</v>
      </c>
      <c r="F1355" s="28">
        <f>$B$5/D1355/B1355*E1355</f>
        <v>1.59975</v>
      </c>
    </row>
    <row r="1356" spans="1:6" x14ac:dyDescent="0.4">
      <c r="A1356" s="28">
        <f t="shared" si="41"/>
        <v>1640</v>
      </c>
      <c r="B1356" s="28">
        <f t="shared" si="42"/>
        <v>0.12048192771084337</v>
      </c>
      <c r="C1356" s="28">
        <f>A1356+$E$6</f>
        <v>1662</v>
      </c>
      <c r="D1356" s="28">
        <f>CEILING(C1356/$H$3,1)*CEILING($H$2/$H$3,1)/CEILING($H$2/$H$3,1)</f>
        <v>7</v>
      </c>
      <c r="E1356" s="28">
        <f>CEILING(C1356/$H$3,1)*CEILING($H$2/$H$3,1)/CEILING(C1356/$H$3,1)</f>
        <v>1</v>
      </c>
      <c r="F1356" s="28">
        <f>$B$5/D1356/B1356*E1356</f>
        <v>1.6007142857142858</v>
      </c>
    </row>
    <row r="1357" spans="1:6" x14ac:dyDescent="0.4">
      <c r="A1357" s="28">
        <f t="shared" ref="A1357:A1420" si="43">A1356+$B$3</f>
        <v>1641</v>
      </c>
      <c r="B1357" s="28">
        <f t="shared" si="42"/>
        <v>0.12040939193257075</v>
      </c>
      <c r="C1357" s="28">
        <f>A1357+$E$6</f>
        <v>1663</v>
      </c>
      <c r="D1357" s="28">
        <f>CEILING(C1357/$H$3,1)*CEILING($H$2/$H$3,1)/CEILING($H$2/$H$3,1)</f>
        <v>7</v>
      </c>
      <c r="E1357" s="28">
        <f>CEILING(C1357/$H$3,1)*CEILING($H$2/$H$3,1)/CEILING(C1357/$H$3,1)</f>
        <v>1</v>
      </c>
      <c r="F1357" s="28">
        <f>$B$5/D1357/B1357*E1357</f>
        <v>1.6016785714285715</v>
      </c>
    </row>
    <row r="1358" spans="1:6" x14ac:dyDescent="0.4">
      <c r="A1358" s="28">
        <f t="shared" si="43"/>
        <v>1642</v>
      </c>
      <c r="B1358" s="28">
        <f t="shared" si="42"/>
        <v>0.12033694344163658</v>
      </c>
      <c r="C1358" s="28">
        <f>A1358+$E$6</f>
        <v>1664</v>
      </c>
      <c r="D1358" s="28">
        <f>CEILING(C1358/$H$3,1)*CEILING($H$2/$H$3,1)/CEILING($H$2/$H$3,1)</f>
        <v>7</v>
      </c>
      <c r="E1358" s="28">
        <f>CEILING(C1358/$H$3,1)*CEILING($H$2/$H$3,1)/CEILING(C1358/$H$3,1)</f>
        <v>1</v>
      </c>
      <c r="F1358" s="28">
        <f>$B$5/D1358/B1358*E1358</f>
        <v>1.6026428571428573</v>
      </c>
    </row>
    <row r="1359" spans="1:6" x14ac:dyDescent="0.4">
      <c r="A1359" s="28">
        <f t="shared" si="43"/>
        <v>1643</v>
      </c>
      <c r="B1359" s="28">
        <f t="shared" si="42"/>
        <v>0.12026458208057728</v>
      </c>
      <c r="C1359" s="28">
        <f>A1359+$E$6</f>
        <v>1665</v>
      </c>
      <c r="D1359" s="28">
        <f>CEILING(C1359/$H$3,1)*CEILING($H$2/$H$3,1)/CEILING($H$2/$H$3,1)</f>
        <v>7</v>
      </c>
      <c r="E1359" s="28">
        <f>CEILING(C1359/$H$3,1)*CEILING($H$2/$H$3,1)/CEILING(C1359/$H$3,1)</f>
        <v>1</v>
      </c>
      <c r="F1359" s="28">
        <f>$B$5/D1359/B1359*E1359</f>
        <v>1.6036071428571428</v>
      </c>
    </row>
    <row r="1360" spans="1:6" x14ac:dyDescent="0.4">
      <c r="A1360" s="28">
        <f t="shared" si="43"/>
        <v>1644</v>
      </c>
      <c r="B1360" s="28">
        <f t="shared" si="42"/>
        <v>0.1201923076923077</v>
      </c>
      <c r="C1360" s="28">
        <f>A1360+$E$6</f>
        <v>1666</v>
      </c>
      <c r="D1360" s="28">
        <f>CEILING(C1360/$H$3,1)*CEILING($H$2/$H$3,1)/CEILING($H$2/$H$3,1)</f>
        <v>7</v>
      </c>
      <c r="E1360" s="28">
        <f>CEILING(C1360/$H$3,1)*CEILING($H$2/$H$3,1)/CEILING(C1360/$H$3,1)</f>
        <v>1</v>
      </c>
      <c r="F1360" s="28">
        <f>$B$5/D1360/B1360*E1360</f>
        <v>1.6045714285714285</v>
      </c>
    </row>
    <row r="1361" spans="1:6" x14ac:dyDescent="0.4">
      <c r="A1361" s="28">
        <f t="shared" si="43"/>
        <v>1645</v>
      </c>
      <c r="B1361" s="28">
        <f t="shared" si="42"/>
        <v>0.12012012012012012</v>
      </c>
      <c r="C1361" s="28">
        <f>A1361+$E$6</f>
        <v>1667</v>
      </c>
      <c r="D1361" s="28">
        <f>CEILING(C1361/$H$3,1)*CEILING($H$2/$H$3,1)/CEILING($H$2/$H$3,1)</f>
        <v>7</v>
      </c>
      <c r="E1361" s="28">
        <f>CEILING(C1361/$H$3,1)*CEILING($H$2/$H$3,1)/CEILING(C1361/$H$3,1)</f>
        <v>1</v>
      </c>
      <c r="F1361" s="28">
        <f>$B$5/D1361/B1361*E1361</f>
        <v>1.6055357142857143</v>
      </c>
    </row>
    <row r="1362" spans="1:6" x14ac:dyDescent="0.4">
      <c r="A1362" s="28">
        <f t="shared" si="43"/>
        <v>1646</v>
      </c>
      <c r="B1362" s="28">
        <f t="shared" si="42"/>
        <v>0.12004801920768307</v>
      </c>
      <c r="C1362" s="28">
        <f>A1362+$E$6</f>
        <v>1668</v>
      </c>
      <c r="D1362" s="28">
        <f>CEILING(C1362/$H$3,1)*CEILING($H$2/$H$3,1)/CEILING($H$2/$H$3,1)</f>
        <v>7</v>
      </c>
      <c r="E1362" s="28">
        <f>CEILING(C1362/$H$3,1)*CEILING($H$2/$H$3,1)/CEILING(C1362/$H$3,1)</f>
        <v>1</v>
      </c>
      <c r="F1362" s="28">
        <f>$B$5/D1362/B1362*E1362</f>
        <v>1.6065</v>
      </c>
    </row>
    <row r="1363" spans="1:6" x14ac:dyDescent="0.4">
      <c r="A1363" s="28">
        <f t="shared" si="43"/>
        <v>1647</v>
      </c>
      <c r="B1363" s="28">
        <f t="shared" si="42"/>
        <v>0.11997600479904019</v>
      </c>
      <c r="C1363" s="28">
        <f>A1363+$E$6</f>
        <v>1669</v>
      </c>
      <c r="D1363" s="28">
        <f>CEILING(C1363/$H$3,1)*CEILING($H$2/$H$3,1)/CEILING($H$2/$H$3,1)</f>
        <v>7</v>
      </c>
      <c r="E1363" s="28">
        <f>CEILING(C1363/$H$3,1)*CEILING($H$2/$H$3,1)/CEILING(C1363/$H$3,1)</f>
        <v>1</v>
      </c>
      <c r="F1363" s="28">
        <f>$B$5/D1363/B1363*E1363</f>
        <v>1.6074642857142858</v>
      </c>
    </row>
    <row r="1364" spans="1:6" x14ac:dyDescent="0.4">
      <c r="A1364" s="28">
        <f t="shared" si="43"/>
        <v>1648</v>
      </c>
      <c r="B1364" s="28">
        <f t="shared" si="42"/>
        <v>0.11990407673860912</v>
      </c>
      <c r="C1364" s="28">
        <f>A1364+$E$6</f>
        <v>1670</v>
      </c>
      <c r="D1364" s="28">
        <f>CEILING(C1364/$H$3,1)*CEILING($H$2/$H$3,1)/CEILING($H$2/$H$3,1)</f>
        <v>7</v>
      </c>
      <c r="E1364" s="28">
        <f>CEILING(C1364/$H$3,1)*CEILING($H$2/$H$3,1)/CEILING(C1364/$H$3,1)</f>
        <v>1</v>
      </c>
      <c r="F1364" s="28">
        <f>$B$5/D1364/B1364*E1364</f>
        <v>1.6084285714285715</v>
      </c>
    </row>
    <row r="1365" spans="1:6" x14ac:dyDescent="0.4">
      <c r="A1365" s="28">
        <f t="shared" si="43"/>
        <v>1649</v>
      </c>
      <c r="B1365" s="28">
        <f t="shared" si="42"/>
        <v>0.11983223487118035</v>
      </c>
      <c r="C1365" s="28">
        <f>A1365+$E$6</f>
        <v>1671</v>
      </c>
      <c r="D1365" s="28">
        <f>CEILING(C1365/$H$3,1)*CEILING($H$2/$H$3,1)/CEILING($H$2/$H$3,1)</f>
        <v>7</v>
      </c>
      <c r="E1365" s="28">
        <f>CEILING(C1365/$H$3,1)*CEILING($H$2/$H$3,1)/CEILING(C1365/$H$3,1)</f>
        <v>1</v>
      </c>
      <c r="F1365" s="28">
        <f>$B$5/D1365/B1365*E1365</f>
        <v>1.6093928571428573</v>
      </c>
    </row>
    <row r="1366" spans="1:6" x14ac:dyDescent="0.4">
      <c r="A1366" s="28">
        <f t="shared" si="43"/>
        <v>1650</v>
      </c>
      <c r="B1366" s="28">
        <f t="shared" si="42"/>
        <v>0.11976047904191617</v>
      </c>
      <c r="C1366" s="28">
        <f>A1366+$E$6</f>
        <v>1672</v>
      </c>
      <c r="D1366" s="28">
        <f>CEILING(C1366/$H$3,1)*CEILING($H$2/$H$3,1)/CEILING($H$2/$H$3,1)</f>
        <v>7</v>
      </c>
      <c r="E1366" s="28">
        <f>CEILING(C1366/$H$3,1)*CEILING($H$2/$H$3,1)/CEILING(C1366/$H$3,1)</f>
        <v>1</v>
      </c>
      <c r="F1366" s="28">
        <f>$B$5/D1366/B1366*E1366</f>
        <v>1.6103571428571428</v>
      </c>
    </row>
    <row r="1367" spans="1:6" x14ac:dyDescent="0.4">
      <c r="A1367" s="28">
        <f t="shared" si="43"/>
        <v>1651</v>
      </c>
      <c r="B1367" s="28">
        <f t="shared" si="42"/>
        <v>0.11968880909634949</v>
      </c>
      <c r="C1367" s="28">
        <f>A1367+$E$6</f>
        <v>1673</v>
      </c>
      <c r="D1367" s="28">
        <f>CEILING(C1367/$H$3,1)*CEILING($H$2/$H$3,1)/CEILING($H$2/$H$3,1)</f>
        <v>7</v>
      </c>
      <c r="E1367" s="28">
        <f>CEILING(C1367/$H$3,1)*CEILING($H$2/$H$3,1)/CEILING(C1367/$H$3,1)</f>
        <v>1</v>
      </c>
      <c r="F1367" s="28">
        <f>$B$5/D1367/B1367*E1367</f>
        <v>1.6113214285714286</v>
      </c>
    </row>
    <row r="1368" spans="1:6" x14ac:dyDescent="0.4">
      <c r="A1368" s="28">
        <f t="shared" si="43"/>
        <v>1652</v>
      </c>
      <c r="B1368" s="28">
        <f t="shared" si="42"/>
        <v>0.11961722488038277</v>
      </c>
      <c r="C1368" s="28">
        <f>A1368+$E$6</f>
        <v>1674</v>
      </c>
      <c r="D1368" s="28">
        <f>CEILING(C1368/$H$3,1)*CEILING($H$2/$H$3,1)/CEILING($H$2/$H$3,1)</f>
        <v>7</v>
      </c>
      <c r="E1368" s="28">
        <f>CEILING(C1368/$H$3,1)*CEILING($H$2/$H$3,1)/CEILING(C1368/$H$3,1)</f>
        <v>1</v>
      </c>
      <c r="F1368" s="28">
        <f>$B$5/D1368/B1368*E1368</f>
        <v>1.6122857142857143</v>
      </c>
    </row>
    <row r="1369" spans="1:6" x14ac:dyDescent="0.4">
      <c r="A1369" s="28">
        <f t="shared" si="43"/>
        <v>1653</v>
      </c>
      <c r="B1369" s="28">
        <f t="shared" si="42"/>
        <v>0.11954572624028691</v>
      </c>
      <c r="C1369" s="28">
        <f>A1369+$E$6</f>
        <v>1675</v>
      </c>
      <c r="D1369" s="28">
        <f>CEILING(C1369/$H$3,1)*CEILING($H$2/$H$3,1)/CEILING($H$2/$H$3,1)</f>
        <v>7</v>
      </c>
      <c r="E1369" s="28">
        <f>CEILING(C1369/$H$3,1)*CEILING($H$2/$H$3,1)/CEILING(C1369/$H$3,1)</f>
        <v>1</v>
      </c>
      <c r="F1369" s="28">
        <f>$B$5/D1369/B1369*E1369</f>
        <v>1.6132500000000001</v>
      </c>
    </row>
    <row r="1370" spans="1:6" x14ac:dyDescent="0.4">
      <c r="A1370" s="28">
        <f t="shared" si="43"/>
        <v>1654</v>
      </c>
      <c r="B1370" s="28">
        <f t="shared" si="42"/>
        <v>0.11947431302270012</v>
      </c>
      <c r="C1370" s="28">
        <f>A1370+$E$6</f>
        <v>1676</v>
      </c>
      <c r="D1370" s="28">
        <f>CEILING(C1370/$H$3,1)*CEILING($H$2/$H$3,1)/CEILING($H$2/$H$3,1)</f>
        <v>7</v>
      </c>
      <c r="E1370" s="28">
        <f>CEILING(C1370/$H$3,1)*CEILING($H$2/$H$3,1)/CEILING(C1370/$H$3,1)</f>
        <v>1</v>
      </c>
      <c r="F1370" s="28">
        <f>$B$5/D1370/B1370*E1370</f>
        <v>1.6142142857142858</v>
      </c>
    </row>
    <row r="1371" spans="1:6" x14ac:dyDescent="0.4">
      <c r="A1371" s="28">
        <f t="shared" si="43"/>
        <v>1655</v>
      </c>
      <c r="B1371" s="28">
        <f t="shared" si="42"/>
        <v>0.11940298507462686</v>
      </c>
      <c r="C1371" s="28">
        <f>A1371+$E$6</f>
        <v>1677</v>
      </c>
      <c r="D1371" s="28">
        <f>CEILING(C1371/$H$3,1)*CEILING($H$2/$H$3,1)/CEILING($H$2/$H$3,1)</f>
        <v>7</v>
      </c>
      <c r="E1371" s="28">
        <f>CEILING(C1371/$H$3,1)*CEILING($H$2/$H$3,1)/CEILING(C1371/$H$3,1)</f>
        <v>1</v>
      </c>
      <c r="F1371" s="28">
        <f>$B$5/D1371/B1371*E1371</f>
        <v>1.6151785714285716</v>
      </c>
    </row>
    <row r="1372" spans="1:6" x14ac:dyDescent="0.4">
      <c r="A1372" s="28">
        <f t="shared" si="43"/>
        <v>1656</v>
      </c>
      <c r="B1372" s="28">
        <f t="shared" si="42"/>
        <v>0.11933174224343675</v>
      </c>
      <c r="C1372" s="28">
        <f>A1372+$E$6</f>
        <v>1678</v>
      </c>
      <c r="D1372" s="28">
        <f>CEILING(C1372/$H$3,1)*CEILING($H$2/$H$3,1)/CEILING($H$2/$H$3,1)</f>
        <v>7</v>
      </c>
      <c r="E1372" s="28">
        <f>CEILING(C1372/$H$3,1)*CEILING($H$2/$H$3,1)/CEILING(C1372/$H$3,1)</f>
        <v>1</v>
      </c>
      <c r="F1372" s="28">
        <f>$B$5/D1372/B1372*E1372</f>
        <v>1.6161428571428573</v>
      </c>
    </row>
    <row r="1373" spans="1:6" x14ac:dyDescent="0.4">
      <c r="A1373" s="28">
        <f t="shared" si="43"/>
        <v>1657</v>
      </c>
      <c r="B1373" s="28">
        <f t="shared" si="42"/>
        <v>0.11926058437686345</v>
      </c>
      <c r="C1373" s="28">
        <f>A1373+$E$6</f>
        <v>1679</v>
      </c>
      <c r="D1373" s="28">
        <f>CEILING(C1373/$H$3,1)*CEILING($H$2/$H$3,1)/CEILING($H$2/$H$3,1)</f>
        <v>7</v>
      </c>
      <c r="E1373" s="28">
        <f>CEILING(C1373/$H$3,1)*CEILING($H$2/$H$3,1)/CEILING(C1373/$H$3,1)</f>
        <v>1</v>
      </c>
      <c r="F1373" s="28">
        <f>$B$5/D1373/B1373*E1373</f>
        <v>1.6171071428571429</v>
      </c>
    </row>
    <row r="1374" spans="1:6" x14ac:dyDescent="0.4">
      <c r="A1374" s="28">
        <f t="shared" si="43"/>
        <v>1658</v>
      </c>
      <c r="B1374" s="28">
        <f t="shared" si="42"/>
        <v>0.11918951132300358</v>
      </c>
      <c r="C1374" s="28">
        <f>A1374+$E$6</f>
        <v>1680</v>
      </c>
      <c r="D1374" s="28">
        <f>CEILING(C1374/$H$3,1)*CEILING($H$2/$H$3,1)/CEILING($H$2/$H$3,1)</f>
        <v>7</v>
      </c>
      <c r="E1374" s="28">
        <f>CEILING(C1374/$H$3,1)*CEILING($H$2/$H$3,1)/CEILING(C1374/$H$3,1)</f>
        <v>1</v>
      </c>
      <c r="F1374" s="28">
        <f>$B$5/D1374/B1374*E1374</f>
        <v>1.6180714285714286</v>
      </c>
    </row>
    <row r="1375" spans="1:6" x14ac:dyDescent="0.4">
      <c r="A1375" s="28">
        <f t="shared" si="43"/>
        <v>1659</v>
      </c>
      <c r="B1375" s="28">
        <f t="shared" si="42"/>
        <v>0.11911852293031566</v>
      </c>
      <c r="C1375" s="28">
        <f>A1375+$E$6</f>
        <v>1681</v>
      </c>
      <c r="D1375" s="28">
        <f>CEILING(C1375/$H$3,1)*CEILING($H$2/$H$3,1)/CEILING($H$2/$H$3,1)</f>
        <v>7</v>
      </c>
      <c r="E1375" s="28">
        <f>CEILING(C1375/$H$3,1)*CEILING($H$2/$H$3,1)/CEILING(C1375/$H$3,1)</f>
        <v>1</v>
      </c>
      <c r="F1375" s="28">
        <f>$B$5/D1375/B1375*E1375</f>
        <v>1.6190357142857144</v>
      </c>
    </row>
    <row r="1376" spans="1:6" x14ac:dyDescent="0.4">
      <c r="A1376" s="28">
        <f t="shared" si="43"/>
        <v>1660</v>
      </c>
      <c r="B1376" s="28">
        <f t="shared" si="42"/>
        <v>0.11904761904761904</v>
      </c>
      <c r="C1376" s="28">
        <f>A1376+$E$6</f>
        <v>1682</v>
      </c>
      <c r="D1376" s="28">
        <f>CEILING(C1376/$H$3,1)*CEILING($H$2/$H$3,1)/CEILING($H$2/$H$3,1)</f>
        <v>7</v>
      </c>
      <c r="E1376" s="28">
        <f>CEILING(C1376/$H$3,1)*CEILING($H$2/$H$3,1)/CEILING(C1376/$H$3,1)</f>
        <v>1</v>
      </c>
      <c r="F1376" s="28">
        <f>$B$5/D1376/B1376*E1376</f>
        <v>1.62</v>
      </c>
    </row>
    <row r="1377" spans="1:6" x14ac:dyDescent="0.4">
      <c r="A1377" s="28">
        <f t="shared" si="43"/>
        <v>1661</v>
      </c>
      <c r="B1377" s="28">
        <f t="shared" si="42"/>
        <v>0.11897679952409281</v>
      </c>
      <c r="C1377" s="28">
        <f>A1377+$E$6</f>
        <v>1683</v>
      </c>
      <c r="D1377" s="28">
        <f>CEILING(C1377/$H$3,1)*CEILING($H$2/$H$3,1)/CEILING($H$2/$H$3,1)</f>
        <v>7</v>
      </c>
      <c r="E1377" s="28">
        <f>CEILING(C1377/$H$3,1)*CEILING($H$2/$H$3,1)/CEILING(C1377/$H$3,1)</f>
        <v>1</v>
      </c>
      <c r="F1377" s="28">
        <f>$B$5/D1377/B1377*E1377</f>
        <v>1.6209642857142856</v>
      </c>
    </row>
    <row r="1378" spans="1:6" x14ac:dyDescent="0.4">
      <c r="A1378" s="28">
        <f t="shared" si="43"/>
        <v>1662</v>
      </c>
      <c r="B1378" s="28">
        <f t="shared" si="42"/>
        <v>0.11890606420927467</v>
      </c>
      <c r="C1378" s="28">
        <f>A1378+$E$6</f>
        <v>1684</v>
      </c>
      <c r="D1378" s="28">
        <f>CEILING(C1378/$H$3,1)*CEILING($H$2/$H$3,1)/CEILING($H$2/$H$3,1)</f>
        <v>7</v>
      </c>
      <c r="E1378" s="28">
        <f>CEILING(C1378/$H$3,1)*CEILING($H$2/$H$3,1)/CEILING(C1378/$H$3,1)</f>
        <v>1</v>
      </c>
      <c r="F1378" s="28">
        <f>$B$5/D1378/B1378*E1378</f>
        <v>1.6219285714285716</v>
      </c>
    </row>
    <row r="1379" spans="1:6" x14ac:dyDescent="0.4">
      <c r="A1379" s="28">
        <f t="shared" si="43"/>
        <v>1663</v>
      </c>
      <c r="B1379" s="28">
        <f t="shared" si="42"/>
        <v>0.11883541295306001</v>
      </c>
      <c r="C1379" s="28">
        <f>A1379+$E$6</f>
        <v>1685</v>
      </c>
      <c r="D1379" s="28">
        <f>CEILING(C1379/$H$3,1)*CEILING($H$2/$H$3,1)/CEILING($H$2/$H$3,1)</f>
        <v>7</v>
      </c>
      <c r="E1379" s="28">
        <f>CEILING(C1379/$H$3,1)*CEILING($H$2/$H$3,1)/CEILING(C1379/$H$3,1)</f>
        <v>1</v>
      </c>
      <c r="F1379" s="28">
        <f>$B$5/D1379/B1379*E1379</f>
        <v>1.6228928571428574</v>
      </c>
    </row>
    <row r="1380" spans="1:6" x14ac:dyDescent="0.4">
      <c r="A1380" s="28">
        <f t="shared" si="43"/>
        <v>1664</v>
      </c>
      <c r="B1380" s="28">
        <f t="shared" si="42"/>
        <v>0.11876484560570071</v>
      </c>
      <c r="C1380" s="28">
        <f>A1380+$E$6</f>
        <v>1686</v>
      </c>
      <c r="D1380" s="28">
        <f>CEILING(C1380/$H$3,1)*CEILING($H$2/$H$3,1)/CEILING($H$2/$H$3,1)</f>
        <v>7</v>
      </c>
      <c r="E1380" s="28">
        <f>CEILING(C1380/$H$3,1)*CEILING($H$2/$H$3,1)/CEILING(C1380/$H$3,1)</f>
        <v>1</v>
      </c>
      <c r="F1380" s="28">
        <f>$B$5/D1380/B1380*E1380</f>
        <v>1.6238571428571431</v>
      </c>
    </row>
    <row r="1381" spans="1:6" x14ac:dyDescent="0.4">
      <c r="A1381" s="28">
        <f t="shared" si="43"/>
        <v>1665</v>
      </c>
      <c r="B1381" s="28">
        <f t="shared" si="42"/>
        <v>0.11869436201780416</v>
      </c>
      <c r="C1381" s="28">
        <f>A1381+$E$6</f>
        <v>1687</v>
      </c>
      <c r="D1381" s="28">
        <f>CEILING(C1381/$H$3,1)*CEILING($H$2/$H$3,1)/CEILING($H$2/$H$3,1)</f>
        <v>7</v>
      </c>
      <c r="E1381" s="28">
        <f>CEILING(C1381/$H$3,1)*CEILING($H$2/$H$3,1)/CEILING(C1381/$H$3,1)</f>
        <v>1</v>
      </c>
      <c r="F1381" s="28">
        <f>$B$5/D1381/B1381*E1381</f>
        <v>1.6248214285714286</v>
      </c>
    </row>
    <row r="1382" spans="1:6" x14ac:dyDescent="0.4">
      <c r="A1382" s="28">
        <f t="shared" si="43"/>
        <v>1666</v>
      </c>
      <c r="B1382" s="28">
        <f t="shared" si="42"/>
        <v>0.11862396204033215</v>
      </c>
      <c r="C1382" s="28">
        <f>A1382+$E$6</f>
        <v>1688</v>
      </c>
      <c r="D1382" s="28">
        <f>CEILING(C1382/$H$3,1)*CEILING($H$2/$H$3,1)/CEILING($H$2/$H$3,1)</f>
        <v>7</v>
      </c>
      <c r="E1382" s="28">
        <f>CEILING(C1382/$H$3,1)*CEILING($H$2/$H$3,1)/CEILING(C1382/$H$3,1)</f>
        <v>1</v>
      </c>
      <c r="F1382" s="28">
        <f>$B$5/D1382/B1382*E1382</f>
        <v>1.6257857142857142</v>
      </c>
    </row>
    <row r="1383" spans="1:6" x14ac:dyDescent="0.4">
      <c r="A1383" s="28">
        <f t="shared" si="43"/>
        <v>1667</v>
      </c>
      <c r="B1383" s="28">
        <f t="shared" si="42"/>
        <v>0.11855364552459988</v>
      </c>
      <c r="C1383" s="28">
        <f>A1383+$E$6</f>
        <v>1689</v>
      </c>
      <c r="D1383" s="28">
        <f>CEILING(C1383/$H$3,1)*CEILING($H$2/$H$3,1)/CEILING($H$2/$H$3,1)</f>
        <v>7</v>
      </c>
      <c r="E1383" s="28">
        <f>CEILING(C1383/$H$3,1)*CEILING($H$2/$H$3,1)/CEILING(C1383/$H$3,1)</f>
        <v>1</v>
      </c>
      <c r="F1383" s="28">
        <f>$B$5/D1383/B1383*E1383</f>
        <v>1.6267500000000001</v>
      </c>
    </row>
    <row r="1384" spans="1:6" x14ac:dyDescent="0.4">
      <c r="A1384" s="28">
        <f t="shared" si="43"/>
        <v>1668</v>
      </c>
      <c r="B1384" s="28">
        <f t="shared" si="42"/>
        <v>0.11848341232227488</v>
      </c>
      <c r="C1384" s="28">
        <f>A1384+$E$6</f>
        <v>1690</v>
      </c>
      <c r="D1384" s="28">
        <f>CEILING(C1384/$H$3,1)*CEILING($H$2/$H$3,1)/CEILING($H$2/$H$3,1)</f>
        <v>7</v>
      </c>
      <c r="E1384" s="28">
        <f>CEILING(C1384/$H$3,1)*CEILING($H$2/$H$3,1)/CEILING(C1384/$H$3,1)</f>
        <v>1</v>
      </c>
      <c r="F1384" s="28">
        <f>$B$5/D1384/B1384*E1384</f>
        <v>1.6277142857142857</v>
      </c>
    </row>
    <row r="1385" spans="1:6" x14ac:dyDescent="0.4">
      <c r="A1385" s="28">
        <f t="shared" si="43"/>
        <v>1669</v>
      </c>
      <c r="B1385" s="28">
        <f t="shared" si="42"/>
        <v>0.11841326228537596</v>
      </c>
      <c r="C1385" s="28">
        <f>A1385+$E$6</f>
        <v>1691</v>
      </c>
      <c r="D1385" s="28">
        <f>CEILING(C1385/$H$3,1)*CEILING($H$2/$H$3,1)/CEILING($H$2/$H$3,1)</f>
        <v>7</v>
      </c>
      <c r="E1385" s="28">
        <f>CEILING(C1385/$H$3,1)*CEILING($H$2/$H$3,1)/CEILING(C1385/$H$3,1)</f>
        <v>1</v>
      </c>
      <c r="F1385" s="28">
        <f>$B$5/D1385/B1385*E1385</f>
        <v>1.6286785714285714</v>
      </c>
    </row>
    <row r="1386" spans="1:6" x14ac:dyDescent="0.4">
      <c r="A1386" s="28">
        <f t="shared" si="43"/>
        <v>1670</v>
      </c>
      <c r="B1386" s="28">
        <f t="shared" si="42"/>
        <v>0.11834319526627218</v>
      </c>
      <c r="C1386" s="28">
        <f>A1386+$E$6</f>
        <v>1692</v>
      </c>
      <c r="D1386" s="28">
        <f>CEILING(C1386/$H$3,1)*CEILING($H$2/$H$3,1)/CEILING($H$2/$H$3,1)</f>
        <v>7</v>
      </c>
      <c r="E1386" s="28">
        <f>CEILING(C1386/$H$3,1)*CEILING($H$2/$H$3,1)/CEILING(C1386/$H$3,1)</f>
        <v>1</v>
      </c>
      <c r="F1386" s="28">
        <f>$B$5/D1386/B1386*E1386</f>
        <v>1.6296428571428574</v>
      </c>
    </row>
    <row r="1387" spans="1:6" x14ac:dyDescent="0.4">
      <c r="A1387" s="28">
        <f t="shared" si="43"/>
        <v>1671</v>
      </c>
      <c r="B1387" s="28">
        <f t="shared" si="42"/>
        <v>0.11827321111768184</v>
      </c>
      <c r="C1387" s="28">
        <f>A1387+$E$6</f>
        <v>1693</v>
      </c>
      <c r="D1387" s="28">
        <f>CEILING(C1387/$H$3,1)*CEILING($H$2/$H$3,1)/CEILING($H$2/$H$3,1)</f>
        <v>7</v>
      </c>
      <c r="E1387" s="28">
        <f>CEILING(C1387/$H$3,1)*CEILING($H$2/$H$3,1)/CEILING(C1387/$H$3,1)</f>
        <v>1</v>
      </c>
      <c r="F1387" s="28">
        <f>$B$5/D1387/B1387*E1387</f>
        <v>1.6306071428571429</v>
      </c>
    </row>
    <row r="1388" spans="1:6" x14ac:dyDescent="0.4">
      <c r="A1388" s="28">
        <f t="shared" si="43"/>
        <v>1672</v>
      </c>
      <c r="B1388" s="28">
        <f t="shared" si="42"/>
        <v>0.1182033096926714</v>
      </c>
      <c r="C1388" s="28">
        <f>A1388+$E$6</f>
        <v>1694</v>
      </c>
      <c r="D1388" s="28">
        <f>CEILING(C1388/$H$3,1)*CEILING($H$2/$H$3,1)/CEILING($H$2/$H$3,1)</f>
        <v>7</v>
      </c>
      <c r="E1388" s="28">
        <f>CEILING(C1388/$H$3,1)*CEILING($H$2/$H$3,1)/CEILING(C1388/$H$3,1)</f>
        <v>1</v>
      </c>
      <c r="F1388" s="28">
        <f>$B$5/D1388/B1388*E1388</f>
        <v>1.6315714285714287</v>
      </c>
    </row>
    <row r="1389" spans="1:6" x14ac:dyDescent="0.4">
      <c r="A1389" s="28">
        <f t="shared" si="43"/>
        <v>1673</v>
      </c>
      <c r="B1389" s="28">
        <f t="shared" si="42"/>
        <v>0.11813349084465447</v>
      </c>
      <c r="C1389" s="28">
        <f>A1389+$E$6</f>
        <v>1695</v>
      </c>
      <c r="D1389" s="28">
        <f>CEILING(C1389/$H$3,1)*CEILING($H$2/$H$3,1)/CEILING($H$2/$H$3,1)</f>
        <v>7</v>
      </c>
      <c r="E1389" s="28">
        <f>CEILING(C1389/$H$3,1)*CEILING($H$2/$H$3,1)/CEILING(C1389/$H$3,1)</f>
        <v>1</v>
      </c>
      <c r="F1389" s="28">
        <f>$B$5/D1389/B1389*E1389</f>
        <v>1.6325357142857142</v>
      </c>
    </row>
    <row r="1390" spans="1:6" x14ac:dyDescent="0.4">
      <c r="A1390" s="28">
        <f t="shared" si="43"/>
        <v>1674</v>
      </c>
      <c r="B1390" s="28">
        <f t="shared" si="42"/>
        <v>0.1180637544273908</v>
      </c>
      <c r="C1390" s="28">
        <f>A1390+$E$6</f>
        <v>1696</v>
      </c>
      <c r="D1390" s="28">
        <f>CEILING(C1390/$H$3,1)*CEILING($H$2/$H$3,1)/CEILING($H$2/$H$3,1)</f>
        <v>7</v>
      </c>
      <c r="E1390" s="28">
        <f>CEILING(C1390/$H$3,1)*CEILING($H$2/$H$3,1)/CEILING(C1390/$H$3,1)</f>
        <v>1</v>
      </c>
      <c r="F1390" s="28">
        <f>$B$5/D1390/B1390*E1390</f>
        <v>1.6335</v>
      </c>
    </row>
    <row r="1391" spans="1:6" x14ac:dyDescent="0.4">
      <c r="A1391" s="28">
        <f t="shared" si="43"/>
        <v>1675</v>
      </c>
      <c r="B1391" s="28">
        <f t="shared" si="42"/>
        <v>0.11799410029498525</v>
      </c>
      <c r="C1391" s="28">
        <f>A1391+$E$6</f>
        <v>1697</v>
      </c>
      <c r="D1391" s="28">
        <f>CEILING(C1391/$H$3,1)*CEILING($H$2/$H$3,1)/CEILING($H$2/$H$3,1)</f>
        <v>7</v>
      </c>
      <c r="E1391" s="28">
        <f>CEILING(C1391/$H$3,1)*CEILING($H$2/$H$3,1)/CEILING(C1391/$H$3,1)</f>
        <v>1</v>
      </c>
      <c r="F1391" s="28">
        <f>$B$5/D1391/B1391*E1391</f>
        <v>1.6344642857142857</v>
      </c>
    </row>
    <row r="1392" spans="1:6" x14ac:dyDescent="0.4">
      <c r="A1392" s="28">
        <f t="shared" si="43"/>
        <v>1676</v>
      </c>
      <c r="B1392" s="28">
        <f t="shared" si="42"/>
        <v>0.11792452830188679</v>
      </c>
      <c r="C1392" s="28">
        <f>A1392+$E$6</f>
        <v>1698</v>
      </c>
      <c r="D1392" s="28">
        <f>CEILING(C1392/$H$3,1)*CEILING($H$2/$H$3,1)/CEILING($H$2/$H$3,1)</f>
        <v>7</v>
      </c>
      <c r="E1392" s="28">
        <f>CEILING(C1392/$H$3,1)*CEILING($H$2/$H$3,1)/CEILING(C1392/$H$3,1)</f>
        <v>1</v>
      </c>
      <c r="F1392" s="28">
        <f>$B$5/D1392/B1392*E1392</f>
        <v>1.6354285714285715</v>
      </c>
    </row>
    <row r="1393" spans="1:6" x14ac:dyDescent="0.4">
      <c r="A1393" s="28">
        <f t="shared" si="43"/>
        <v>1677</v>
      </c>
      <c r="B1393" s="28">
        <f t="shared" si="42"/>
        <v>0.11785503830288745</v>
      </c>
      <c r="C1393" s="28">
        <f>A1393+$E$6</f>
        <v>1699</v>
      </c>
      <c r="D1393" s="28">
        <f>CEILING(C1393/$H$3,1)*CEILING($H$2/$H$3,1)/CEILING($H$2/$H$3,1)</f>
        <v>7</v>
      </c>
      <c r="E1393" s="28">
        <f>CEILING(C1393/$H$3,1)*CEILING($H$2/$H$3,1)/CEILING(C1393/$H$3,1)</f>
        <v>1</v>
      </c>
      <c r="F1393" s="28">
        <f>$B$5/D1393/B1393*E1393</f>
        <v>1.6363928571428572</v>
      </c>
    </row>
    <row r="1394" spans="1:6" x14ac:dyDescent="0.4">
      <c r="A1394" s="28">
        <f t="shared" si="43"/>
        <v>1678</v>
      </c>
      <c r="B1394" s="28">
        <f t="shared" si="42"/>
        <v>0.11778563015312132</v>
      </c>
      <c r="C1394" s="28">
        <f>A1394+$E$6</f>
        <v>1700</v>
      </c>
      <c r="D1394" s="28">
        <f>CEILING(C1394/$H$3,1)*CEILING($H$2/$H$3,1)/CEILING($H$2/$H$3,1)</f>
        <v>7</v>
      </c>
      <c r="E1394" s="28">
        <f>CEILING(C1394/$H$3,1)*CEILING($H$2/$H$3,1)/CEILING(C1394/$H$3,1)</f>
        <v>1</v>
      </c>
      <c r="F1394" s="28">
        <f>$B$5/D1394/B1394*E1394</f>
        <v>1.637357142857143</v>
      </c>
    </row>
    <row r="1395" spans="1:6" x14ac:dyDescent="0.4">
      <c r="A1395" s="28">
        <f t="shared" si="43"/>
        <v>1679</v>
      </c>
      <c r="B1395" s="28">
        <f t="shared" si="42"/>
        <v>0.11771630370806356</v>
      </c>
      <c r="C1395" s="28">
        <f>A1395+$E$6</f>
        <v>1701</v>
      </c>
      <c r="D1395" s="28">
        <f>CEILING(C1395/$H$3,1)*CEILING($H$2/$H$3,1)/CEILING($H$2/$H$3,1)</f>
        <v>7</v>
      </c>
      <c r="E1395" s="28">
        <f>CEILING(C1395/$H$3,1)*CEILING($H$2/$H$3,1)/CEILING(C1395/$H$3,1)</f>
        <v>1</v>
      </c>
      <c r="F1395" s="28">
        <f>$B$5/D1395/B1395*E1395</f>
        <v>1.6383214285714287</v>
      </c>
    </row>
    <row r="1396" spans="1:6" x14ac:dyDescent="0.4">
      <c r="A1396" s="28">
        <f t="shared" si="43"/>
        <v>1680</v>
      </c>
      <c r="B1396" s="28">
        <f t="shared" si="42"/>
        <v>0.11764705882352941</v>
      </c>
      <c r="C1396" s="28">
        <f>A1396+$E$6</f>
        <v>1702</v>
      </c>
      <c r="D1396" s="28">
        <f>CEILING(C1396/$H$3,1)*CEILING($H$2/$H$3,1)/CEILING($H$2/$H$3,1)</f>
        <v>7</v>
      </c>
      <c r="E1396" s="28">
        <f>CEILING(C1396/$H$3,1)*CEILING($H$2/$H$3,1)/CEILING(C1396/$H$3,1)</f>
        <v>1</v>
      </c>
      <c r="F1396" s="28">
        <f>$B$5/D1396/B1396*E1396</f>
        <v>1.6392857142857145</v>
      </c>
    </row>
    <row r="1397" spans="1:6" x14ac:dyDescent="0.4">
      <c r="A1397" s="28">
        <f t="shared" si="43"/>
        <v>1681</v>
      </c>
      <c r="B1397" s="28">
        <f t="shared" si="42"/>
        <v>0.11757789535567313</v>
      </c>
      <c r="C1397" s="28">
        <f>A1397+$E$6</f>
        <v>1703</v>
      </c>
      <c r="D1397" s="28">
        <f>CEILING(C1397/$H$3,1)*CEILING($H$2/$H$3,1)/CEILING($H$2/$H$3,1)</f>
        <v>7</v>
      </c>
      <c r="E1397" s="28">
        <f>CEILING(C1397/$H$3,1)*CEILING($H$2/$H$3,1)/CEILING(C1397/$H$3,1)</f>
        <v>1</v>
      </c>
      <c r="F1397" s="28">
        <f>$B$5/D1397/B1397*E1397</f>
        <v>1.6402500000000002</v>
      </c>
    </row>
    <row r="1398" spans="1:6" x14ac:dyDescent="0.4">
      <c r="A1398" s="28">
        <f t="shared" si="43"/>
        <v>1682</v>
      </c>
      <c r="B1398" s="28">
        <f t="shared" si="42"/>
        <v>0.11750881316098707</v>
      </c>
      <c r="C1398" s="28">
        <f>A1398+$E$6</f>
        <v>1704</v>
      </c>
      <c r="D1398" s="28">
        <f>CEILING(C1398/$H$3,1)*CEILING($H$2/$H$3,1)/CEILING($H$2/$H$3,1)</f>
        <v>7</v>
      </c>
      <c r="E1398" s="28">
        <f>CEILING(C1398/$H$3,1)*CEILING($H$2/$H$3,1)/CEILING(C1398/$H$3,1)</f>
        <v>1</v>
      </c>
      <c r="F1398" s="28">
        <f>$B$5/D1398/B1398*E1398</f>
        <v>1.6412142857142857</v>
      </c>
    </row>
    <row r="1399" spans="1:6" x14ac:dyDescent="0.4">
      <c r="A1399" s="28">
        <f t="shared" si="43"/>
        <v>1683</v>
      </c>
      <c r="B1399" s="28">
        <f t="shared" si="42"/>
        <v>0.11743981209630065</v>
      </c>
      <c r="C1399" s="28">
        <f>A1399+$E$6</f>
        <v>1705</v>
      </c>
      <c r="D1399" s="28">
        <f>CEILING(C1399/$H$3,1)*CEILING($H$2/$H$3,1)/CEILING($H$2/$H$3,1)</f>
        <v>7</v>
      </c>
      <c r="E1399" s="28">
        <f>CEILING(C1399/$H$3,1)*CEILING($H$2/$H$3,1)/CEILING(C1399/$H$3,1)</f>
        <v>1</v>
      </c>
      <c r="F1399" s="28">
        <f>$B$5/D1399/B1399*E1399</f>
        <v>1.6421785714285715</v>
      </c>
    </row>
    <row r="1400" spans="1:6" x14ac:dyDescent="0.4">
      <c r="A1400" s="28">
        <f t="shared" si="43"/>
        <v>1684</v>
      </c>
      <c r="B1400" s="28">
        <f t="shared" si="42"/>
        <v>0.11737089201877934</v>
      </c>
      <c r="C1400" s="28">
        <f>A1400+$E$6</f>
        <v>1706</v>
      </c>
      <c r="D1400" s="28">
        <f>CEILING(C1400/$H$3,1)*CEILING($H$2/$H$3,1)/CEILING($H$2/$H$3,1)</f>
        <v>7</v>
      </c>
      <c r="E1400" s="28">
        <f>CEILING(C1400/$H$3,1)*CEILING($H$2/$H$3,1)/CEILING(C1400/$H$3,1)</f>
        <v>1</v>
      </c>
      <c r="F1400" s="28">
        <f>$B$5/D1400/B1400*E1400</f>
        <v>1.6431428571428572</v>
      </c>
    </row>
    <row r="1401" spans="1:6" x14ac:dyDescent="0.4">
      <c r="A1401" s="28">
        <f t="shared" si="43"/>
        <v>1685</v>
      </c>
      <c r="B1401" s="28">
        <f t="shared" si="42"/>
        <v>0.11730205278592376</v>
      </c>
      <c r="C1401" s="28">
        <f>A1401+$E$6</f>
        <v>1707</v>
      </c>
      <c r="D1401" s="28">
        <f>CEILING(C1401/$H$3,1)*CEILING($H$2/$H$3,1)/CEILING($H$2/$H$3,1)</f>
        <v>7</v>
      </c>
      <c r="E1401" s="28">
        <f>CEILING(C1401/$H$3,1)*CEILING($H$2/$H$3,1)/CEILING(C1401/$H$3,1)</f>
        <v>1</v>
      </c>
      <c r="F1401" s="28">
        <f>$B$5/D1401/B1401*E1401</f>
        <v>1.6441071428571428</v>
      </c>
    </row>
    <row r="1402" spans="1:6" x14ac:dyDescent="0.4">
      <c r="A1402" s="28">
        <f t="shared" si="43"/>
        <v>1686</v>
      </c>
      <c r="B1402" s="28">
        <f t="shared" si="42"/>
        <v>0.11723329425556858</v>
      </c>
      <c r="C1402" s="28">
        <f>A1402+$E$6</f>
        <v>1708</v>
      </c>
      <c r="D1402" s="28">
        <f>CEILING(C1402/$H$3,1)*CEILING($H$2/$H$3,1)/CEILING($H$2/$H$3,1)</f>
        <v>7</v>
      </c>
      <c r="E1402" s="28">
        <f>CEILING(C1402/$H$3,1)*CEILING($H$2/$H$3,1)/CEILING(C1402/$H$3,1)</f>
        <v>1</v>
      </c>
      <c r="F1402" s="28">
        <f>$B$5/D1402/B1402*E1402</f>
        <v>1.6450714285714287</v>
      </c>
    </row>
    <row r="1403" spans="1:6" x14ac:dyDescent="0.4">
      <c r="A1403" s="28">
        <f t="shared" si="43"/>
        <v>1687</v>
      </c>
      <c r="B1403" s="28">
        <f t="shared" si="42"/>
        <v>0.11716461628588166</v>
      </c>
      <c r="C1403" s="28">
        <f>A1403+$E$6</f>
        <v>1709</v>
      </c>
      <c r="D1403" s="28">
        <f>CEILING(C1403/$H$3,1)*CEILING($H$2/$H$3,1)/CEILING($H$2/$H$3,1)</f>
        <v>7</v>
      </c>
      <c r="E1403" s="28">
        <f>CEILING(C1403/$H$3,1)*CEILING($H$2/$H$3,1)/CEILING(C1403/$H$3,1)</f>
        <v>1</v>
      </c>
      <c r="F1403" s="28">
        <f>$B$5/D1403/B1403*E1403</f>
        <v>1.6460357142857143</v>
      </c>
    </row>
    <row r="1404" spans="1:6" x14ac:dyDescent="0.4">
      <c r="A1404" s="28">
        <f t="shared" si="43"/>
        <v>1688</v>
      </c>
      <c r="B1404" s="28">
        <f t="shared" si="42"/>
        <v>0.117096018735363</v>
      </c>
      <c r="C1404" s="28">
        <f>A1404+$E$6</f>
        <v>1710</v>
      </c>
      <c r="D1404" s="28">
        <f>CEILING(C1404/$H$3,1)*CEILING($H$2/$H$3,1)/CEILING($H$2/$H$3,1)</f>
        <v>7</v>
      </c>
      <c r="E1404" s="28">
        <f>CEILING(C1404/$H$3,1)*CEILING($H$2/$H$3,1)/CEILING(C1404/$H$3,1)</f>
        <v>1</v>
      </c>
      <c r="F1404" s="28">
        <f>$B$5/D1404/B1404*E1404</f>
        <v>1.647</v>
      </c>
    </row>
    <row r="1405" spans="1:6" x14ac:dyDescent="0.4">
      <c r="A1405" s="28">
        <f t="shared" si="43"/>
        <v>1689</v>
      </c>
      <c r="B1405" s="28">
        <f t="shared" si="42"/>
        <v>0.11702750146284377</v>
      </c>
      <c r="C1405" s="28">
        <f>A1405+$E$6</f>
        <v>1711</v>
      </c>
      <c r="D1405" s="28">
        <f>CEILING(C1405/$H$3,1)*CEILING($H$2/$H$3,1)/CEILING($H$2/$H$3,1)</f>
        <v>7</v>
      </c>
      <c r="E1405" s="28">
        <f>CEILING(C1405/$H$3,1)*CEILING($H$2/$H$3,1)/CEILING(C1405/$H$3,1)</f>
        <v>1</v>
      </c>
      <c r="F1405" s="28">
        <f>$B$5/D1405/B1405*E1405</f>
        <v>1.6479642857142858</v>
      </c>
    </row>
    <row r="1406" spans="1:6" x14ac:dyDescent="0.4">
      <c r="A1406" s="28">
        <f t="shared" si="43"/>
        <v>1690</v>
      </c>
      <c r="B1406" s="28">
        <f t="shared" si="42"/>
        <v>0.11695906432748537</v>
      </c>
      <c r="C1406" s="28">
        <f>A1406+$E$6</f>
        <v>1712</v>
      </c>
      <c r="D1406" s="28">
        <f>CEILING(C1406/$H$3,1)*CEILING($H$2/$H$3,1)/CEILING($H$2/$H$3,1)</f>
        <v>7</v>
      </c>
      <c r="E1406" s="28">
        <f>CEILING(C1406/$H$3,1)*CEILING($H$2/$H$3,1)/CEILING(C1406/$H$3,1)</f>
        <v>1</v>
      </c>
      <c r="F1406" s="28">
        <f>$B$5/D1406/B1406*E1406</f>
        <v>1.6489285714285715</v>
      </c>
    </row>
    <row r="1407" spans="1:6" x14ac:dyDescent="0.4">
      <c r="A1407" s="28">
        <f t="shared" si="43"/>
        <v>1691</v>
      </c>
      <c r="B1407" s="28">
        <f t="shared" si="42"/>
        <v>0.11689070718877849</v>
      </c>
      <c r="C1407" s="28">
        <f>A1407+$E$6</f>
        <v>1713</v>
      </c>
      <c r="D1407" s="28">
        <f>CEILING(C1407/$H$3,1)*CEILING($H$2/$H$3,1)/CEILING($H$2/$H$3,1)</f>
        <v>7</v>
      </c>
      <c r="E1407" s="28">
        <f>CEILING(C1407/$H$3,1)*CEILING($H$2/$H$3,1)/CEILING(C1407/$H$3,1)</f>
        <v>1</v>
      </c>
      <c r="F1407" s="28">
        <f>$B$5/D1407/B1407*E1407</f>
        <v>1.6498928571428573</v>
      </c>
    </row>
    <row r="1408" spans="1:6" x14ac:dyDescent="0.4">
      <c r="A1408" s="28">
        <f t="shared" si="43"/>
        <v>1692</v>
      </c>
      <c r="B1408" s="28">
        <f t="shared" si="42"/>
        <v>0.11682242990654206</v>
      </c>
      <c r="C1408" s="28">
        <f>A1408+$E$6</f>
        <v>1714</v>
      </c>
      <c r="D1408" s="28">
        <f>CEILING(C1408/$H$3,1)*CEILING($H$2/$H$3,1)/CEILING($H$2/$H$3,1)</f>
        <v>7</v>
      </c>
      <c r="E1408" s="28">
        <f>CEILING(C1408/$H$3,1)*CEILING($H$2/$H$3,1)/CEILING(C1408/$H$3,1)</f>
        <v>1</v>
      </c>
      <c r="F1408" s="28">
        <f>$B$5/D1408/B1408*E1408</f>
        <v>1.650857142857143</v>
      </c>
    </row>
    <row r="1409" spans="1:6" x14ac:dyDescent="0.4">
      <c r="A1409" s="28">
        <f t="shared" si="43"/>
        <v>1693</v>
      </c>
      <c r="B1409" s="28">
        <f t="shared" si="42"/>
        <v>0.11675423234092236</v>
      </c>
      <c r="C1409" s="28">
        <f>A1409+$E$6</f>
        <v>1715</v>
      </c>
      <c r="D1409" s="28">
        <f>CEILING(C1409/$H$3,1)*CEILING($H$2/$H$3,1)/CEILING($H$2/$H$3,1)</f>
        <v>7</v>
      </c>
      <c r="E1409" s="28">
        <f>CEILING(C1409/$H$3,1)*CEILING($H$2/$H$3,1)/CEILING(C1409/$H$3,1)</f>
        <v>1</v>
      </c>
      <c r="F1409" s="28">
        <f>$B$5/D1409/B1409*E1409</f>
        <v>1.6518214285714286</v>
      </c>
    </row>
    <row r="1410" spans="1:6" x14ac:dyDescent="0.4">
      <c r="A1410" s="28">
        <f t="shared" si="43"/>
        <v>1694</v>
      </c>
      <c r="B1410" s="28">
        <f t="shared" si="42"/>
        <v>0.11668611435239207</v>
      </c>
      <c r="C1410" s="28">
        <f>A1410+$E$6</f>
        <v>1716</v>
      </c>
      <c r="D1410" s="28">
        <f>CEILING(C1410/$H$3,1)*CEILING($H$2/$H$3,1)/CEILING($H$2/$H$3,1)</f>
        <v>7</v>
      </c>
      <c r="E1410" s="28">
        <f>CEILING(C1410/$H$3,1)*CEILING($H$2/$H$3,1)/CEILING(C1410/$H$3,1)</f>
        <v>1</v>
      </c>
      <c r="F1410" s="28">
        <f>$B$5/D1410/B1410*E1410</f>
        <v>1.6527857142857143</v>
      </c>
    </row>
    <row r="1411" spans="1:6" x14ac:dyDescent="0.4">
      <c r="A1411" s="28">
        <f t="shared" si="43"/>
        <v>1695</v>
      </c>
      <c r="B1411" s="28">
        <f t="shared" si="42"/>
        <v>0.11661807580174927</v>
      </c>
      <c r="C1411" s="28">
        <f>A1411+$E$6</f>
        <v>1717</v>
      </c>
      <c r="D1411" s="28">
        <f>CEILING(C1411/$H$3,1)*CEILING($H$2/$H$3,1)/CEILING($H$2/$H$3,1)</f>
        <v>7</v>
      </c>
      <c r="E1411" s="28">
        <f>CEILING(C1411/$H$3,1)*CEILING($H$2/$H$3,1)/CEILING(C1411/$H$3,1)</f>
        <v>1</v>
      </c>
      <c r="F1411" s="28">
        <f>$B$5/D1411/B1411*E1411</f>
        <v>1.6537500000000001</v>
      </c>
    </row>
    <row r="1412" spans="1:6" x14ac:dyDescent="0.4">
      <c r="A1412" s="28">
        <f t="shared" si="43"/>
        <v>1696</v>
      </c>
      <c r="B1412" s="28">
        <f t="shared" si="42"/>
        <v>0.11655011655011654</v>
      </c>
      <c r="C1412" s="28">
        <f>A1412+$E$6</f>
        <v>1718</v>
      </c>
      <c r="D1412" s="28">
        <f>CEILING(C1412/$H$3,1)*CEILING($H$2/$H$3,1)/CEILING($H$2/$H$3,1)</f>
        <v>7</v>
      </c>
      <c r="E1412" s="28">
        <f>CEILING(C1412/$H$3,1)*CEILING($H$2/$H$3,1)/CEILING(C1412/$H$3,1)</f>
        <v>1</v>
      </c>
      <c r="F1412" s="28">
        <f>$B$5/D1412/B1412*E1412</f>
        <v>1.6547142857142858</v>
      </c>
    </row>
    <row r="1413" spans="1:6" x14ac:dyDescent="0.4">
      <c r="A1413" s="28">
        <f t="shared" si="43"/>
        <v>1697</v>
      </c>
      <c r="B1413" s="28">
        <f t="shared" si="42"/>
        <v>0.11648223645894001</v>
      </c>
      <c r="C1413" s="28">
        <f>A1413+$E$6</f>
        <v>1719</v>
      </c>
      <c r="D1413" s="28">
        <f>CEILING(C1413/$H$3,1)*CEILING($H$2/$H$3,1)/CEILING($H$2/$H$3,1)</f>
        <v>7</v>
      </c>
      <c r="E1413" s="28">
        <f>CEILING(C1413/$H$3,1)*CEILING($H$2/$H$3,1)/CEILING(C1413/$H$3,1)</f>
        <v>1</v>
      </c>
      <c r="F1413" s="28">
        <f>$B$5/D1413/B1413*E1413</f>
        <v>1.6556785714285716</v>
      </c>
    </row>
    <row r="1414" spans="1:6" x14ac:dyDescent="0.4">
      <c r="A1414" s="28">
        <f t="shared" si="43"/>
        <v>1698</v>
      </c>
      <c r="B1414" s="28">
        <f t="shared" si="42"/>
        <v>0.11641443538998836</v>
      </c>
      <c r="C1414" s="28">
        <f>A1414+$E$6</f>
        <v>1720</v>
      </c>
      <c r="D1414" s="28">
        <f>CEILING(C1414/$H$3,1)*CEILING($H$2/$H$3,1)/CEILING($H$2/$H$3,1)</f>
        <v>7</v>
      </c>
      <c r="E1414" s="28">
        <f>CEILING(C1414/$H$3,1)*CEILING($H$2/$H$3,1)/CEILING(C1414/$H$3,1)</f>
        <v>1</v>
      </c>
      <c r="F1414" s="28">
        <f>$B$5/D1414/B1414*E1414</f>
        <v>1.6566428571428573</v>
      </c>
    </row>
    <row r="1415" spans="1:6" x14ac:dyDescent="0.4">
      <c r="A1415" s="28">
        <f t="shared" si="43"/>
        <v>1699</v>
      </c>
      <c r="B1415" s="28">
        <f t="shared" si="42"/>
        <v>0.11634671320535195</v>
      </c>
      <c r="C1415" s="28">
        <f>A1415+$E$6</f>
        <v>1721</v>
      </c>
      <c r="D1415" s="28">
        <f>CEILING(C1415/$H$3,1)*CEILING($H$2/$H$3,1)/CEILING($H$2/$H$3,1)</f>
        <v>7</v>
      </c>
      <c r="E1415" s="28">
        <f>CEILING(C1415/$H$3,1)*CEILING($H$2/$H$3,1)/CEILING(C1415/$H$3,1)</f>
        <v>1</v>
      </c>
      <c r="F1415" s="28">
        <f>$B$5/D1415/B1415*E1415</f>
        <v>1.6576071428571428</v>
      </c>
    </row>
    <row r="1416" spans="1:6" x14ac:dyDescent="0.4">
      <c r="A1416" s="28">
        <f t="shared" si="43"/>
        <v>1700</v>
      </c>
      <c r="B1416" s="28">
        <f t="shared" si="42"/>
        <v>0.11627906976744186</v>
      </c>
      <c r="C1416" s="28">
        <f>A1416+$E$6</f>
        <v>1722</v>
      </c>
      <c r="D1416" s="28">
        <f>CEILING(C1416/$H$3,1)*CEILING($H$2/$H$3,1)/CEILING($H$2/$H$3,1)</f>
        <v>7</v>
      </c>
      <c r="E1416" s="28">
        <f>CEILING(C1416/$H$3,1)*CEILING($H$2/$H$3,1)/CEILING(C1416/$H$3,1)</f>
        <v>1</v>
      </c>
      <c r="F1416" s="28">
        <f>$B$5/D1416/B1416*E1416</f>
        <v>1.6585714285714286</v>
      </c>
    </row>
    <row r="1417" spans="1:6" x14ac:dyDescent="0.4">
      <c r="A1417" s="28">
        <f t="shared" si="43"/>
        <v>1701</v>
      </c>
      <c r="B1417" s="28">
        <f t="shared" si="42"/>
        <v>0.11621150493898896</v>
      </c>
      <c r="C1417" s="28">
        <f>A1417+$E$6</f>
        <v>1723</v>
      </c>
      <c r="D1417" s="28">
        <f>CEILING(C1417/$H$3,1)*CEILING($H$2/$H$3,1)/CEILING($H$2/$H$3,1)</f>
        <v>7</v>
      </c>
      <c r="E1417" s="28">
        <f>CEILING(C1417/$H$3,1)*CEILING($H$2/$H$3,1)/CEILING(C1417/$H$3,1)</f>
        <v>1</v>
      </c>
      <c r="F1417" s="28">
        <f>$B$5/D1417/B1417*E1417</f>
        <v>1.6595357142857143</v>
      </c>
    </row>
    <row r="1418" spans="1:6" x14ac:dyDescent="0.4">
      <c r="A1418" s="28">
        <f t="shared" si="43"/>
        <v>1702</v>
      </c>
      <c r="B1418" s="28">
        <f t="shared" si="42"/>
        <v>0.11614401858304298</v>
      </c>
      <c r="C1418" s="28">
        <f>A1418+$E$6</f>
        <v>1724</v>
      </c>
      <c r="D1418" s="28">
        <f>CEILING(C1418/$H$3,1)*CEILING($H$2/$H$3,1)/CEILING($H$2/$H$3,1)</f>
        <v>7</v>
      </c>
      <c r="E1418" s="28">
        <f>CEILING(C1418/$H$3,1)*CEILING($H$2/$H$3,1)/CEILING(C1418/$H$3,1)</f>
        <v>1</v>
      </c>
      <c r="F1418" s="28">
        <f>$B$5/D1418/B1418*E1418</f>
        <v>1.6605000000000001</v>
      </c>
    </row>
    <row r="1419" spans="1:6" x14ac:dyDescent="0.4">
      <c r="A1419" s="28">
        <f t="shared" si="43"/>
        <v>1703</v>
      </c>
      <c r="B1419" s="28">
        <f t="shared" ref="B1419:B1482" si="44">$B$4/8/(A1419+$B$2)</f>
        <v>0.11607661056297155</v>
      </c>
      <c r="C1419" s="28">
        <f>A1419+$E$6</f>
        <v>1725</v>
      </c>
      <c r="D1419" s="28">
        <f>CEILING(C1419/$H$3,1)*CEILING($H$2/$H$3,1)/CEILING($H$2/$H$3,1)</f>
        <v>7</v>
      </c>
      <c r="E1419" s="28">
        <f>CEILING(C1419/$H$3,1)*CEILING($H$2/$H$3,1)/CEILING(C1419/$H$3,1)</f>
        <v>1</v>
      </c>
      <c r="F1419" s="28">
        <f>$B$5/D1419/B1419*E1419</f>
        <v>1.6614642857142858</v>
      </c>
    </row>
    <row r="1420" spans="1:6" x14ac:dyDescent="0.4">
      <c r="A1420" s="28">
        <f t="shared" si="43"/>
        <v>1704</v>
      </c>
      <c r="B1420" s="28">
        <f t="shared" si="44"/>
        <v>0.11600928074245939</v>
      </c>
      <c r="C1420" s="28">
        <f>A1420+$E$6</f>
        <v>1726</v>
      </c>
      <c r="D1420" s="28">
        <f>CEILING(C1420/$H$3,1)*CEILING($H$2/$H$3,1)/CEILING($H$2/$H$3,1)</f>
        <v>7</v>
      </c>
      <c r="E1420" s="28">
        <f>CEILING(C1420/$H$3,1)*CEILING($H$2/$H$3,1)/CEILING(C1420/$H$3,1)</f>
        <v>1</v>
      </c>
      <c r="F1420" s="28">
        <f>$B$5/D1420/B1420*E1420</f>
        <v>1.6624285714285716</v>
      </c>
    </row>
    <row r="1421" spans="1:6" x14ac:dyDescent="0.4">
      <c r="A1421" s="28">
        <f t="shared" ref="A1421:A1484" si="45">A1420+$B$3</f>
        <v>1705</v>
      </c>
      <c r="B1421" s="28">
        <f t="shared" si="44"/>
        <v>0.11594202898550725</v>
      </c>
      <c r="C1421" s="28">
        <f>A1421+$E$6</f>
        <v>1727</v>
      </c>
      <c r="D1421" s="28">
        <f>CEILING(C1421/$H$3,1)*CEILING($H$2/$H$3,1)/CEILING($H$2/$H$3,1)</f>
        <v>7</v>
      </c>
      <c r="E1421" s="28">
        <f>CEILING(C1421/$H$3,1)*CEILING($H$2/$H$3,1)/CEILING(C1421/$H$3,1)</f>
        <v>1</v>
      </c>
      <c r="F1421" s="28">
        <f>$B$5/D1421/B1421*E1421</f>
        <v>1.6633928571428571</v>
      </c>
    </row>
    <row r="1422" spans="1:6" x14ac:dyDescent="0.4">
      <c r="A1422" s="28">
        <f t="shared" si="45"/>
        <v>1706</v>
      </c>
      <c r="B1422" s="28">
        <f t="shared" si="44"/>
        <v>0.11587485515643106</v>
      </c>
      <c r="C1422" s="28">
        <f>A1422+$E$6</f>
        <v>1728</v>
      </c>
      <c r="D1422" s="28">
        <f>CEILING(C1422/$H$3,1)*CEILING($H$2/$H$3,1)/CEILING($H$2/$H$3,1)</f>
        <v>7</v>
      </c>
      <c r="E1422" s="28">
        <f>CEILING(C1422/$H$3,1)*CEILING($H$2/$H$3,1)/CEILING(C1422/$H$3,1)</f>
        <v>1</v>
      </c>
      <c r="F1422" s="28">
        <f>$B$5/D1422/B1422*E1422</f>
        <v>1.6643571428571429</v>
      </c>
    </row>
    <row r="1423" spans="1:6" x14ac:dyDescent="0.4">
      <c r="A1423" s="28">
        <f t="shared" si="45"/>
        <v>1707</v>
      </c>
      <c r="B1423" s="28">
        <f t="shared" si="44"/>
        <v>0.11580775911986103</v>
      </c>
      <c r="C1423" s="28">
        <f>A1423+$E$6</f>
        <v>1729</v>
      </c>
      <c r="D1423" s="28">
        <f>CEILING(C1423/$H$3,1)*CEILING($H$2/$H$3,1)/CEILING($H$2/$H$3,1)</f>
        <v>7</v>
      </c>
      <c r="E1423" s="28">
        <f>CEILING(C1423/$H$3,1)*CEILING($H$2/$H$3,1)/CEILING(C1423/$H$3,1)</f>
        <v>1</v>
      </c>
      <c r="F1423" s="28">
        <f>$B$5/D1423/B1423*E1423</f>
        <v>1.6653214285714286</v>
      </c>
    </row>
    <row r="1424" spans="1:6" x14ac:dyDescent="0.4">
      <c r="A1424" s="28">
        <f t="shared" si="45"/>
        <v>1708</v>
      </c>
      <c r="B1424" s="28">
        <f t="shared" si="44"/>
        <v>0.11574074074074074</v>
      </c>
      <c r="C1424" s="28">
        <f>A1424+$E$6</f>
        <v>1730</v>
      </c>
      <c r="D1424" s="28">
        <f>CEILING(C1424/$H$3,1)*CEILING($H$2/$H$3,1)/CEILING($H$2/$H$3,1)</f>
        <v>7</v>
      </c>
      <c r="E1424" s="28">
        <f>CEILING(C1424/$H$3,1)*CEILING($H$2/$H$3,1)/CEILING(C1424/$H$3,1)</f>
        <v>1</v>
      </c>
      <c r="F1424" s="28">
        <f>$B$5/D1424/B1424*E1424</f>
        <v>1.6662857142857144</v>
      </c>
    </row>
    <row r="1425" spans="1:6" x14ac:dyDescent="0.4">
      <c r="A1425" s="28">
        <f t="shared" si="45"/>
        <v>1709</v>
      </c>
      <c r="B1425" s="28">
        <f t="shared" si="44"/>
        <v>0.1156737998843262</v>
      </c>
      <c r="C1425" s="28">
        <f>A1425+$E$6</f>
        <v>1731</v>
      </c>
      <c r="D1425" s="28">
        <f>CEILING(C1425/$H$3,1)*CEILING($H$2/$H$3,1)/CEILING($H$2/$H$3,1)</f>
        <v>7</v>
      </c>
      <c r="E1425" s="28">
        <f>CEILING(C1425/$H$3,1)*CEILING($H$2/$H$3,1)/CEILING(C1425/$H$3,1)</f>
        <v>1</v>
      </c>
      <c r="F1425" s="28">
        <f>$B$5/D1425/B1425*E1425</f>
        <v>1.6672500000000001</v>
      </c>
    </row>
    <row r="1426" spans="1:6" x14ac:dyDescent="0.4">
      <c r="A1426" s="28">
        <f t="shared" si="45"/>
        <v>1710</v>
      </c>
      <c r="B1426" s="28">
        <f t="shared" si="44"/>
        <v>0.11560693641618497</v>
      </c>
      <c r="C1426" s="28">
        <f>A1426+$E$6</f>
        <v>1732</v>
      </c>
      <c r="D1426" s="28">
        <f>CEILING(C1426/$H$3,1)*CEILING($H$2/$H$3,1)/CEILING($H$2/$H$3,1)</f>
        <v>7</v>
      </c>
      <c r="E1426" s="28">
        <f>CEILING(C1426/$H$3,1)*CEILING($H$2/$H$3,1)/CEILING(C1426/$H$3,1)</f>
        <v>1</v>
      </c>
      <c r="F1426" s="28">
        <f>$B$5/D1426/B1426*E1426</f>
        <v>1.6682142857142859</v>
      </c>
    </row>
    <row r="1427" spans="1:6" x14ac:dyDescent="0.4">
      <c r="A1427" s="28">
        <f t="shared" si="45"/>
        <v>1711</v>
      </c>
      <c r="B1427" s="28">
        <f t="shared" si="44"/>
        <v>0.11554015020219527</v>
      </c>
      <c r="C1427" s="28">
        <f>A1427+$E$6</f>
        <v>1733</v>
      </c>
      <c r="D1427" s="28">
        <f>CEILING(C1427/$H$3,1)*CEILING($H$2/$H$3,1)/CEILING($H$2/$H$3,1)</f>
        <v>7</v>
      </c>
      <c r="E1427" s="28">
        <f>CEILING(C1427/$H$3,1)*CEILING($H$2/$H$3,1)/CEILING(C1427/$H$3,1)</f>
        <v>1</v>
      </c>
      <c r="F1427" s="28">
        <f>$B$5/D1427/B1427*E1427</f>
        <v>1.6691785714285714</v>
      </c>
    </row>
    <row r="1428" spans="1:6" x14ac:dyDescent="0.4">
      <c r="A1428" s="28">
        <f t="shared" si="45"/>
        <v>1712</v>
      </c>
      <c r="B1428" s="28">
        <f t="shared" si="44"/>
        <v>0.11547344110854503</v>
      </c>
      <c r="C1428" s="28">
        <f>A1428+$E$6</f>
        <v>1734</v>
      </c>
      <c r="D1428" s="28">
        <f>CEILING(C1428/$H$3,1)*CEILING($H$2/$H$3,1)/CEILING($H$2/$H$3,1)</f>
        <v>7</v>
      </c>
      <c r="E1428" s="28">
        <f>CEILING(C1428/$H$3,1)*CEILING($H$2/$H$3,1)/CEILING(C1428/$H$3,1)</f>
        <v>1</v>
      </c>
      <c r="F1428" s="28">
        <f>$B$5/D1428/B1428*E1428</f>
        <v>1.6701428571428574</v>
      </c>
    </row>
    <row r="1429" spans="1:6" x14ac:dyDescent="0.4">
      <c r="A1429" s="28">
        <f t="shared" si="45"/>
        <v>1713</v>
      </c>
      <c r="B1429" s="28">
        <f t="shared" si="44"/>
        <v>0.1154068090017311</v>
      </c>
      <c r="C1429" s="28">
        <f>A1429+$E$6</f>
        <v>1735</v>
      </c>
      <c r="D1429" s="28">
        <f>CEILING(C1429/$H$3,1)*CEILING($H$2/$H$3,1)/CEILING($H$2/$H$3,1)</f>
        <v>7</v>
      </c>
      <c r="E1429" s="28">
        <f>CEILING(C1429/$H$3,1)*CEILING($H$2/$H$3,1)/CEILING(C1429/$H$3,1)</f>
        <v>1</v>
      </c>
      <c r="F1429" s="28">
        <f>$B$5/D1429/B1429*E1429</f>
        <v>1.6711071428571429</v>
      </c>
    </row>
    <row r="1430" spans="1:6" x14ac:dyDescent="0.4">
      <c r="A1430" s="28">
        <f t="shared" si="45"/>
        <v>1714</v>
      </c>
      <c r="B1430" s="28">
        <f t="shared" si="44"/>
        <v>0.11534025374855825</v>
      </c>
      <c r="C1430" s="28">
        <f>A1430+$E$6</f>
        <v>1736</v>
      </c>
      <c r="D1430" s="28">
        <f>CEILING(C1430/$H$3,1)*CEILING($H$2/$H$3,1)/CEILING($H$2/$H$3,1)</f>
        <v>7</v>
      </c>
      <c r="E1430" s="28">
        <f>CEILING(C1430/$H$3,1)*CEILING($H$2/$H$3,1)/CEILING(C1430/$H$3,1)</f>
        <v>1</v>
      </c>
      <c r="F1430" s="28">
        <f>$B$5/D1430/B1430*E1430</f>
        <v>1.6720714285714287</v>
      </c>
    </row>
    <row r="1431" spans="1:6" x14ac:dyDescent="0.4">
      <c r="A1431" s="28">
        <f t="shared" si="45"/>
        <v>1715</v>
      </c>
      <c r="B1431" s="28">
        <f t="shared" si="44"/>
        <v>0.11527377521613832</v>
      </c>
      <c r="C1431" s="28">
        <f>A1431+$E$6</f>
        <v>1737</v>
      </c>
      <c r="D1431" s="28">
        <f>CEILING(C1431/$H$3,1)*CEILING($H$2/$H$3,1)/CEILING($H$2/$H$3,1)</f>
        <v>7</v>
      </c>
      <c r="E1431" s="28">
        <f>CEILING(C1431/$H$3,1)*CEILING($H$2/$H$3,1)/CEILING(C1431/$H$3,1)</f>
        <v>1</v>
      </c>
      <c r="F1431" s="28">
        <f>$B$5/D1431/B1431*E1431</f>
        <v>1.6730357142857144</v>
      </c>
    </row>
    <row r="1432" spans="1:6" x14ac:dyDescent="0.4">
      <c r="A1432" s="28">
        <f t="shared" si="45"/>
        <v>1716</v>
      </c>
      <c r="B1432" s="28">
        <f t="shared" si="44"/>
        <v>0.1152073732718894</v>
      </c>
      <c r="C1432" s="28">
        <f>A1432+$E$6</f>
        <v>1738</v>
      </c>
      <c r="D1432" s="28">
        <f>CEILING(C1432/$H$3,1)*CEILING($H$2/$H$3,1)/CEILING($H$2/$H$3,1)</f>
        <v>7</v>
      </c>
      <c r="E1432" s="28">
        <f>CEILING(C1432/$H$3,1)*CEILING($H$2/$H$3,1)/CEILING(C1432/$H$3,1)</f>
        <v>1</v>
      </c>
      <c r="F1432" s="28">
        <f>$B$5/D1432/B1432*E1432</f>
        <v>1.6740000000000002</v>
      </c>
    </row>
    <row r="1433" spans="1:6" x14ac:dyDescent="0.4">
      <c r="A1433" s="28">
        <f t="shared" si="45"/>
        <v>1717</v>
      </c>
      <c r="B1433" s="28">
        <f t="shared" si="44"/>
        <v>0.11514104778353483</v>
      </c>
      <c r="C1433" s="28">
        <f>A1433+$E$6</f>
        <v>1739</v>
      </c>
      <c r="D1433" s="28">
        <f>CEILING(C1433/$H$3,1)*CEILING($H$2/$H$3,1)/CEILING($H$2/$H$3,1)</f>
        <v>7</v>
      </c>
      <c r="E1433" s="28">
        <f>CEILING(C1433/$H$3,1)*CEILING($H$2/$H$3,1)/CEILING(C1433/$H$3,1)</f>
        <v>1</v>
      </c>
      <c r="F1433" s="28">
        <f>$B$5/D1433/B1433*E1433</f>
        <v>1.6749642857142857</v>
      </c>
    </row>
    <row r="1434" spans="1:6" x14ac:dyDescent="0.4">
      <c r="A1434" s="28">
        <f t="shared" si="45"/>
        <v>1718</v>
      </c>
      <c r="B1434" s="28">
        <f t="shared" si="44"/>
        <v>0.11507479861910241</v>
      </c>
      <c r="C1434" s="28">
        <f>A1434+$E$6</f>
        <v>1740</v>
      </c>
      <c r="D1434" s="28">
        <f>CEILING(C1434/$H$3,1)*CEILING($H$2/$H$3,1)/CEILING($H$2/$H$3,1)</f>
        <v>7</v>
      </c>
      <c r="E1434" s="28">
        <f>CEILING(C1434/$H$3,1)*CEILING($H$2/$H$3,1)/CEILING(C1434/$H$3,1)</f>
        <v>1</v>
      </c>
      <c r="F1434" s="28">
        <f>$B$5/D1434/B1434*E1434</f>
        <v>1.6759285714285714</v>
      </c>
    </row>
    <row r="1435" spans="1:6" x14ac:dyDescent="0.4">
      <c r="A1435" s="28">
        <f t="shared" si="45"/>
        <v>1719</v>
      </c>
      <c r="B1435" s="28">
        <f t="shared" si="44"/>
        <v>0.11500862564692352</v>
      </c>
      <c r="C1435" s="28">
        <f>A1435+$E$6</f>
        <v>1741</v>
      </c>
      <c r="D1435" s="28">
        <f>CEILING(C1435/$H$3,1)*CEILING($H$2/$H$3,1)/CEILING($H$2/$H$3,1)</f>
        <v>7</v>
      </c>
      <c r="E1435" s="28">
        <f>CEILING(C1435/$H$3,1)*CEILING($H$2/$H$3,1)/CEILING(C1435/$H$3,1)</f>
        <v>1</v>
      </c>
      <c r="F1435" s="28">
        <f>$B$5/D1435/B1435*E1435</f>
        <v>1.6768928571428572</v>
      </c>
    </row>
    <row r="1436" spans="1:6" x14ac:dyDescent="0.4">
      <c r="A1436" s="28">
        <f t="shared" si="45"/>
        <v>1720</v>
      </c>
      <c r="B1436" s="28">
        <f t="shared" si="44"/>
        <v>0.11494252873563218</v>
      </c>
      <c r="C1436" s="28">
        <f>A1436+$E$6</f>
        <v>1742</v>
      </c>
      <c r="D1436" s="28">
        <f>CEILING(C1436/$H$3,1)*CEILING($H$2/$H$3,1)/CEILING($H$2/$H$3,1)</f>
        <v>7</v>
      </c>
      <c r="E1436" s="28">
        <f>CEILING(C1436/$H$3,1)*CEILING($H$2/$H$3,1)/CEILING(C1436/$H$3,1)</f>
        <v>1</v>
      </c>
      <c r="F1436" s="28">
        <f>$B$5/D1436/B1436*E1436</f>
        <v>1.6778571428571429</v>
      </c>
    </row>
    <row r="1437" spans="1:6" x14ac:dyDescent="0.4">
      <c r="A1437" s="28">
        <f t="shared" si="45"/>
        <v>1721</v>
      </c>
      <c r="B1437" s="28">
        <f t="shared" si="44"/>
        <v>0.11487650775416428</v>
      </c>
      <c r="C1437" s="28">
        <f>A1437+$E$6</f>
        <v>1743</v>
      </c>
      <c r="D1437" s="28">
        <f>CEILING(C1437/$H$3,1)*CEILING($H$2/$H$3,1)/CEILING($H$2/$H$3,1)</f>
        <v>7</v>
      </c>
      <c r="E1437" s="28">
        <f>CEILING(C1437/$H$3,1)*CEILING($H$2/$H$3,1)/CEILING(C1437/$H$3,1)</f>
        <v>1</v>
      </c>
      <c r="F1437" s="28">
        <f>$B$5/D1437/B1437*E1437</f>
        <v>1.6788214285714287</v>
      </c>
    </row>
    <row r="1438" spans="1:6" x14ac:dyDescent="0.4">
      <c r="A1438" s="28">
        <f t="shared" si="45"/>
        <v>1722</v>
      </c>
      <c r="B1438" s="28">
        <f t="shared" si="44"/>
        <v>0.11481056257175661</v>
      </c>
      <c r="C1438" s="28">
        <f>A1438+$E$6</f>
        <v>1744</v>
      </c>
      <c r="D1438" s="28">
        <f>CEILING(C1438/$H$3,1)*CEILING($H$2/$H$3,1)/CEILING($H$2/$H$3,1)</f>
        <v>7</v>
      </c>
      <c r="E1438" s="28">
        <f>CEILING(C1438/$H$3,1)*CEILING($H$2/$H$3,1)/CEILING(C1438/$H$3,1)</f>
        <v>1</v>
      </c>
      <c r="F1438" s="28">
        <f>$B$5/D1438/B1438*E1438</f>
        <v>1.6797857142857142</v>
      </c>
    </row>
    <row r="1439" spans="1:6" x14ac:dyDescent="0.4">
      <c r="A1439" s="28">
        <f t="shared" si="45"/>
        <v>1723</v>
      </c>
      <c r="B1439" s="28">
        <f t="shared" si="44"/>
        <v>0.11474469305794607</v>
      </c>
      <c r="C1439" s="28">
        <f>A1439+$E$6</f>
        <v>1745</v>
      </c>
      <c r="D1439" s="28">
        <f>CEILING(C1439/$H$3,1)*CEILING($H$2/$H$3,1)/CEILING($H$2/$H$3,1)</f>
        <v>7</v>
      </c>
      <c r="E1439" s="28">
        <f>CEILING(C1439/$H$3,1)*CEILING($H$2/$H$3,1)/CEILING(C1439/$H$3,1)</f>
        <v>1</v>
      </c>
      <c r="F1439" s="28">
        <f>$B$5/D1439/B1439*E1439</f>
        <v>1.68075</v>
      </c>
    </row>
    <row r="1440" spans="1:6" x14ac:dyDescent="0.4">
      <c r="A1440" s="28">
        <f t="shared" si="45"/>
        <v>1724</v>
      </c>
      <c r="B1440" s="28">
        <f t="shared" si="44"/>
        <v>0.11467889908256881</v>
      </c>
      <c r="C1440" s="28">
        <f>A1440+$E$6</f>
        <v>1746</v>
      </c>
      <c r="D1440" s="28">
        <f>CEILING(C1440/$H$3,1)*CEILING($H$2/$H$3,1)/CEILING($H$2/$H$3,1)</f>
        <v>7</v>
      </c>
      <c r="E1440" s="28">
        <f>CEILING(C1440/$H$3,1)*CEILING($H$2/$H$3,1)/CEILING(C1440/$H$3,1)</f>
        <v>1</v>
      </c>
      <c r="F1440" s="28">
        <f>$B$5/D1440/B1440*E1440</f>
        <v>1.6817142857142857</v>
      </c>
    </row>
    <row r="1441" spans="1:6" x14ac:dyDescent="0.4">
      <c r="A1441" s="28">
        <f t="shared" si="45"/>
        <v>1725</v>
      </c>
      <c r="B1441" s="28">
        <f t="shared" si="44"/>
        <v>0.11461318051575932</v>
      </c>
      <c r="C1441" s="28">
        <f>A1441+$E$6</f>
        <v>1747</v>
      </c>
      <c r="D1441" s="28">
        <f>CEILING(C1441/$H$3,1)*CEILING($H$2/$H$3,1)/CEILING($H$2/$H$3,1)</f>
        <v>7</v>
      </c>
      <c r="E1441" s="28">
        <f>CEILING(C1441/$H$3,1)*CEILING($H$2/$H$3,1)/CEILING(C1441/$H$3,1)</f>
        <v>1</v>
      </c>
      <c r="F1441" s="28">
        <f>$B$5/D1441/B1441*E1441</f>
        <v>1.6826785714285715</v>
      </c>
    </row>
    <row r="1442" spans="1:6" x14ac:dyDescent="0.4">
      <c r="A1442" s="28">
        <f t="shared" si="45"/>
        <v>1726</v>
      </c>
      <c r="B1442" s="28">
        <f t="shared" si="44"/>
        <v>0.11454753722794959</v>
      </c>
      <c r="C1442" s="28">
        <f>A1442+$E$6</f>
        <v>1748</v>
      </c>
      <c r="D1442" s="28">
        <f>CEILING(C1442/$H$3,1)*CEILING($H$2/$H$3,1)/CEILING($H$2/$H$3,1)</f>
        <v>7</v>
      </c>
      <c r="E1442" s="28">
        <f>CEILING(C1442/$H$3,1)*CEILING($H$2/$H$3,1)/CEILING(C1442/$H$3,1)</f>
        <v>1</v>
      </c>
      <c r="F1442" s="28">
        <f>$B$5/D1442/B1442*E1442</f>
        <v>1.6836428571428572</v>
      </c>
    </row>
    <row r="1443" spans="1:6" x14ac:dyDescent="0.4">
      <c r="A1443" s="28">
        <f t="shared" si="45"/>
        <v>1727</v>
      </c>
      <c r="B1443" s="28">
        <f t="shared" si="44"/>
        <v>0.11448196908986835</v>
      </c>
      <c r="C1443" s="28">
        <f>A1443+$E$6</f>
        <v>1749</v>
      </c>
      <c r="D1443" s="28">
        <f>CEILING(C1443/$H$3,1)*CEILING($H$2/$H$3,1)/CEILING($H$2/$H$3,1)</f>
        <v>7</v>
      </c>
      <c r="E1443" s="28">
        <f>CEILING(C1443/$H$3,1)*CEILING($H$2/$H$3,1)/CEILING(C1443/$H$3,1)</f>
        <v>1</v>
      </c>
      <c r="F1443" s="28">
        <f>$B$5/D1443/B1443*E1443</f>
        <v>1.6846071428571427</v>
      </c>
    </row>
    <row r="1444" spans="1:6" x14ac:dyDescent="0.4">
      <c r="A1444" s="28">
        <f t="shared" si="45"/>
        <v>1728</v>
      </c>
      <c r="B1444" s="28">
        <f t="shared" si="44"/>
        <v>0.11441647597254005</v>
      </c>
      <c r="C1444" s="28">
        <f>A1444+$E$6</f>
        <v>1750</v>
      </c>
      <c r="D1444" s="28">
        <f>CEILING(C1444/$H$3,1)*CEILING($H$2/$H$3,1)/CEILING($H$2/$H$3,1)</f>
        <v>7</v>
      </c>
      <c r="E1444" s="28">
        <f>CEILING(C1444/$H$3,1)*CEILING($H$2/$H$3,1)/CEILING(C1444/$H$3,1)</f>
        <v>1</v>
      </c>
      <c r="F1444" s="28">
        <f>$B$5/D1444/B1444*E1444</f>
        <v>1.6855714285714285</v>
      </c>
    </row>
    <row r="1445" spans="1:6" x14ac:dyDescent="0.4">
      <c r="A1445" s="28">
        <f t="shared" si="45"/>
        <v>1729</v>
      </c>
      <c r="B1445" s="28">
        <f t="shared" si="44"/>
        <v>0.11435105774728416</v>
      </c>
      <c r="C1445" s="28">
        <f>A1445+$E$6</f>
        <v>1751</v>
      </c>
      <c r="D1445" s="28">
        <f>CEILING(C1445/$H$3,1)*CEILING($H$2/$H$3,1)/CEILING($H$2/$H$3,1)</f>
        <v>7</v>
      </c>
      <c r="E1445" s="28">
        <f>CEILING(C1445/$H$3,1)*CEILING($H$2/$H$3,1)/CEILING(C1445/$H$3,1)</f>
        <v>1</v>
      </c>
      <c r="F1445" s="28">
        <f>$B$5/D1445/B1445*E1445</f>
        <v>1.6865357142857145</v>
      </c>
    </row>
    <row r="1446" spans="1:6" x14ac:dyDescent="0.4">
      <c r="A1446" s="28">
        <f t="shared" si="45"/>
        <v>1730</v>
      </c>
      <c r="B1446" s="28">
        <f t="shared" si="44"/>
        <v>0.11428571428571428</v>
      </c>
      <c r="C1446" s="28">
        <f>A1446+$E$6</f>
        <v>1752</v>
      </c>
      <c r="D1446" s="28">
        <f>CEILING(C1446/$H$3,1)*CEILING($H$2/$H$3,1)/CEILING($H$2/$H$3,1)</f>
        <v>7</v>
      </c>
      <c r="E1446" s="28">
        <f>CEILING(C1446/$H$3,1)*CEILING($H$2/$H$3,1)/CEILING(C1446/$H$3,1)</f>
        <v>1</v>
      </c>
      <c r="F1446" s="28">
        <f>$B$5/D1446/B1446*E1446</f>
        <v>1.6875000000000002</v>
      </c>
    </row>
    <row r="1447" spans="1:6" x14ac:dyDescent="0.4">
      <c r="A1447" s="28">
        <f t="shared" si="45"/>
        <v>1731</v>
      </c>
      <c r="B1447" s="28">
        <f t="shared" si="44"/>
        <v>0.11422044545973729</v>
      </c>
      <c r="C1447" s="28">
        <f>A1447+$E$6</f>
        <v>1753</v>
      </c>
      <c r="D1447" s="28">
        <f>CEILING(C1447/$H$3,1)*CEILING($H$2/$H$3,1)/CEILING($H$2/$H$3,1)</f>
        <v>7</v>
      </c>
      <c r="E1447" s="28">
        <f>CEILING(C1447/$H$3,1)*CEILING($H$2/$H$3,1)/CEILING(C1447/$H$3,1)</f>
        <v>1</v>
      </c>
      <c r="F1447" s="28">
        <f>$B$5/D1447/B1447*E1447</f>
        <v>1.6884642857142858</v>
      </c>
    </row>
    <row r="1448" spans="1:6" x14ac:dyDescent="0.4">
      <c r="A1448" s="28">
        <f t="shared" si="45"/>
        <v>1732</v>
      </c>
      <c r="B1448" s="28">
        <f t="shared" si="44"/>
        <v>0.11415525114155251</v>
      </c>
      <c r="C1448" s="28">
        <f>A1448+$E$6</f>
        <v>1754</v>
      </c>
      <c r="D1448" s="28">
        <f>CEILING(C1448/$H$3,1)*CEILING($H$2/$H$3,1)/CEILING($H$2/$H$3,1)</f>
        <v>7</v>
      </c>
      <c r="E1448" s="28">
        <f>CEILING(C1448/$H$3,1)*CEILING($H$2/$H$3,1)/CEILING(C1448/$H$3,1)</f>
        <v>1</v>
      </c>
      <c r="F1448" s="28">
        <f>$B$5/D1448/B1448*E1448</f>
        <v>1.6894285714285715</v>
      </c>
    </row>
    <row r="1449" spans="1:6" x14ac:dyDescent="0.4">
      <c r="A1449" s="28">
        <f t="shared" si="45"/>
        <v>1733</v>
      </c>
      <c r="B1449" s="28">
        <f t="shared" si="44"/>
        <v>0.11409013120365089</v>
      </c>
      <c r="C1449" s="28">
        <f>A1449+$E$6</f>
        <v>1755</v>
      </c>
      <c r="D1449" s="28">
        <f>CEILING(C1449/$H$3,1)*CEILING($H$2/$H$3,1)/CEILING($H$2/$H$3,1)</f>
        <v>7</v>
      </c>
      <c r="E1449" s="28">
        <f>CEILING(C1449/$H$3,1)*CEILING($H$2/$H$3,1)/CEILING(C1449/$H$3,1)</f>
        <v>1</v>
      </c>
      <c r="F1449" s="28">
        <f>$B$5/D1449/B1449*E1449</f>
        <v>1.6903928571428573</v>
      </c>
    </row>
    <row r="1450" spans="1:6" x14ac:dyDescent="0.4">
      <c r="A1450" s="28">
        <f t="shared" si="45"/>
        <v>1734</v>
      </c>
      <c r="B1450" s="28">
        <f t="shared" si="44"/>
        <v>0.11402508551881414</v>
      </c>
      <c r="C1450" s="28">
        <f>A1450+$E$6</f>
        <v>1756</v>
      </c>
      <c r="D1450" s="28">
        <f>CEILING(C1450/$H$3,1)*CEILING($H$2/$H$3,1)/CEILING($H$2/$H$3,1)</f>
        <v>7</v>
      </c>
      <c r="E1450" s="28">
        <f>CEILING(C1450/$H$3,1)*CEILING($H$2/$H$3,1)/CEILING(C1450/$H$3,1)</f>
        <v>1</v>
      </c>
      <c r="F1450" s="28">
        <f>$B$5/D1450/B1450*E1450</f>
        <v>1.6913571428571428</v>
      </c>
    </row>
    <row r="1451" spans="1:6" x14ac:dyDescent="0.4">
      <c r="A1451" s="28">
        <f t="shared" si="45"/>
        <v>1735</v>
      </c>
      <c r="B1451" s="28">
        <f t="shared" si="44"/>
        <v>0.11396011396011396</v>
      </c>
      <c r="C1451" s="28">
        <f>A1451+$E$6</f>
        <v>1757</v>
      </c>
      <c r="D1451" s="28">
        <f>CEILING(C1451/$H$3,1)*CEILING($H$2/$H$3,1)/CEILING($H$2/$H$3,1)</f>
        <v>7</v>
      </c>
      <c r="E1451" s="28">
        <f>CEILING(C1451/$H$3,1)*CEILING($H$2/$H$3,1)/CEILING(C1451/$H$3,1)</f>
        <v>1</v>
      </c>
      <c r="F1451" s="28">
        <f>$B$5/D1451/B1451*E1451</f>
        <v>1.6923214285714285</v>
      </c>
    </row>
    <row r="1452" spans="1:6" x14ac:dyDescent="0.4">
      <c r="A1452" s="28">
        <f t="shared" si="45"/>
        <v>1736</v>
      </c>
      <c r="B1452" s="28">
        <f t="shared" si="44"/>
        <v>0.11389521640091116</v>
      </c>
      <c r="C1452" s="28">
        <f>A1452+$E$6</f>
        <v>1758</v>
      </c>
      <c r="D1452" s="28">
        <f>CEILING(C1452/$H$3,1)*CEILING($H$2/$H$3,1)/CEILING($H$2/$H$3,1)</f>
        <v>7</v>
      </c>
      <c r="E1452" s="28">
        <f>CEILING(C1452/$H$3,1)*CEILING($H$2/$H$3,1)/CEILING(C1452/$H$3,1)</f>
        <v>1</v>
      </c>
      <c r="F1452" s="28">
        <f>$B$5/D1452/B1452*E1452</f>
        <v>1.6932857142857145</v>
      </c>
    </row>
    <row r="1453" spans="1:6" x14ac:dyDescent="0.4">
      <c r="A1453" s="28">
        <f t="shared" si="45"/>
        <v>1737</v>
      </c>
      <c r="B1453" s="28">
        <f t="shared" si="44"/>
        <v>0.11383039271485487</v>
      </c>
      <c r="C1453" s="28">
        <f>A1453+$E$6</f>
        <v>1759</v>
      </c>
      <c r="D1453" s="28">
        <f>CEILING(C1453/$H$3,1)*CEILING($H$2/$H$3,1)/CEILING($H$2/$H$3,1)</f>
        <v>7</v>
      </c>
      <c r="E1453" s="28">
        <f>CEILING(C1453/$H$3,1)*CEILING($H$2/$H$3,1)/CEILING(C1453/$H$3,1)</f>
        <v>1</v>
      </c>
      <c r="F1453" s="28">
        <f>$B$5/D1453/B1453*E1453</f>
        <v>1.69425</v>
      </c>
    </row>
    <row r="1454" spans="1:6" x14ac:dyDescent="0.4">
      <c r="A1454" s="28">
        <f t="shared" si="45"/>
        <v>1738</v>
      </c>
      <c r="B1454" s="28">
        <f t="shared" si="44"/>
        <v>0.11376564277588168</v>
      </c>
      <c r="C1454" s="28">
        <f>A1454+$E$6</f>
        <v>1760</v>
      </c>
      <c r="D1454" s="28">
        <f>CEILING(C1454/$H$3,1)*CEILING($H$2/$H$3,1)/CEILING($H$2/$H$3,1)</f>
        <v>7</v>
      </c>
      <c r="E1454" s="28">
        <f>CEILING(C1454/$H$3,1)*CEILING($H$2/$H$3,1)/CEILING(C1454/$H$3,1)</f>
        <v>1</v>
      </c>
      <c r="F1454" s="28">
        <f>$B$5/D1454/B1454*E1454</f>
        <v>1.6952142857142858</v>
      </c>
    </row>
    <row r="1455" spans="1:6" x14ac:dyDescent="0.4">
      <c r="A1455" s="28">
        <f t="shared" si="45"/>
        <v>1739</v>
      </c>
      <c r="B1455" s="28">
        <f t="shared" si="44"/>
        <v>0.1137009664582149</v>
      </c>
      <c r="C1455" s="28">
        <f>A1455+$E$6</f>
        <v>1761</v>
      </c>
      <c r="D1455" s="28">
        <f>CEILING(C1455/$H$3,1)*CEILING($H$2/$H$3,1)/CEILING($H$2/$H$3,1)</f>
        <v>7</v>
      </c>
      <c r="E1455" s="28">
        <f>CEILING(C1455/$H$3,1)*CEILING($H$2/$H$3,1)/CEILING(C1455/$H$3,1)</f>
        <v>1</v>
      </c>
      <c r="F1455" s="28">
        <f>$B$5/D1455/B1455*E1455</f>
        <v>1.6961785714285715</v>
      </c>
    </row>
    <row r="1456" spans="1:6" x14ac:dyDescent="0.4">
      <c r="A1456" s="28">
        <f t="shared" si="45"/>
        <v>1740</v>
      </c>
      <c r="B1456" s="28">
        <f t="shared" si="44"/>
        <v>0.11363636363636363</v>
      </c>
      <c r="C1456" s="28">
        <f>A1456+$E$6</f>
        <v>1762</v>
      </c>
      <c r="D1456" s="28">
        <f>CEILING(C1456/$H$3,1)*CEILING($H$2/$H$3,1)/CEILING($H$2/$H$3,1)</f>
        <v>7</v>
      </c>
      <c r="E1456" s="28">
        <f>CEILING(C1456/$H$3,1)*CEILING($H$2/$H$3,1)/CEILING(C1456/$H$3,1)</f>
        <v>1</v>
      </c>
      <c r="F1456" s="28">
        <f>$B$5/D1456/B1456*E1456</f>
        <v>1.6971428571428573</v>
      </c>
    </row>
    <row r="1457" spans="1:6" x14ac:dyDescent="0.4">
      <c r="A1457" s="28">
        <f t="shared" si="45"/>
        <v>1741</v>
      </c>
      <c r="B1457" s="28">
        <f t="shared" si="44"/>
        <v>0.11357183418512209</v>
      </c>
      <c r="C1457" s="28">
        <f>A1457+$E$6</f>
        <v>1763</v>
      </c>
      <c r="D1457" s="28">
        <f>CEILING(C1457/$H$3,1)*CEILING($H$2/$H$3,1)/CEILING($H$2/$H$3,1)</f>
        <v>7</v>
      </c>
      <c r="E1457" s="28">
        <f>CEILING(C1457/$H$3,1)*CEILING($H$2/$H$3,1)/CEILING(C1457/$H$3,1)</f>
        <v>1</v>
      </c>
      <c r="F1457" s="28">
        <f>$B$5/D1457/B1457*E1457</f>
        <v>1.6981071428571428</v>
      </c>
    </row>
    <row r="1458" spans="1:6" x14ac:dyDescent="0.4">
      <c r="A1458" s="28">
        <f t="shared" si="45"/>
        <v>1742</v>
      </c>
      <c r="B1458" s="28">
        <f t="shared" si="44"/>
        <v>0.11350737797956867</v>
      </c>
      <c r="C1458" s="28">
        <f>A1458+$E$6</f>
        <v>1764</v>
      </c>
      <c r="D1458" s="28">
        <f>CEILING(C1458/$H$3,1)*CEILING($H$2/$H$3,1)/CEILING($H$2/$H$3,1)</f>
        <v>7</v>
      </c>
      <c r="E1458" s="28">
        <f>CEILING(C1458/$H$3,1)*CEILING($H$2/$H$3,1)/CEILING(C1458/$H$3,1)</f>
        <v>1</v>
      </c>
      <c r="F1458" s="28">
        <f>$B$5/D1458/B1458*E1458</f>
        <v>1.6990714285714288</v>
      </c>
    </row>
    <row r="1459" spans="1:6" x14ac:dyDescent="0.4">
      <c r="A1459" s="28">
        <f t="shared" si="45"/>
        <v>1743</v>
      </c>
      <c r="B1459" s="28">
        <f t="shared" si="44"/>
        <v>0.11344299489506524</v>
      </c>
      <c r="C1459" s="28">
        <f>A1459+$E$6</f>
        <v>1765</v>
      </c>
      <c r="D1459" s="28">
        <f>CEILING(C1459/$H$3,1)*CEILING($H$2/$H$3,1)/CEILING($H$2/$H$3,1)</f>
        <v>7</v>
      </c>
      <c r="E1459" s="28">
        <f>CEILING(C1459/$H$3,1)*CEILING($H$2/$H$3,1)/CEILING(C1459/$H$3,1)</f>
        <v>1</v>
      </c>
      <c r="F1459" s="28">
        <f>$B$5/D1459/B1459*E1459</f>
        <v>1.7000357142857143</v>
      </c>
    </row>
    <row r="1460" spans="1:6" x14ac:dyDescent="0.4">
      <c r="A1460" s="28">
        <f t="shared" si="45"/>
        <v>1744</v>
      </c>
      <c r="B1460" s="28">
        <f t="shared" si="44"/>
        <v>0.11337868480725624</v>
      </c>
      <c r="C1460" s="28">
        <f>A1460+$E$6</f>
        <v>1766</v>
      </c>
      <c r="D1460" s="28">
        <f>CEILING(C1460/$H$3,1)*CEILING($H$2/$H$3,1)/CEILING($H$2/$H$3,1)</f>
        <v>7</v>
      </c>
      <c r="E1460" s="28">
        <f>CEILING(C1460/$H$3,1)*CEILING($H$2/$H$3,1)/CEILING(C1460/$H$3,1)</f>
        <v>1</v>
      </c>
      <c r="F1460" s="28">
        <f>$B$5/D1460/B1460*E1460</f>
        <v>1.7010000000000001</v>
      </c>
    </row>
    <row r="1461" spans="1:6" x14ac:dyDescent="0.4">
      <c r="A1461" s="28">
        <f t="shared" si="45"/>
        <v>1745</v>
      </c>
      <c r="B1461" s="28">
        <f t="shared" si="44"/>
        <v>0.11331444759206799</v>
      </c>
      <c r="C1461" s="28">
        <f>A1461+$E$6</f>
        <v>1767</v>
      </c>
      <c r="D1461" s="28">
        <f>CEILING(C1461/$H$3,1)*CEILING($H$2/$H$3,1)/CEILING($H$2/$H$3,1)</f>
        <v>7</v>
      </c>
      <c r="E1461" s="28">
        <f>CEILING(C1461/$H$3,1)*CEILING($H$2/$H$3,1)/CEILING(C1461/$H$3,1)</f>
        <v>1</v>
      </c>
      <c r="F1461" s="28">
        <f>$B$5/D1461/B1461*E1461</f>
        <v>1.7019642857142858</v>
      </c>
    </row>
    <row r="1462" spans="1:6" x14ac:dyDescent="0.4">
      <c r="A1462" s="28">
        <f t="shared" si="45"/>
        <v>1746</v>
      </c>
      <c r="B1462" s="28">
        <f t="shared" si="44"/>
        <v>0.11325028312570781</v>
      </c>
      <c r="C1462" s="28">
        <f>A1462+$E$6</f>
        <v>1768</v>
      </c>
      <c r="D1462" s="28">
        <f>CEILING(C1462/$H$3,1)*CEILING($H$2/$H$3,1)/CEILING($H$2/$H$3,1)</f>
        <v>7</v>
      </c>
      <c r="E1462" s="28">
        <f>CEILING(C1462/$H$3,1)*CEILING($H$2/$H$3,1)/CEILING(C1462/$H$3,1)</f>
        <v>1</v>
      </c>
      <c r="F1462" s="28">
        <f>$B$5/D1462/B1462*E1462</f>
        <v>1.7029285714285716</v>
      </c>
    </row>
    <row r="1463" spans="1:6" x14ac:dyDescent="0.4">
      <c r="A1463" s="28">
        <f t="shared" si="45"/>
        <v>1747</v>
      </c>
      <c r="B1463" s="28">
        <f t="shared" si="44"/>
        <v>0.11318619128466327</v>
      </c>
      <c r="C1463" s="28">
        <f>A1463+$E$6</f>
        <v>1769</v>
      </c>
      <c r="D1463" s="28">
        <f>CEILING(C1463/$H$3,1)*CEILING($H$2/$H$3,1)/CEILING($H$2/$H$3,1)</f>
        <v>7</v>
      </c>
      <c r="E1463" s="28">
        <f>CEILING(C1463/$H$3,1)*CEILING($H$2/$H$3,1)/CEILING(C1463/$H$3,1)</f>
        <v>1</v>
      </c>
      <c r="F1463" s="28">
        <f>$B$5/D1463/B1463*E1463</f>
        <v>1.7038928571428573</v>
      </c>
    </row>
    <row r="1464" spans="1:6" x14ac:dyDescent="0.4">
      <c r="A1464" s="28">
        <f t="shared" si="45"/>
        <v>1748</v>
      </c>
      <c r="B1464" s="28">
        <f t="shared" si="44"/>
        <v>0.11312217194570136</v>
      </c>
      <c r="C1464" s="28">
        <f>A1464+$E$6</f>
        <v>1770</v>
      </c>
      <c r="D1464" s="28">
        <f>CEILING(C1464/$H$3,1)*CEILING($H$2/$H$3,1)/CEILING($H$2/$H$3,1)</f>
        <v>7</v>
      </c>
      <c r="E1464" s="28">
        <f>CEILING(C1464/$H$3,1)*CEILING($H$2/$H$3,1)/CEILING(C1464/$H$3,1)</f>
        <v>1</v>
      </c>
      <c r="F1464" s="28">
        <f>$B$5/D1464/B1464*E1464</f>
        <v>1.7048571428571428</v>
      </c>
    </row>
    <row r="1465" spans="1:6" x14ac:dyDescent="0.4">
      <c r="A1465" s="28">
        <f t="shared" si="45"/>
        <v>1749</v>
      </c>
      <c r="B1465" s="28">
        <f t="shared" si="44"/>
        <v>0.11305822498586772</v>
      </c>
      <c r="C1465" s="28">
        <f>A1465+$E$6</f>
        <v>1771</v>
      </c>
      <c r="D1465" s="28">
        <f>CEILING(C1465/$H$3,1)*CEILING($H$2/$H$3,1)/CEILING($H$2/$H$3,1)</f>
        <v>7</v>
      </c>
      <c r="E1465" s="28">
        <f>CEILING(C1465/$H$3,1)*CEILING($H$2/$H$3,1)/CEILING(C1465/$H$3,1)</f>
        <v>1</v>
      </c>
      <c r="F1465" s="28">
        <f>$B$5/D1465/B1465*E1465</f>
        <v>1.7058214285714286</v>
      </c>
    </row>
    <row r="1466" spans="1:6" x14ac:dyDescent="0.4">
      <c r="A1466" s="28">
        <f t="shared" si="45"/>
        <v>1750</v>
      </c>
      <c r="B1466" s="28">
        <f t="shared" si="44"/>
        <v>0.11299435028248588</v>
      </c>
      <c r="C1466" s="28">
        <f>A1466+$E$6</f>
        <v>1772</v>
      </c>
      <c r="D1466" s="28">
        <f>CEILING(C1466/$H$3,1)*CEILING($H$2/$H$3,1)/CEILING($H$2/$H$3,1)</f>
        <v>7</v>
      </c>
      <c r="E1466" s="28">
        <f>CEILING(C1466/$H$3,1)*CEILING($H$2/$H$3,1)/CEILING(C1466/$H$3,1)</f>
        <v>1</v>
      </c>
      <c r="F1466" s="28">
        <f>$B$5/D1466/B1466*E1466</f>
        <v>1.7067857142857144</v>
      </c>
    </row>
    <row r="1467" spans="1:6" x14ac:dyDescent="0.4">
      <c r="A1467" s="28">
        <f t="shared" si="45"/>
        <v>1751</v>
      </c>
      <c r="B1467" s="28">
        <f t="shared" si="44"/>
        <v>0.11293054771315642</v>
      </c>
      <c r="C1467" s="28">
        <f>A1467+$E$6</f>
        <v>1773</v>
      </c>
      <c r="D1467" s="28">
        <f>CEILING(C1467/$H$3,1)*CEILING($H$2/$H$3,1)/CEILING($H$2/$H$3,1)</f>
        <v>7</v>
      </c>
      <c r="E1467" s="28">
        <f>CEILING(C1467/$H$3,1)*CEILING($H$2/$H$3,1)/CEILING(C1467/$H$3,1)</f>
        <v>1</v>
      </c>
      <c r="F1467" s="28">
        <f>$B$5/D1467/B1467*E1467</f>
        <v>1.7077499999999999</v>
      </c>
    </row>
    <row r="1468" spans="1:6" x14ac:dyDescent="0.4">
      <c r="A1468" s="28">
        <f t="shared" si="45"/>
        <v>1752</v>
      </c>
      <c r="B1468" s="28">
        <f t="shared" si="44"/>
        <v>0.11286681715575621</v>
      </c>
      <c r="C1468" s="28">
        <f>A1468+$E$6</f>
        <v>1774</v>
      </c>
      <c r="D1468" s="28">
        <f>CEILING(C1468/$H$3,1)*CEILING($H$2/$H$3,1)/CEILING($H$2/$H$3,1)</f>
        <v>7</v>
      </c>
      <c r="E1468" s="28">
        <f>CEILING(C1468/$H$3,1)*CEILING($H$2/$H$3,1)/CEILING(C1468/$H$3,1)</f>
        <v>1</v>
      </c>
      <c r="F1468" s="28">
        <f>$B$5/D1468/B1468*E1468</f>
        <v>1.7087142857142859</v>
      </c>
    </row>
    <row r="1469" spans="1:6" x14ac:dyDescent="0.4">
      <c r="A1469" s="28">
        <f t="shared" si="45"/>
        <v>1753</v>
      </c>
      <c r="B1469" s="28">
        <f t="shared" si="44"/>
        <v>0.11280315848843768</v>
      </c>
      <c r="C1469" s="28">
        <f>A1469+$E$6</f>
        <v>1775</v>
      </c>
      <c r="D1469" s="28">
        <f>CEILING(C1469/$H$3,1)*CEILING($H$2/$H$3,1)/CEILING($H$2/$H$3,1)</f>
        <v>7</v>
      </c>
      <c r="E1469" s="28">
        <f>CEILING(C1469/$H$3,1)*CEILING($H$2/$H$3,1)/CEILING(C1469/$H$3,1)</f>
        <v>1</v>
      </c>
      <c r="F1469" s="28">
        <f>$B$5/D1469/B1469*E1469</f>
        <v>1.7096785714285714</v>
      </c>
    </row>
    <row r="1470" spans="1:6" x14ac:dyDescent="0.4">
      <c r="A1470" s="28">
        <f t="shared" si="45"/>
        <v>1754</v>
      </c>
      <c r="B1470" s="28">
        <f t="shared" si="44"/>
        <v>0.11273957158962795</v>
      </c>
      <c r="C1470" s="28">
        <f>A1470+$E$6</f>
        <v>1776</v>
      </c>
      <c r="D1470" s="28">
        <f>CEILING(C1470/$H$3,1)*CEILING($H$2/$H$3,1)/CEILING($H$2/$H$3,1)</f>
        <v>7</v>
      </c>
      <c r="E1470" s="28">
        <f>CEILING(C1470/$H$3,1)*CEILING($H$2/$H$3,1)/CEILING(C1470/$H$3,1)</f>
        <v>1</v>
      </c>
      <c r="F1470" s="28">
        <f>$B$5/D1470/B1470*E1470</f>
        <v>1.7106428571428574</v>
      </c>
    </row>
    <row r="1471" spans="1:6" x14ac:dyDescent="0.4">
      <c r="A1471" s="28">
        <f t="shared" si="45"/>
        <v>1755</v>
      </c>
      <c r="B1471" s="28">
        <f t="shared" si="44"/>
        <v>0.11267605633802817</v>
      </c>
      <c r="C1471" s="28">
        <f>A1471+$E$6</f>
        <v>1777</v>
      </c>
      <c r="D1471" s="28">
        <f>CEILING(C1471/$H$3,1)*CEILING($H$2/$H$3,1)/CEILING($H$2/$H$3,1)</f>
        <v>7</v>
      </c>
      <c r="E1471" s="28">
        <f>CEILING(C1471/$H$3,1)*CEILING($H$2/$H$3,1)/CEILING(C1471/$H$3,1)</f>
        <v>1</v>
      </c>
      <c r="F1471" s="28">
        <f>$B$5/D1471/B1471*E1471</f>
        <v>1.7116071428571429</v>
      </c>
    </row>
    <row r="1472" spans="1:6" x14ac:dyDescent="0.4">
      <c r="A1472" s="28">
        <f t="shared" si="45"/>
        <v>1756</v>
      </c>
      <c r="B1472" s="28">
        <f t="shared" si="44"/>
        <v>0.11261261261261261</v>
      </c>
      <c r="C1472" s="28">
        <f>A1472+$E$6</f>
        <v>1778</v>
      </c>
      <c r="D1472" s="28">
        <f>CEILING(C1472/$H$3,1)*CEILING($H$2/$H$3,1)/CEILING($H$2/$H$3,1)</f>
        <v>7</v>
      </c>
      <c r="E1472" s="28">
        <f>CEILING(C1472/$H$3,1)*CEILING($H$2/$H$3,1)/CEILING(C1472/$H$3,1)</f>
        <v>1</v>
      </c>
      <c r="F1472" s="28">
        <f>$B$5/D1472/B1472*E1472</f>
        <v>1.7125714285714286</v>
      </c>
    </row>
    <row r="1473" spans="1:6" x14ac:dyDescent="0.4">
      <c r="A1473" s="28">
        <f t="shared" si="45"/>
        <v>1757</v>
      </c>
      <c r="B1473" s="28">
        <f t="shared" si="44"/>
        <v>0.11254924029262803</v>
      </c>
      <c r="C1473" s="28">
        <f>A1473+$E$6</f>
        <v>1779</v>
      </c>
      <c r="D1473" s="28">
        <f>CEILING(C1473/$H$3,1)*CEILING($H$2/$H$3,1)/CEILING($H$2/$H$3,1)</f>
        <v>7</v>
      </c>
      <c r="E1473" s="28">
        <f>CEILING(C1473/$H$3,1)*CEILING($H$2/$H$3,1)/CEILING(C1473/$H$3,1)</f>
        <v>1</v>
      </c>
      <c r="F1473" s="28">
        <f>$B$5/D1473/B1473*E1473</f>
        <v>1.7135357142857144</v>
      </c>
    </row>
    <row r="1474" spans="1:6" x14ac:dyDescent="0.4">
      <c r="A1474" s="28">
        <f t="shared" si="45"/>
        <v>1758</v>
      </c>
      <c r="B1474" s="28">
        <f t="shared" si="44"/>
        <v>0.1124859392575928</v>
      </c>
      <c r="C1474" s="28">
        <f>A1474+$E$6</f>
        <v>1780</v>
      </c>
      <c r="D1474" s="28">
        <f>CEILING(C1474/$H$3,1)*CEILING($H$2/$H$3,1)/CEILING($H$2/$H$3,1)</f>
        <v>7</v>
      </c>
      <c r="E1474" s="28">
        <f>CEILING(C1474/$H$3,1)*CEILING($H$2/$H$3,1)/CEILING(C1474/$H$3,1)</f>
        <v>1</v>
      </c>
      <c r="F1474" s="28">
        <f>$B$5/D1474/B1474*E1474</f>
        <v>1.7145000000000001</v>
      </c>
    </row>
    <row r="1475" spans="1:6" x14ac:dyDescent="0.4">
      <c r="A1475" s="28">
        <f t="shared" si="45"/>
        <v>1759</v>
      </c>
      <c r="B1475" s="28">
        <f t="shared" si="44"/>
        <v>0.11242270938729623</v>
      </c>
      <c r="C1475" s="28">
        <f>A1475+$E$6</f>
        <v>1781</v>
      </c>
      <c r="D1475" s="28">
        <f>CEILING(C1475/$H$3,1)*CEILING($H$2/$H$3,1)/CEILING($H$2/$H$3,1)</f>
        <v>7</v>
      </c>
      <c r="E1475" s="28">
        <f>CEILING(C1475/$H$3,1)*CEILING($H$2/$H$3,1)/CEILING(C1475/$H$3,1)</f>
        <v>1</v>
      </c>
      <c r="F1475" s="28">
        <f>$B$5/D1475/B1475*E1475</f>
        <v>1.7154642857142859</v>
      </c>
    </row>
    <row r="1476" spans="1:6" x14ac:dyDescent="0.4">
      <c r="A1476" s="28">
        <f t="shared" si="45"/>
        <v>1760</v>
      </c>
      <c r="B1476" s="28">
        <f t="shared" si="44"/>
        <v>0.11235955056179775</v>
      </c>
      <c r="C1476" s="28">
        <f>A1476+$E$6</f>
        <v>1782</v>
      </c>
      <c r="D1476" s="28">
        <f>CEILING(C1476/$H$3,1)*CEILING($H$2/$H$3,1)/CEILING($H$2/$H$3,1)</f>
        <v>7</v>
      </c>
      <c r="E1476" s="28">
        <f>CEILING(C1476/$H$3,1)*CEILING($H$2/$H$3,1)/CEILING(C1476/$H$3,1)</f>
        <v>1</v>
      </c>
      <c r="F1476" s="28">
        <f>$B$5/D1476/B1476*E1476</f>
        <v>1.7164285714285716</v>
      </c>
    </row>
    <row r="1477" spans="1:6" x14ac:dyDescent="0.4">
      <c r="A1477" s="28">
        <f t="shared" si="45"/>
        <v>1761</v>
      </c>
      <c r="B1477" s="28">
        <f t="shared" si="44"/>
        <v>0.11229646266142616</v>
      </c>
      <c r="C1477" s="28">
        <f>A1477+$E$6</f>
        <v>1783</v>
      </c>
      <c r="D1477" s="28">
        <f>CEILING(C1477/$H$3,1)*CEILING($H$2/$H$3,1)/CEILING($H$2/$H$3,1)</f>
        <v>7</v>
      </c>
      <c r="E1477" s="28">
        <f>CEILING(C1477/$H$3,1)*CEILING($H$2/$H$3,1)/CEILING(C1477/$H$3,1)</f>
        <v>1</v>
      </c>
      <c r="F1477" s="28">
        <f>$B$5/D1477/B1477*E1477</f>
        <v>1.7173928571428572</v>
      </c>
    </row>
    <row r="1478" spans="1:6" x14ac:dyDescent="0.4">
      <c r="A1478" s="28">
        <f t="shared" si="45"/>
        <v>1762</v>
      </c>
      <c r="B1478" s="28">
        <f t="shared" si="44"/>
        <v>0.1122334455667789</v>
      </c>
      <c r="C1478" s="28">
        <f>A1478+$E$6</f>
        <v>1784</v>
      </c>
      <c r="D1478" s="28">
        <f>CEILING(C1478/$H$3,1)*CEILING($H$2/$H$3,1)/CEILING($H$2/$H$3,1)</f>
        <v>7</v>
      </c>
      <c r="E1478" s="28">
        <f>CEILING(C1478/$H$3,1)*CEILING($H$2/$H$3,1)/CEILING(C1478/$H$3,1)</f>
        <v>1</v>
      </c>
      <c r="F1478" s="28">
        <f>$B$5/D1478/B1478*E1478</f>
        <v>1.7183571428571429</v>
      </c>
    </row>
    <row r="1479" spans="1:6" x14ac:dyDescent="0.4">
      <c r="A1479" s="28">
        <f t="shared" si="45"/>
        <v>1763</v>
      </c>
      <c r="B1479" s="28">
        <f t="shared" si="44"/>
        <v>0.11217049915872125</v>
      </c>
      <c r="C1479" s="28">
        <f>A1479+$E$6</f>
        <v>1785</v>
      </c>
      <c r="D1479" s="28">
        <f>CEILING(C1479/$H$3,1)*CEILING($H$2/$H$3,1)/CEILING($H$2/$H$3,1)</f>
        <v>7</v>
      </c>
      <c r="E1479" s="28">
        <f>CEILING(C1479/$H$3,1)*CEILING($H$2/$H$3,1)/CEILING(C1479/$H$3,1)</f>
        <v>1</v>
      </c>
      <c r="F1479" s="28">
        <f>$B$5/D1479/B1479*E1479</f>
        <v>1.7193214285714287</v>
      </c>
    </row>
    <row r="1480" spans="1:6" x14ac:dyDescent="0.4">
      <c r="A1480" s="28">
        <f t="shared" si="45"/>
        <v>1764</v>
      </c>
      <c r="B1480" s="28">
        <f t="shared" si="44"/>
        <v>0.11210762331838565</v>
      </c>
      <c r="C1480" s="28">
        <f>A1480+$E$6</f>
        <v>1786</v>
      </c>
      <c r="D1480" s="28">
        <f>CEILING(C1480/$H$3,1)*CEILING($H$2/$H$3,1)/CEILING($H$2/$H$3,1)</f>
        <v>7</v>
      </c>
      <c r="E1480" s="28">
        <f>CEILING(C1480/$H$3,1)*CEILING($H$2/$H$3,1)/CEILING(C1480/$H$3,1)</f>
        <v>1</v>
      </c>
      <c r="F1480" s="28">
        <f>$B$5/D1480/B1480*E1480</f>
        <v>1.7202857142857142</v>
      </c>
    </row>
    <row r="1481" spans="1:6" x14ac:dyDescent="0.4">
      <c r="A1481" s="28">
        <f t="shared" si="45"/>
        <v>1765</v>
      </c>
      <c r="B1481" s="28">
        <f t="shared" si="44"/>
        <v>0.11204481792717087</v>
      </c>
      <c r="C1481" s="28">
        <f>A1481+$E$6</f>
        <v>1787</v>
      </c>
      <c r="D1481" s="28">
        <f>CEILING(C1481/$H$3,1)*CEILING($H$2/$H$3,1)/CEILING($H$2/$H$3,1)</f>
        <v>7</v>
      </c>
      <c r="E1481" s="28">
        <f>CEILING(C1481/$H$3,1)*CEILING($H$2/$H$3,1)/CEILING(C1481/$H$3,1)</f>
        <v>1</v>
      </c>
      <c r="F1481" s="28">
        <f>$B$5/D1481/B1481*E1481</f>
        <v>1.7212499999999999</v>
      </c>
    </row>
    <row r="1482" spans="1:6" x14ac:dyDescent="0.4">
      <c r="A1482" s="28">
        <f t="shared" si="45"/>
        <v>1766</v>
      </c>
      <c r="B1482" s="28">
        <f t="shared" si="44"/>
        <v>0.11198208286674133</v>
      </c>
      <c r="C1482" s="28">
        <f>A1482+$E$6</f>
        <v>1788</v>
      </c>
      <c r="D1482" s="28">
        <f>CEILING(C1482/$H$3,1)*CEILING($H$2/$H$3,1)/CEILING($H$2/$H$3,1)</f>
        <v>7</v>
      </c>
      <c r="E1482" s="28">
        <f>CEILING(C1482/$H$3,1)*CEILING($H$2/$H$3,1)/CEILING(C1482/$H$3,1)</f>
        <v>1</v>
      </c>
      <c r="F1482" s="28">
        <f>$B$5/D1482/B1482*E1482</f>
        <v>1.7222142857142857</v>
      </c>
    </row>
    <row r="1483" spans="1:6" x14ac:dyDescent="0.4">
      <c r="A1483" s="28">
        <f t="shared" si="45"/>
        <v>1767</v>
      </c>
      <c r="B1483" s="28">
        <f t="shared" ref="B1483:B1546" si="46">$B$4/8/(A1483+$B$2)</f>
        <v>0.1119194180190263</v>
      </c>
      <c r="C1483" s="28">
        <f>A1483+$E$6</f>
        <v>1789</v>
      </c>
      <c r="D1483" s="28">
        <f>CEILING(C1483/$H$3,1)*CEILING($H$2/$H$3,1)/CEILING($H$2/$H$3,1)</f>
        <v>7</v>
      </c>
      <c r="E1483" s="28">
        <f>CEILING(C1483/$H$3,1)*CEILING($H$2/$H$3,1)/CEILING(C1483/$H$3,1)</f>
        <v>1</v>
      </c>
      <c r="F1483" s="28">
        <f>$B$5/D1483/B1483*E1483</f>
        <v>1.7231785714285714</v>
      </c>
    </row>
    <row r="1484" spans="1:6" x14ac:dyDescent="0.4">
      <c r="A1484" s="28">
        <f t="shared" si="45"/>
        <v>1768</v>
      </c>
      <c r="B1484" s="28">
        <f t="shared" si="46"/>
        <v>0.11185682326621924</v>
      </c>
      <c r="C1484" s="28">
        <f>A1484+$E$6</f>
        <v>1790</v>
      </c>
      <c r="D1484" s="28">
        <f>CEILING(C1484/$H$3,1)*CEILING($H$2/$H$3,1)/CEILING($H$2/$H$3,1)</f>
        <v>7</v>
      </c>
      <c r="E1484" s="28">
        <f>CEILING(C1484/$H$3,1)*CEILING($H$2/$H$3,1)/CEILING(C1484/$H$3,1)</f>
        <v>1</v>
      </c>
      <c r="F1484" s="28">
        <f>$B$5/D1484/B1484*E1484</f>
        <v>1.7241428571428572</v>
      </c>
    </row>
    <row r="1485" spans="1:6" x14ac:dyDescent="0.4">
      <c r="A1485" s="28">
        <f t="shared" ref="A1485:A1547" si="47">A1484+$B$3</f>
        <v>1769</v>
      </c>
      <c r="B1485" s="28">
        <f t="shared" si="46"/>
        <v>0.11179429849077697</v>
      </c>
      <c r="C1485" s="28">
        <f>A1485+$E$6</f>
        <v>1791</v>
      </c>
      <c r="D1485" s="28">
        <f>CEILING(C1485/$H$3,1)*CEILING($H$2/$H$3,1)/CEILING($H$2/$H$3,1)</f>
        <v>7</v>
      </c>
      <c r="E1485" s="28">
        <f>CEILING(C1485/$H$3,1)*CEILING($H$2/$H$3,1)/CEILING(C1485/$H$3,1)</f>
        <v>1</v>
      </c>
      <c r="F1485" s="28">
        <f>$B$5/D1485/B1485*E1485</f>
        <v>1.725107142857143</v>
      </c>
    </row>
    <row r="1486" spans="1:6" x14ac:dyDescent="0.4">
      <c r="A1486" s="28">
        <f t="shared" si="47"/>
        <v>1770</v>
      </c>
      <c r="B1486" s="28">
        <f t="shared" si="46"/>
        <v>0.11173184357541899</v>
      </c>
      <c r="C1486" s="28">
        <f>A1486+$E$6</f>
        <v>1792</v>
      </c>
      <c r="D1486" s="28">
        <f>CEILING(C1486/$H$3,1)*CEILING($H$2/$H$3,1)/CEILING($H$2/$H$3,1)</f>
        <v>7</v>
      </c>
      <c r="E1486" s="28">
        <f>CEILING(C1486/$H$3,1)*CEILING($H$2/$H$3,1)/CEILING(C1486/$H$3,1)</f>
        <v>1</v>
      </c>
      <c r="F1486" s="28">
        <f>$B$5/D1486/B1486*E1486</f>
        <v>1.7260714285714287</v>
      </c>
    </row>
    <row r="1487" spans="1:6" x14ac:dyDescent="0.4">
      <c r="A1487" s="28">
        <f t="shared" si="47"/>
        <v>1771</v>
      </c>
      <c r="B1487" s="28">
        <f t="shared" si="46"/>
        <v>0.11166945840312674</v>
      </c>
      <c r="C1487" s="28">
        <f>A1487+$E$6</f>
        <v>1793</v>
      </c>
      <c r="D1487" s="28">
        <f>CEILING(C1487/$H$3,1)*CEILING($H$2/$H$3,1)/CEILING($H$2/$H$3,1)</f>
        <v>8</v>
      </c>
      <c r="E1487" s="28">
        <f>CEILING(C1487/$H$3,1)*CEILING($H$2/$H$3,1)/CEILING(C1487/$H$3,1)</f>
        <v>1</v>
      </c>
      <c r="F1487" s="28">
        <f>$B$5/D1487/B1487*E1487</f>
        <v>1.5111562500000002</v>
      </c>
    </row>
    <row r="1488" spans="1:6" x14ac:dyDescent="0.4">
      <c r="A1488" s="28">
        <f t="shared" si="47"/>
        <v>1772</v>
      </c>
      <c r="B1488" s="28">
        <f t="shared" si="46"/>
        <v>0.11160714285714286</v>
      </c>
      <c r="C1488" s="28">
        <f>A1488+$E$6</f>
        <v>1794</v>
      </c>
      <c r="D1488" s="28">
        <f>CEILING(C1488/$H$3,1)*CEILING($H$2/$H$3,1)/CEILING($H$2/$H$3,1)</f>
        <v>8</v>
      </c>
      <c r="E1488" s="28">
        <f>CEILING(C1488/$H$3,1)*CEILING($H$2/$H$3,1)/CEILING(C1488/$H$3,1)</f>
        <v>1</v>
      </c>
      <c r="F1488" s="28">
        <f>$B$5/D1488/B1488*E1488</f>
        <v>1.512</v>
      </c>
    </row>
    <row r="1489" spans="1:6" x14ac:dyDescent="0.4">
      <c r="A1489" s="28">
        <f t="shared" si="47"/>
        <v>1773</v>
      </c>
      <c r="B1489" s="28">
        <f t="shared" si="46"/>
        <v>0.11154489682097044</v>
      </c>
      <c r="C1489" s="28">
        <f>A1489+$E$6</f>
        <v>1795</v>
      </c>
      <c r="D1489" s="28">
        <f>CEILING(C1489/$H$3,1)*CEILING($H$2/$H$3,1)/CEILING($H$2/$H$3,1)</f>
        <v>8</v>
      </c>
      <c r="E1489" s="28">
        <f>CEILING(C1489/$H$3,1)*CEILING($H$2/$H$3,1)/CEILING(C1489/$H$3,1)</f>
        <v>1</v>
      </c>
      <c r="F1489" s="28">
        <f>$B$5/D1489/B1489*E1489</f>
        <v>1.5128437500000003</v>
      </c>
    </row>
    <row r="1490" spans="1:6" x14ac:dyDescent="0.4">
      <c r="A1490" s="28">
        <f t="shared" si="47"/>
        <v>1774</v>
      </c>
      <c r="B1490" s="28">
        <f t="shared" si="46"/>
        <v>0.11148272017837235</v>
      </c>
      <c r="C1490" s="28">
        <f>A1490+$E$6</f>
        <v>1796</v>
      </c>
      <c r="D1490" s="28">
        <f>CEILING(C1490/$H$3,1)*CEILING($H$2/$H$3,1)/CEILING($H$2/$H$3,1)</f>
        <v>8</v>
      </c>
      <c r="E1490" s="28">
        <f>CEILING(C1490/$H$3,1)*CEILING($H$2/$H$3,1)/CEILING(C1490/$H$3,1)</f>
        <v>1</v>
      </c>
      <c r="F1490" s="28">
        <f>$B$5/D1490/B1490*E1490</f>
        <v>1.5136875000000001</v>
      </c>
    </row>
    <row r="1491" spans="1:6" x14ac:dyDescent="0.4">
      <c r="A1491" s="28">
        <f t="shared" si="47"/>
        <v>1775</v>
      </c>
      <c r="B1491" s="28">
        <f t="shared" si="46"/>
        <v>0.11142061281337047</v>
      </c>
      <c r="C1491" s="28">
        <f>A1491+$E$6</f>
        <v>1797</v>
      </c>
      <c r="D1491" s="28">
        <f>CEILING(C1491/$H$3,1)*CEILING($H$2/$H$3,1)/CEILING($H$2/$H$3,1)</f>
        <v>8</v>
      </c>
      <c r="E1491" s="28">
        <f>CEILING(C1491/$H$3,1)*CEILING($H$2/$H$3,1)/CEILING(C1491/$H$3,1)</f>
        <v>1</v>
      </c>
      <c r="F1491" s="28">
        <f>$B$5/D1491/B1491*E1491</f>
        <v>1.5145312500000001</v>
      </c>
    </row>
    <row r="1492" spans="1:6" x14ac:dyDescent="0.4">
      <c r="A1492" s="28">
        <f t="shared" si="47"/>
        <v>1776</v>
      </c>
      <c r="B1492" s="28">
        <f t="shared" si="46"/>
        <v>0.111358574610245</v>
      </c>
      <c r="C1492" s="28">
        <f>A1492+$E$6</f>
        <v>1798</v>
      </c>
      <c r="D1492" s="28">
        <f>CEILING(C1492/$H$3,1)*CEILING($H$2/$H$3,1)/CEILING($H$2/$H$3,1)</f>
        <v>8</v>
      </c>
      <c r="E1492" s="28">
        <f>CEILING(C1492/$H$3,1)*CEILING($H$2/$H$3,1)/CEILING(C1492/$H$3,1)</f>
        <v>1</v>
      </c>
      <c r="F1492" s="28">
        <f>$B$5/D1492/B1492*E1492</f>
        <v>1.5153749999999999</v>
      </c>
    </row>
    <row r="1493" spans="1:6" x14ac:dyDescent="0.4">
      <c r="A1493" s="28">
        <f t="shared" si="47"/>
        <v>1777</v>
      </c>
      <c r="B1493" s="28">
        <f t="shared" si="46"/>
        <v>0.11129660545353366</v>
      </c>
      <c r="C1493" s="28">
        <f>A1493+$E$6</f>
        <v>1799</v>
      </c>
      <c r="D1493" s="28">
        <f>CEILING(C1493/$H$3,1)*CEILING($H$2/$H$3,1)/CEILING($H$2/$H$3,1)</f>
        <v>8</v>
      </c>
      <c r="E1493" s="28">
        <f>CEILING(C1493/$H$3,1)*CEILING($H$2/$H$3,1)/CEILING(C1493/$H$3,1)</f>
        <v>1</v>
      </c>
      <c r="F1493" s="28">
        <f>$B$5/D1493/B1493*E1493</f>
        <v>1.5162187500000002</v>
      </c>
    </row>
    <row r="1494" spans="1:6" x14ac:dyDescent="0.4">
      <c r="A1494" s="28">
        <f t="shared" si="47"/>
        <v>1778</v>
      </c>
      <c r="B1494" s="28">
        <f t="shared" si="46"/>
        <v>0.11123470522803114</v>
      </c>
      <c r="C1494" s="28">
        <f>A1494+$E$6</f>
        <v>1800</v>
      </c>
      <c r="D1494" s="28">
        <f>CEILING(C1494/$H$3,1)*CEILING($H$2/$H$3,1)/CEILING($H$2/$H$3,1)</f>
        <v>8</v>
      </c>
      <c r="E1494" s="28">
        <f>CEILING(C1494/$H$3,1)*CEILING($H$2/$H$3,1)/CEILING(C1494/$H$3,1)</f>
        <v>1</v>
      </c>
      <c r="F1494" s="28">
        <f>$B$5/D1494/B1494*E1494</f>
        <v>1.5170625000000002</v>
      </c>
    </row>
    <row r="1495" spans="1:6" x14ac:dyDescent="0.4">
      <c r="A1495" s="28">
        <f t="shared" si="47"/>
        <v>1779</v>
      </c>
      <c r="B1495" s="28">
        <f t="shared" si="46"/>
        <v>0.11117287381878821</v>
      </c>
      <c r="C1495" s="28">
        <f>A1495+$E$6</f>
        <v>1801</v>
      </c>
      <c r="D1495" s="28">
        <f>CEILING(C1495/$H$3,1)*CEILING($H$2/$H$3,1)/CEILING($H$2/$H$3,1)</f>
        <v>8</v>
      </c>
      <c r="E1495" s="28">
        <f>CEILING(C1495/$H$3,1)*CEILING($H$2/$H$3,1)/CEILING(C1495/$H$3,1)</f>
        <v>1</v>
      </c>
      <c r="F1495" s="28">
        <f>$B$5/D1495/B1495*E1495</f>
        <v>1.5179062500000002</v>
      </c>
    </row>
    <row r="1496" spans="1:6" x14ac:dyDescent="0.4">
      <c r="A1496" s="28">
        <f t="shared" si="47"/>
        <v>1780</v>
      </c>
      <c r="B1496" s="28">
        <f t="shared" si="46"/>
        <v>0.1111111111111111</v>
      </c>
      <c r="C1496" s="28">
        <f>A1496+$E$6</f>
        <v>1802</v>
      </c>
      <c r="D1496" s="28">
        <f>CEILING(C1496/$H$3,1)*CEILING($H$2/$H$3,1)/CEILING($H$2/$H$3,1)</f>
        <v>8</v>
      </c>
      <c r="E1496" s="28">
        <f>CEILING(C1496/$H$3,1)*CEILING($H$2/$H$3,1)/CEILING(C1496/$H$3,1)</f>
        <v>1</v>
      </c>
      <c r="F1496" s="28">
        <f>$B$5/D1496/B1496*E1496</f>
        <v>1.5187500000000003</v>
      </c>
    </row>
    <row r="1497" spans="1:6" x14ac:dyDescent="0.4">
      <c r="A1497" s="28">
        <f t="shared" si="47"/>
        <v>1781</v>
      </c>
      <c r="B1497" s="28">
        <f t="shared" si="46"/>
        <v>0.1110494169905608</v>
      </c>
      <c r="C1497" s="28">
        <f>A1497+$E$6</f>
        <v>1803</v>
      </c>
      <c r="D1497" s="28">
        <f>CEILING(C1497/$H$3,1)*CEILING($H$2/$H$3,1)/CEILING($H$2/$H$3,1)</f>
        <v>8</v>
      </c>
      <c r="E1497" s="28">
        <f>CEILING(C1497/$H$3,1)*CEILING($H$2/$H$3,1)/CEILING(C1497/$H$3,1)</f>
        <v>1</v>
      </c>
      <c r="F1497" s="28">
        <f>$B$5/D1497/B1497*E1497</f>
        <v>1.5195937500000001</v>
      </c>
    </row>
    <row r="1498" spans="1:6" x14ac:dyDescent="0.4">
      <c r="A1498" s="28">
        <f t="shared" si="47"/>
        <v>1782</v>
      </c>
      <c r="B1498" s="28">
        <f t="shared" si="46"/>
        <v>0.11098779134295228</v>
      </c>
      <c r="C1498" s="28">
        <f>A1498+$E$6</f>
        <v>1804</v>
      </c>
      <c r="D1498" s="28">
        <f>CEILING(C1498/$H$3,1)*CEILING($H$2/$H$3,1)/CEILING($H$2/$H$3,1)</f>
        <v>8</v>
      </c>
      <c r="E1498" s="28">
        <f>CEILING(C1498/$H$3,1)*CEILING($H$2/$H$3,1)/CEILING(C1498/$H$3,1)</f>
        <v>1</v>
      </c>
      <c r="F1498" s="28">
        <f>$B$5/D1498/B1498*E1498</f>
        <v>1.5204375000000001</v>
      </c>
    </row>
    <row r="1499" spans="1:6" x14ac:dyDescent="0.4">
      <c r="A1499" s="28">
        <f t="shared" si="47"/>
        <v>1783</v>
      </c>
      <c r="B1499" s="28">
        <f t="shared" si="46"/>
        <v>0.11092623405435385</v>
      </c>
      <c r="C1499" s="28">
        <f>A1499+$E$6</f>
        <v>1805</v>
      </c>
      <c r="D1499" s="28">
        <f>CEILING(C1499/$H$3,1)*CEILING($H$2/$H$3,1)/CEILING($H$2/$H$3,1)</f>
        <v>8</v>
      </c>
      <c r="E1499" s="28">
        <f>CEILING(C1499/$H$3,1)*CEILING($H$2/$H$3,1)/CEILING(C1499/$H$3,1)</f>
        <v>1</v>
      </c>
      <c r="F1499" s="28">
        <f>$B$5/D1499/B1499*E1499</f>
        <v>1.5212812500000001</v>
      </c>
    </row>
    <row r="1500" spans="1:6" x14ac:dyDescent="0.4">
      <c r="A1500" s="28">
        <f t="shared" si="47"/>
        <v>1784</v>
      </c>
      <c r="B1500" s="28">
        <f t="shared" si="46"/>
        <v>0.11086474501108648</v>
      </c>
      <c r="C1500" s="28">
        <f>A1500+$E$6</f>
        <v>1806</v>
      </c>
      <c r="D1500" s="28">
        <f>CEILING(C1500/$H$3,1)*CEILING($H$2/$H$3,1)/CEILING($H$2/$H$3,1)</f>
        <v>8</v>
      </c>
      <c r="E1500" s="28">
        <f>CEILING(C1500/$H$3,1)*CEILING($H$2/$H$3,1)/CEILING(C1500/$H$3,1)</f>
        <v>1</v>
      </c>
      <c r="F1500" s="28">
        <f>$B$5/D1500/B1500*E1500</f>
        <v>1.522125</v>
      </c>
    </row>
    <row r="1501" spans="1:6" x14ac:dyDescent="0.4">
      <c r="A1501" s="28">
        <f t="shared" si="47"/>
        <v>1785</v>
      </c>
      <c r="B1501" s="28">
        <f t="shared" si="46"/>
        <v>0.11080332409972299</v>
      </c>
      <c r="C1501" s="28">
        <f>A1501+$E$6</f>
        <v>1807</v>
      </c>
      <c r="D1501" s="28">
        <f>CEILING(C1501/$H$3,1)*CEILING($H$2/$H$3,1)/CEILING($H$2/$H$3,1)</f>
        <v>8</v>
      </c>
      <c r="E1501" s="28">
        <f>CEILING(C1501/$H$3,1)*CEILING($H$2/$H$3,1)/CEILING(C1501/$H$3,1)</f>
        <v>1</v>
      </c>
      <c r="F1501" s="28">
        <f>$B$5/D1501/B1501*E1501</f>
        <v>1.5229687500000002</v>
      </c>
    </row>
    <row r="1502" spans="1:6" x14ac:dyDescent="0.4">
      <c r="A1502" s="28">
        <f t="shared" si="47"/>
        <v>1786</v>
      </c>
      <c r="B1502" s="28">
        <f t="shared" si="46"/>
        <v>0.11074197120708748</v>
      </c>
      <c r="C1502" s="28">
        <f>A1502+$E$6</f>
        <v>1808</v>
      </c>
      <c r="D1502" s="28">
        <f>CEILING(C1502/$H$3,1)*CEILING($H$2/$H$3,1)/CEILING($H$2/$H$3,1)</f>
        <v>8</v>
      </c>
      <c r="E1502" s="28">
        <f>CEILING(C1502/$H$3,1)*CEILING($H$2/$H$3,1)/CEILING(C1502/$H$3,1)</f>
        <v>1</v>
      </c>
      <c r="F1502" s="28">
        <f>$B$5/D1502/B1502*E1502</f>
        <v>1.5238125000000002</v>
      </c>
    </row>
    <row r="1503" spans="1:6" x14ac:dyDescent="0.4">
      <c r="A1503" s="28">
        <f t="shared" si="47"/>
        <v>1787</v>
      </c>
      <c r="B1503" s="28">
        <f t="shared" si="46"/>
        <v>0.11068068622025456</v>
      </c>
      <c r="C1503" s="28">
        <f>A1503+$E$6</f>
        <v>1809</v>
      </c>
      <c r="D1503" s="28">
        <f>CEILING(C1503/$H$3,1)*CEILING($H$2/$H$3,1)/CEILING($H$2/$H$3,1)</f>
        <v>8</v>
      </c>
      <c r="E1503" s="28">
        <f>CEILING(C1503/$H$3,1)*CEILING($H$2/$H$3,1)/CEILING(C1503/$H$3,1)</f>
        <v>1</v>
      </c>
      <c r="F1503" s="28">
        <f>$B$5/D1503/B1503*E1503</f>
        <v>1.52465625</v>
      </c>
    </row>
    <row r="1504" spans="1:6" x14ac:dyDescent="0.4">
      <c r="A1504" s="28">
        <f t="shared" si="47"/>
        <v>1788</v>
      </c>
      <c r="B1504" s="28">
        <f t="shared" si="46"/>
        <v>0.11061946902654868</v>
      </c>
      <c r="C1504" s="28">
        <f>A1504+$E$6</f>
        <v>1810</v>
      </c>
      <c r="D1504" s="28">
        <f>CEILING(C1504/$H$3,1)*CEILING($H$2/$H$3,1)/CEILING($H$2/$H$3,1)</f>
        <v>8</v>
      </c>
      <c r="E1504" s="28">
        <f>CEILING(C1504/$H$3,1)*CEILING($H$2/$H$3,1)/CEILING(C1504/$H$3,1)</f>
        <v>1</v>
      </c>
      <c r="F1504" s="28">
        <f>$B$5/D1504/B1504*E1504</f>
        <v>1.5255000000000001</v>
      </c>
    </row>
    <row r="1505" spans="1:6" x14ac:dyDescent="0.4">
      <c r="A1505" s="28">
        <f t="shared" si="47"/>
        <v>1789</v>
      </c>
      <c r="B1505" s="28">
        <f t="shared" si="46"/>
        <v>0.11055831951354339</v>
      </c>
      <c r="C1505" s="28">
        <f>A1505+$E$6</f>
        <v>1811</v>
      </c>
      <c r="D1505" s="28">
        <f>CEILING(C1505/$H$3,1)*CEILING($H$2/$H$3,1)/CEILING($H$2/$H$3,1)</f>
        <v>8</v>
      </c>
      <c r="E1505" s="28">
        <f>CEILING(C1505/$H$3,1)*CEILING($H$2/$H$3,1)/CEILING(C1505/$H$3,1)</f>
        <v>1</v>
      </c>
      <c r="F1505" s="28">
        <f>$B$5/D1505/B1505*E1505</f>
        <v>1.5263437500000001</v>
      </c>
    </row>
    <row r="1506" spans="1:6" x14ac:dyDescent="0.4">
      <c r="A1506" s="28">
        <f t="shared" si="47"/>
        <v>1790</v>
      </c>
      <c r="B1506" s="28">
        <f t="shared" si="46"/>
        <v>0.11049723756906077</v>
      </c>
      <c r="C1506" s="28">
        <f>A1506+$E$6</f>
        <v>1812</v>
      </c>
      <c r="D1506" s="28">
        <f>CEILING(C1506/$H$3,1)*CEILING($H$2/$H$3,1)/CEILING($H$2/$H$3,1)</f>
        <v>8</v>
      </c>
      <c r="E1506" s="28">
        <f>CEILING(C1506/$H$3,1)*CEILING($H$2/$H$3,1)/CEILING(C1506/$H$3,1)</f>
        <v>1</v>
      </c>
      <c r="F1506" s="28">
        <f>$B$5/D1506/B1506*E1506</f>
        <v>1.5271875000000001</v>
      </c>
    </row>
    <row r="1507" spans="1:6" x14ac:dyDescent="0.4">
      <c r="A1507" s="28">
        <f t="shared" si="47"/>
        <v>1791</v>
      </c>
      <c r="B1507" s="28">
        <f t="shared" si="46"/>
        <v>0.11043622308117063</v>
      </c>
      <c r="C1507" s="28">
        <f>A1507+$E$6</f>
        <v>1813</v>
      </c>
      <c r="D1507" s="28">
        <f>CEILING(C1507/$H$3,1)*CEILING($H$2/$H$3,1)/CEILING($H$2/$H$3,1)</f>
        <v>8</v>
      </c>
      <c r="E1507" s="28">
        <f>CEILING(C1507/$H$3,1)*CEILING($H$2/$H$3,1)/CEILING(C1507/$H$3,1)</f>
        <v>1</v>
      </c>
      <c r="F1507" s="28">
        <f>$B$5/D1507/B1507*E1507</f>
        <v>1.5280312500000002</v>
      </c>
    </row>
    <row r="1508" spans="1:6" x14ac:dyDescent="0.4">
      <c r="A1508" s="28">
        <f t="shared" si="47"/>
        <v>1792</v>
      </c>
      <c r="B1508" s="28">
        <f t="shared" si="46"/>
        <v>0.11037527593818984</v>
      </c>
      <c r="C1508" s="28">
        <f>A1508+$E$6</f>
        <v>1814</v>
      </c>
      <c r="D1508" s="28">
        <f>CEILING(C1508/$H$3,1)*CEILING($H$2/$H$3,1)/CEILING($H$2/$H$3,1)</f>
        <v>8</v>
      </c>
      <c r="E1508" s="28">
        <f>CEILING(C1508/$H$3,1)*CEILING($H$2/$H$3,1)/CEILING(C1508/$H$3,1)</f>
        <v>1</v>
      </c>
      <c r="F1508" s="28">
        <f>$B$5/D1508/B1508*E1508</f>
        <v>1.5288750000000002</v>
      </c>
    </row>
    <row r="1509" spans="1:6" x14ac:dyDescent="0.4">
      <c r="A1509" s="28">
        <f t="shared" si="47"/>
        <v>1793</v>
      </c>
      <c r="B1509" s="28">
        <f t="shared" si="46"/>
        <v>0.11031439602868175</v>
      </c>
      <c r="C1509" s="28">
        <f>A1509+$E$6</f>
        <v>1815</v>
      </c>
      <c r="D1509" s="28">
        <f>CEILING(C1509/$H$3,1)*CEILING($H$2/$H$3,1)/CEILING($H$2/$H$3,1)</f>
        <v>8</v>
      </c>
      <c r="E1509" s="28">
        <f>CEILING(C1509/$H$3,1)*CEILING($H$2/$H$3,1)/CEILING(C1509/$H$3,1)</f>
        <v>1</v>
      </c>
      <c r="F1509" s="28">
        <f>$B$5/D1509/B1509*E1509</f>
        <v>1.52971875</v>
      </c>
    </row>
    <row r="1510" spans="1:6" x14ac:dyDescent="0.4">
      <c r="A1510" s="28">
        <f t="shared" si="47"/>
        <v>1794</v>
      </c>
      <c r="B1510" s="28">
        <f t="shared" si="46"/>
        <v>0.11025358324145534</v>
      </c>
      <c r="C1510" s="28">
        <f>A1510+$E$6</f>
        <v>1816</v>
      </c>
      <c r="D1510" s="28">
        <f>CEILING(C1510/$H$3,1)*CEILING($H$2/$H$3,1)/CEILING($H$2/$H$3,1)</f>
        <v>8</v>
      </c>
      <c r="E1510" s="28">
        <f>CEILING(C1510/$H$3,1)*CEILING($H$2/$H$3,1)/CEILING(C1510/$H$3,1)</f>
        <v>1</v>
      </c>
      <c r="F1510" s="28">
        <f>$B$5/D1510/B1510*E1510</f>
        <v>1.5305625</v>
      </c>
    </row>
    <row r="1511" spans="1:6" x14ac:dyDescent="0.4">
      <c r="A1511" s="28">
        <f t="shared" si="47"/>
        <v>1795</v>
      </c>
      <c r="B1511" s="28">
        <f t="shared" si="46"/>
        <v>0.11019283746556474</v>
      </c>
      <c r="C1511" s="28">
        <f>A1511+$E$6</f>
        <v>1817</v>
      </c>
      <c r="D1511" s="28">
        <f>CEILING(C1511/$H$3,1)*CEILING($H$2/$H$3,1)/CEILING($H$2/$H$3,1)</f>
        <v>8</v>
      </c>
      <c r="E1511" s="28">
        <f>CEILING(C1511/$H$3,1)*CEILING($H$2/$H$3,1)/CEILING(C1511/$H$3,1)</f>
        <v>1</v>
      </c>
      <c r="F1511" s="28">
        <f>$B$5/D1511/B1511*E1511</f>
        <v>1.5314062500000001</v>
      </c>
    </row>
    <row r="1512" spans="1:6" x14ac:dyDescent="0.4">
      <c r="A1512" s="28">
        <f t="shared" si="47"/>
        <v>1796</v>
      </c>
      <c r="B1512" s="28">
        <f t="shared" si="46"/>
        <v>0.11013215859030837</v>
      </c>
      <c r="C1512" s="28">
        <f>A1512+$E$6</f>
        <v>1818</v>
      </c>
      <c r="D1512" s="28">
        <f>CEILING(C1512/$H$3,1)*CEILING($H$2/$H$3,1)/CEILING($H$2/$H$3,1)</f>
        <v>8</v>
      </c>
      <c r="E1512" s="28">
        <f>CEILING(C1512/$H$3,1)*CEILING($H$2/$H$3,1)/CEILING(C1512/$H$3,1)</f>
        <v>1</v>
      </c>
      <c r="F1512" s="28">
        <f>$B$5/D1512/B1512*E1512</f>
        <v>1.5322500000000001</v>
      </c>
    </row>
    <row r="1513" spans="1:6" x14ac:dyDescent="0.4">
      <c r="A1513" s="28">
        <f t="shared" si="47"/>
        <v>1797</v>
      </c>
      <c r="B1513" s="28">
        <f t="shared" si="46"/>
        <v>0.11007154650522839</v>
      </c>
      <c r="C1513" s="28">
        <f>A1513+$E$6</f>
        <v>1819</v>
      </c>
      <c r="D1513" s="28">
        <f>CEILING(C1513/$H$3,1)*CEILING($H$2/$H$3,1)/CEILING($H$2/$H$3,1)</f>
        <v>8</v>
      </c>
      <c r="E1513" s="28">
        <f>CEILING(C1513/$H$3,1)*CEILING($H$2/$H$3,1)/CEILING(C1513/$H$3,1)</f>
        <v>1</v>
      </c>
      <c r="F1513" s="28">
        <f>$B$5/D1513/B1513*E1513</f>
        <v>1.5330937500000001</v>
      </c>
    </row>
    <row r="1514" spans="1:6" x14ac:dyDescent="0.4">
      <c r="A1514" s="28">
        <f t="shared" si="47"/>
        <v>1798</v>
      </c>
      <c r="B1514" s="28">
        <f t="shared" si="46"/>
        <v>0.11001100110011001</v>
      </c>
      <c r="C1514" s="28">
        <f>A1514+$E$6</f>
        <v>1820</v>
      </c>
      <c r="D1514" s="28">
        <f>CEILING(C1514/$H$3,1)*CEILING($H$2/$H$3,1)/CEILING($H$2/$H$3,1)</f>
        <v>8</v>
      </c>
      <c r="E1514" s="28">
        <f>CEILING(C1514/$H$3,1)*CEILING($H$2/$H$3,1)/CEILING(C1514/$H$3,1)</f>
        <v>1</v>
      </c>
      <c r="F1514" s="28">
        <f>$B$5/D1514/B1514*E1514</f>
        <v>1.5339375</v>
      </c>
    </row>
    <row r="1515" spans="1:6" x14ac:dyDescent="0.4">
      <c r="A1515" s="28">
        <f t="shared" si="47"/>
        <v>1799</v>
      </c>
      <c r="B1515" s="28">
        <f t="shared" si="46"/>
        <v>0.10995052226498075</v>
      </c>
      <c r="C1515" s="28">
        <f>A1515+$E$6</f>
        <v>1821</v>
      </c>
      <c r="D1515" s="28">
        <f>CEILING(C1515/$H$3,1)*CEILING($H$2/$H$3,1)/CEILING($H$2/$H$3,1)</f>
        <v>8</v>
      </c>
      <c r="E1515" s="28">
        <f>CEILING(C1515/$H$3,1)*CEILING($H$2/$H$3,1)/CEILING(C1515/$H$3,1)</f>
        <v>1</v>
      </c>
      <c r="F1515" s="28">
        <f>$B$5/D1515/B1515*E1515</f>
        <v>1.5347812500000002</v>
      </c>
    </row>
    <row r="1516" spans="1:6" x14ac:dyDescent="0.4">
      <c r="A1516" s="28">
        <f t="shared" si="47"/>
        <v>1800</v>
      </c>
      <c r="B1516" s="28">
        <f t="shared" si="46"/>
        <v>0.10989010989010989</v>
      </c>
      <c r="C1516" s="28">
        <f>A1516+$E$6</f>
        <v>1822</v>
      </c>
      <c r="D1516" s="28">
        <f>CEILING(C1516/$H$3,1)*CEILING($H$2/$H$3,1)/CEILING($H$2/$H$3,1)</f>
        <v>8</v>
      </c>
      <c r="E1516" s="28">
        <f>CEILING(C1516/$H$3,1)*CEILING($H$2/$H$3,1)/CEILING(C1516/$H$3,1)</f>
        <v>1</v>
      </c>
      <c r="F1516" s="28">
        <f>$B$5/D1516/B1516*E1516</f>
        <v>1.535625</v>
      </c>
    </row>
    <row r="1517" spans="1:6" x14ac:dyDescent="0.4">
      <c r="A1517" s="28">
        <f t="shared" si="47"/>
        <v>1801</v>
      </c>
      <c r="B1517" s="28">
        <f t="shared" si="46"/>
        <v>0.10982976386600769</v>
      </c>
      <c r="C1517" s="28">
        <f>A1517+$E$6</f>
        <v>1823</v>
      </c>
      <c r="D1517" s="28">
        <f>CEILING(C1517/$H$3,1)*CEILING($H$2/$H$3,1)/CEILING($H$2/$H$3,1)</f>
        <v>8</v>
      </c>
      <c r="E1517" s="28">
        <f>CEILING(C1517/$H$3,1)*CEILING($H$2/$H$3,1)/CEILING(C1517/$H$3,1)</f>
        <v>1</v>
      </c>
      <c r="F1517" s="28">
        <f>$B$5/D1517/B1517*E1517</f>
        <v>1.53646875</v>
      </c>
    </row>
    <row r="1518" spans="1:6" x14ac:dyDescent="0.4">
      <c r="A1518" s="28">
        <f t="shared" si="47"/>
        <v>1802</v>
      </c>
      <c r="B1518" s="28">
        <f t="shared" si="46"/>
        <v>0.10976948408342481</v>
      </c>
      <c r="C1518" s="28">
        <f>A1518+$E$6</f>
        <v>1824</v>
      </c>
      <c r="D1518" s="28">
        <f>CEILING(C1518/$H$3,1)*CEILING($H$2/$H$3,1)/CEILING($H$2/$H$3,1)</f>
        <v>8</v>
      </c>
      <c r="E1518" s="28">
        <f>CEILING(C1518/$H$3,1)*CEILING($H$2/$H$3,1)/CEILING(C1518/$H$3,1)</f>
        <v>1</v>
      </c>
      <c r="F1518" s="28">
        <f>$B$5/D1518/B1518*E1518</f>
        <v>1.5373125000000001</v>
      </c>
    </row>
    <row r="1519" spans="1:6" x14ac:dyDescent="0.4">
      <c r="A1519" s="28">
        <f t="shared" si="47"/>
        <v>1803</v>
      </c>
      <c r="B1519" s="28">
        <f t="shared" si="46"/>
        <v>0.10970927043335162</v>
      </c>
      <c r="C1519" s="28">
        <f>A1519+$E$6</f>
        <v>1825</v>
      </c>
      <c r="D1519" s="28">
        <f>CEILING(C1519/$H$3,1)*CEILING($H$2/$H$3,1)/CEILING($H$2/$H$3,1)</f>
        <v>8</v>
      </c>
      <c r="E1519" s="28">
        <f>CEILING(C1519/$H$3,1)*CEILING($H$2/$H$3,1)/CEILING(C1519/$H$3,1)</f>
        <v>1</v>
      </c>
      <c r="F1519" s="28">
        <f>$B$5/D1519/B1519*E1519</f>
        <v>1.5381562500000001</v>
      </c>
    </row>
    <row r="1520" spans="1:6" x14ac:dyDescent="0.4">
      <c r="A1520" s="28">
        <f t="shared" si="47"/>
        <v>1804</v>
      </c>
      <c r="B1520" s="28">
        <f t="shared" si="46"/>
        <v>0.10964912280701754</v>
      </c>
      <c r="C1520" s="28">
        <f>A1520+$E$6</f>
        <v>1826</v>
      </c>
      <c r="D1520" s="28">
        <f>CEILING(C1520/$H$3,1)*CEILING($H$2/$H$3,1)/CEILING($H$2/$H$3,1)</f>
        <v>8</v>
      </c>
      <c r="E1520" s="28">
        <f>CEILING(C1520/$H$3,1)*CEILING($H$2/$H$3,1)/CEILING(C1520/$H$3,1)</f>
        <v>1</v>
      </c>
      <c r="F1520" s="28">
        <f>$B$5/D1520/B1520*E1520</f>
        <v>1.5390000000000001</v>
      </c>
    </row>
    <row r="1521" spans="1:6" x14ac:dyDescent="0.4">
      <c r="A1521" s="28">
        <f t="shared" si="47"/>
        <v>1805</v>
      </c>
      <c r="B1521" s="28">
        <f t="shared" si="46"/>
        <v>0.1095890410958904</v>
      </c>
      <c r="C1521" s="28">
        <f>A1521+$E$6</f>
        <v>1827</v>
      </c>
      <c r="D1521" s="28">
        <f>CEILING(C1521/$H$3,1)*CEILING($H$2/$H$3,1)/CEILING($H$2/$H$3,1)</f>
        <v>8</v>
      </c>
      <c r="E1521" s="28">
        <f>CEILING(C1521/$H$3,1)*CEILING($H$2/$H$3,1)/CEILING(C1521/$H$3,1)</f>
        <v>1</v>
      </c>
      <c r="F1521" s="28">
        <f>$B$5/D1521/B1521*E1521</f>
        <v>1.5398437500000002</v>
      </c>
    </row>
    <row r="1522" spans="1:6" x14ac:dyDescent="0.4">
      <c r="A1522" s="28">
        <f t="shared" si="47"/>
        <v>1806</v>
      </c>
      <c r="B1522" s="28">
        <f t="shared" si="46"/>
        <v>0.10952902519167579</v>
      </c>
      <c r="C1522" s="28">
        <f>A1522+$E$6</f>
        <v>1828</v>
      </c>
      <c r="D1522" s="28">
        <f>CEILING(C1522/$H$3,1)*CEILING($H$2/$H$3,1)/CEILING($H$2/$H$3,1)</f>
        <v>8</v>
      </c>
      <c r="E1522" s="28">
        <f>CEILING(C1522/$H$3,1)*CEILING($H$2/$H$3,1)/CEILING(C1522/$H$3,1)</f>
        <v>1</v>
      </c>
      <c r="F1522" s="28">
        <f>$B$5/D1522/B1522*E1522</f>
        <v>1.5406875000000002</v>
      </c>
    </row>
    <row r="1523" spans="1:6" x14ac:dyDescent="0.4">
      <c r="A1523" s="28">
        <f t="shared" si="47"/>
        <v>1807</v>
      </c>
      <c r="B1523" s="28">
        <f t="shared" si="46"/>
        <v>0.10946907498631636</v>
      </c>
      <c r="C1523" s="28">
        <f>A1523+$E$6</f>
        <v>1829</v>
      </c>
      <c r="D1523" s="28">
        <f>CEILING(C1523/$H$3,1)*CEILING($H$2/$H$3,1)/CEILING($H$2/$H$3,1)</f>
        <v>8</v>
      </c>
      <c r="E1523" s="28">
        <f>CEILING(C1523/$H$3,1)*CEILING($H$2/$H$3,1)/CEILING(C1523/$H$3,1)</f>
        <v>1</v>
      </c>
      <c r="F1523" s="28">
        <f>$B$5/D1523/B1523*E1523</f>
        <v>1.5415312500000002</v>
      </c>
    </row>
    <row r="1524" spans="1:6" x14ac:dyDescent="0.4">
      <c r="A1524" s="28">
        <f t="shared" si="47"/>
        <v>1808</v>
      </c>
      <c r="B1524" s="28">
        <f t="shared" si="46"/>
        <v>0.10940919037199125</v>
      </c>
      <c r="C1524" s="28">
        <f>A1524+$E$6</f>
        <v>1830</v>
      </c>
      <c r="D1524" s="28">
        <f>CEILING(C1524/$H$3,1)*CEILING($H$2/$H$3,1)/CEILING($H$2/$H$3,1)</f>
        <v>8</v>
      </c>
      <c r="E1524" s="28">
        <f>CEILING(C1524/$H$3,1)*CEILING($H$2/$H$3,1)/CEILING(C1524/$H$3,1)</f>
        <v>1</v>
      </c>
      <c r="F1524" s="28">
        <f>$B$5/D1524/B1524*E1524</f>
        <v>1.5423750000000001</v>
      </c>
    </row>
    <row r="1525" spans="1:6" x14ac:dyDescent="0.4">
      <c r="A1525" s="28">
        <f t="shared" si="47"/>
        <v>1809</v>
      </c>
      <c r="B1525" s="28">
        <f t="shared" si="46"/>
        <v>0.10934937124111536</v>
      </c>
      <c r="C1525" s="28">
        <f>A1525+$E$6</f>
        <v>1831</v>
      </c>
      <c r="D1525" s="28">
        <f>CEILING(C1525/$H$3,1)*CEILING($H$2/$H$3,1)/CEILING($H$2/$H$3,1)</f>
        <v>8</v>
      </c>
      <c r="E1525" s="28">
        <f>CEILING(C1525/$H$3,1)*CEILING($H$2/$H$3,1)/CEILING(C1525/$H$3,1)</f>
        <v>1</v>
      </c>
      <c r="F1525" s="28">
        <f>$B$5/D1525/B1525*E1525</f>
        <v>1.5432187500000001</v>
      </c>
    </row>
    <row r="1526" spans="1:6" x14ac:dyDescent="0.4">
      <c r="A1526" s="28">
        <f t="shared" si="47"/>
        <v>1810</v>
      </c>
      <c r="B1526" s="28">
        <f t="shared" si="46"/>
        <v>0.10928961748633879</v>
      </c>
      <c r="C1526" s="28">
        <f>A1526+$E$6</f>
        <v>1832</v>
      </c>
      <c r="D1526" s="28">
        <f>CEILING(C1526/$H$3,1)*CEILING($H$2/$H$3,1)/CEILING($H$2/$H$3,1)</f>
        <v>8</v>
      </c>
      <c r="E1526" s="28">
        <f>CEILING(C1526/$H$3,1)*CEILING($H$2/$H$3,1)/CEILING(C1526/$H$3,1)</f>
        <v>1</v>
      </c>
      <c r="F1526" s="28">
        <f>$B$5/D1526/B1526*E1526</f>
        <v>1.5440625000000001</v>
      </c>
    </row>
    <row r="1527" spans="1:6" x14ac:dyDescent="0.4">
      <c r="A1527" s="28">
        <f t="shared" si="47"/>
        <v>1811</v>
      </c>
      <c r="B1527" s="28">
        <f t="shared" si="46"/>
        <v>0.10922992900054615</v>
      </c>
      <c r="C1527" s="28">
        <f>A1527+$E$6</f>
        <v>1833</v>
      </c>
      <c r="D1527" s="28">
        <f>CEILING(C1527/$H$3,1)*CEILING($H$2/$H$3,1)/CEILING($H$2/$H$3,1)</f>
        <v>8</v>
      </c>
      <c r="E1527" s="28">
        <f>CEILING(C1527/$H$3,1)*CEILING($H$2/$H$3,1)/CEILING(C1527/$H$3,1)</f>
        <v>1</v>
      </c>
      <c r="F1527" s="28">
        <f>$B$5/D1527/B1527*E1527</f>
        <v>1.5449062500000001</v>
      </c>
    </row>
    <row r="1528" spans="1:6" x14ac:dyDescent="0.4">
      <c r="A1528" s="28">
        <f t="shared" si="47"/>
        <v>1812</v>
      </c>
      <c r="B1528" s="28">
        <f t="shared" si="46"/>
        <v>0.1091703056768559</v>
      </c>
      <c r="C1528" s="28">
        <f>A1528+$E$6</f>
        <v>1834</v>
      </c>
      <c r="D1528" s="28">
        <f>CEILING(C1528/$H$3,1)*CEILING($H$2/$H$3,1)/CEILING($H$2/$H$3,1)</f>
        <v>8</v>
      </c>
      <c r="E1528" s="28">
        <f>CEILING(C1528/$H$3,1)*CEILING($H$2/$H$3,1)/CEILING(C1528/$H$3,1)</f>
        <v>1</v>
      </c>
      <c r="F1528" s="28">
        <f>$B$5/D1528/B1528*E1528</f>
        <v>1.54575</v>
      </c>
    </row>
    <row r="1529" spans="1:6" x14ac:dyDescent="0.4">
      <c r="A1529" s="28">
        <f t="shared" si="47"/>
        <v>1813</v>
      </c>
      <c r="B1529" s="28">
        <f t="shared" si="46"/>
        <v>0.10911074740861974</v>
      </c>
      <c r="C1529" s="28">
        <f>A1529+$E$6</f>
        <v>1835</v>
      </c>
      <c r="D1529" s="28">
        <f>CEILING(C1529/$H$3,1)*CEILING($H$2/$H$3,1)/CEILING($H$2/$H$3,1)</f>
        <v>8</v>
      </c>
      <c r="E1529" s="28">
        <f>CEILING(C1529/$H$3,1)*CEILING($H$2/$H$3,1)/CEILING(C1529/$H$3,1)</f>
        <v>1</v>
      </c>
      <c r="F1529" s="28">
        <f>$B$5/D1529/B1529*E1529</f>
        <v>1.5465937500000002</v>
      </c>
    </row>
    <row r="1530" spans="1:6" x14ac:dyDescent="0.4">
      <c r="A1530" s="28">
        <f t="shared" si="47"/>
        <v>1814</v>
      </c>
      <c r="B1530" s="28">
        <f t="shared" si="46"/>
        <v>0.10905125408942203</v>
      </c>
      <c r="C1530" s="28">
        <f>A1530+$E$6</f>
        <v>1836</v>
      </c>
      <c r="D1530" s="28">
        <f>CEILING(C1530/$H$3,1)*CEILING($H$2/$H$3,1)/CEILING($H$2/$H$3,1)</f>
        <v>8</v>
      </c>
      <c r="E1530" s="28">
        <f>CEILING(C1530/$H$3,1)*CEILING($H$2/$H$3,1)/CEILING(C1530/$H$3,1)</f>
        <v>1</v>
      </c>
      <c r="F1530" s="28">
        <f>$B$5/D1530/B1530*E1530</f>
        <v>1.5474375000000002</v>
      </c>
    </row>
    <row r="1531" spans="1:6" x14ac:dyDescent="0.4">
      <c r="A1531" s="28">
        <f t="shared" si="47"/>
        <v>1815</v>
      </c>
      <c r="B1531" s="28">
        <f t="shared" si="46"/>
        <v>0.10899182561307902</v>
      </c>
      <c r="C1531" s="28">
        <f>A1531+$E$6</f>
        <v>1837</v>
      </c>
      <c r="D1531" s="28">
        <f>CEILING(C1531/$H$3,1)*CEILING($H$2/$H$3,1)/CEILING($H$2/$H$3,1)</f>
        <v>8</v>
      </c>
      <c r="E1531" s="28">
        <f>CEILING(C1531/$H$3,1)*CEILING($H$2/$H$3,1)/CEILING(C1531/$H$3,1)</f>
        <v>1</v>
      </c>
      <c r="F1531" s="28">
        <f>$B$5/D1531/B1531*E1531</f>
        <v>1.5482812500000001</v>
      </c>
    </row>
    <row r="1532" spans="1:6" x14ac:dyDescent="0.4">
      <c r="A1532" s="28">
        <f t="shared" si="47"/>
        <v>1816</v>
      </c>
      <c r="B1532" s="28">
        <f t="shared" si="46"/>
        <v>0.10893246187363835</v>
      </c>
      <c r="C1532" s="28">
        <f>A1532+$E$6</f>
        <v>1838</v>
      </c>
      <c r="D1532" s="28">
        <f>CEILING(C1532/$H$3,1)*CEILING($H$2/$H$3,1)/CEILING($H$2/$H$3,1)</f>
        <v>8</v>
      </c>
      <c r="E1532" s="28">
        <f>CEILING(C1532/$H$3,1)*CEILING($H$2/$H$3,1)/CEILING(C1532/$H$3,1)</f>
        <v>1</v>
      </c>
      <c r="F1532" s="28">
        <f>$B$5/D1532/B1532*E1532</f>
        <v>1.5491250000000001</v>
      </c>
    </row>
    <row r="1533" spans="1:6" x14ac:dyDescent="0.4">
      <c r="A1533" s="28">
        <f t="shared" si="47"/>
        <v>1817</v>
      </c>
      <c r="B1533" s="28">
        <f t="shared" si="46"/>
        <v>0.10887316276537834</v>
      </c>
      <c r="C1533" s="28">
        <f>A1533+$E$6</f>
        <v>1839</v>
      </c>
      <c r="D1533" s="28">
        <f>CEILING(C1533/$H$3,1)*CEILING($H$2/$H$3,1)/CEILING($H$2/$H$3,1)</f>
        <v>8</v>
      </c>
      <c r="E1533" s="28">
        <f>CEILING(C1533/$H$3,1)*CEILING($H$2/$H$3,1)/CEILING(C1533/$H$3,1)</f>
        <v>1</v>
      </c>
      <c r="F1533" s="28">
        <f>$B$5/D1533/B1533*E1533</f>
        <v>1.5499687500000001</v>
      </c>
    </row>
    <row r="1534" spans="1:6" x14ac:dyDescent="0.4">
      <c r="A1534" s="28">
        <f t="shared" si="47"/>
        <v>1818</v>
      </c>
      <c r="B1534" s="28">
        <f t="shared" si="46"/>
        <v>0.1088139281828074</v>
      </c>
      <c r="C1534" s="28">
        <f>A1534+$E$6</f>
        <v>1840</v>
      </c>
      <c r="D1534" s="28">
        <f>CEILING(C1534/$H$3,1)*CEILING($H$2/$H$3,1)/CEILING($H$2/$H$3,1)</f>
        <v>8</v>
      </c>
      <c r="E1534" s="28">
        <f>CEILING(C1534/$H$3,1)*CEILING($H$2/$H$3,1)/CEILING(C1534/$H$3,1)</f>
        <v>1</v>
      </c>
      <c r="F1534" s="28">
        <f>$B$5/D1534/B1534*E1534</f>
        <v>1.5508125000000001</v>
      </c>
    </row>
    <row r="1535" spans="1:6" x14ac:dyDescent="0.4">
      <c r="A1535" s="28">
        <f t="shared" si="47"/>
        <v>1819</v>
      </c>
      <c r="B1535" s="28">
        <f t="shared" si="46"/>
        <v>0.10875475802066341</v>
      </c>
      <c r="C1535" s="28">
        <f>A1535+$E$6</f>
        <v>1841</v>
      </c>
      <c r="D1535" s="28">
        <f>CEILING(C1535/$H$3,1)*CEILING($H$2/$H$3,1)/CEILING($H$2/$H$3,1)</f>
        <v>8</v>
      </c>
      <c r="E1535" s="28">
        <f>CEILING(C1535/$H$3,1)*CEILING($H$2/$H$3,1)/CEILING(C1535/$H$3,1)</f>
        <v>1</v>
      </c>
      <c r="F1535" s="28">
        <f>$B$5/D1535/B1535*E1535</f>
        <v>1.55165625</v>
      </c>
    </row>
    <row r="1536" spans="1:6" x14ac:dyDescent="0.4">
      <c r="A1536" s="28">
        <f t="shared" si="47"/>
        <v>1820</v>
      </c>
      <c r="B1536" s="28">
        <f t="shared" si="46"/>
        <v>0.10869565217391304</v>
      </c>
      <c r="C1536" s="28">
        <f>A1536+$E$6</f>
        <v>1842</v>
      </c>
      <c r="D1536" s="28">
        <f>CEILING(C1536/$H$3,1)*CEILING($H$2/$H$3,1)/CEILING($H$2/$H$3,1)</f>
        <v>8</v>
      </c>
      <c r="E1536" s="28">
        <f>CEILING(C1536/$H$3,1)*CEILING($H$2/$H$3,1)/CEILING(C1536/$H$3,1)</f>
        <v>1</v>
      </c>
      <c r="F1536" s="28">
        <f>$B$5/D1536/B1536*E1536</f>
        <v>1.5525000000000002</v>
      </c>
    </row>
    <row r="1537" spans="1:6" x14ac:dyDescent="0.4">
      <c r="A1537" s="28">
        <f t="shared" si="47"/>
        <v>1821</v>
      </c>
      <c r="B1537" s="28">
        <f t="shared" si="46"/>
        <v>0.10863661053775123</v>
      </c>
      <c r="C1537" s="28">
        <f>A1537+$E$6</f>
        <v>1843</v>
      </c>
      <c r="D1537" s="28">
        <f>CEILING(C1537/$H$3,1)*CEILING($H$2/$H$3,1)/CEILING($H$2/$H$3,1)</f>
        <v>8</v>
      </c>
      <c r="E1537" s="28">
        <f>CEILING(C1537/$H$3,1)*CEILING($H$2/$H$3,1)/CEILING(C1537/$H$3,1)</f>
        <v>1</v>
      </c>
      <c r="F1537" s="28">
        <f>$B$5/D1537/B1537*E1537</f>
        <v>1.55334375</v>
      </c>
    </row>
    <row r="1538" spans="1:6" x14ac:dyDescent="0.4">
      <c r="A1538" s="28">
        <f t="shared" si="47"/>
        <v>1822</v>
      </c>
      <c r="B1538" s="28">
        <f t="shared" si="46"/>
        <v>0.10857763300760044</v>
      </c>
      <c r="C1538" s="28">
        <f>A1538+$E$6</f>
        <v>1844</v>
      </c>
      <c r="D1538" s="28">
        <f>CEILING(C1538/$H$3,1)*CEILING($H$2/$H$3,1)/CEILING($H$2/$H$3,1)</f>
        <v>8</v>
      </c>
      <c r="E1538" s="28">
        <f>CEILING(C1538/$H$3,1)*CEILING($H$2/$H$3,1)/CEILING(C1538/$H$3,1)</f>
        <v>1</v>
      </c>
      <c r="F1538" s="28">
        <f>$B$5/D1538/B1538*E1538</f>
        <v>1.5541875000000001</v>
      </c>
    </row>
    <row r="1539" spans="1:6" x14ac:dyDescent="0.4">
      <c r="A1539" s="28">
        <f t="shared" si="47"/>
        <v>1823</v>
      </c>
      <c r="B1539" s="28">
        <f t="shared" si="46"/>
        <v>0.10851871947911014</v>
      </c>
      <c r="C1539" s="28">
        <f>A1539+$E$6</f>
        <v>1845</v>
      </c>
      <c r="D1539" s="28">
        <f>CEILING(C1539/$H$3,1)*CEILING($H$2/$H$3,1)/CEILING($H$2/$H$3,1)</f>
        <v>8</v>
      </c>
      <c r="E1539" s="28">
        <f>CEILING(C1539/$H$3,1)*CEILING($H$2/$H$3,1)/CEILING(C1539/$H$3,1)</f>
        <v>1</v>
      </c>
      <c r="F1539" s="28">
        <f>$B$5/D1539/B1539*E1539</f>
        <v>1.5550312500000001</v>
      </c>
    </row>
    <row r="1540" spans="1:6" x14ac:dyDescent="0.4">
      <c r="A1540" s="28">
        <f t="shared" si="47"/>
        <v>1824</v>
      </c>
      <c r="B1540" s="28">
        <f t="shared" si="46"/>
        <v>0.10845986984815618</v>
      </c>
      <c r="C1540" s="28">
        <f>A1540+$E$6</f>
        <v>1846</v>
      </c>
      <c r="D1540" s="28">
        <f>CEILING(C1540/$H$3,1)*CEILING($H$2/$H$3,1)/CEILING($H$2/$H$3,1)</f>
        <v>8</v>
      </c>
      <c r="E1540" s="28">
        <f>CEILING(C1540/$H$3,1)*CEILING($H$2/$H$3,1)/CEILING(C1540/$H$3,1)</f>
        <v>1</v>
      </c>
      <c r="F1540" s="28">
        <f>$B$5/D1540/B1540*E1540</f>
        <v>1.5558750000000001</v>
      </c>
    </row>
    <row r="1541" spans="1:6" x14ac:dyDescent="0.4">
      <c r="A1541" s="28">
        <f t="shared" si="47"/>
        <v>1825</v>
      </c>
      <c r="B1541" s="28">
        <f t="shared" si="46"/>
        <v>0.10840108401084012</v>
      </c>
      <c r="C1541" s="28">
        <f>A1541+$E$6</f>
        <v>1847</v>
      </c>
      <c r="D1541" s="28">
        <f>CEILING(C1541/$H$3,1)*CEILING($H$2/$H$3,1)/CEILING($H$2/$H$3,1)</f>
        <v>8</v>
      </c>
      <c r="E1541" s="28">
        <f>CEILING(C1541/$H$3,1)*CEILING($H$2/$H$3,1)/CEILING(C1541/$H$3,1)</f>
        <v>1</v>
      </c>
      <c r="F1541" s="28">
        <f>$B$5/D1541/B1541*E1541</f>
        <v>1.5567187499999999</v>
      </c>
    </row>
    <row r="1542" spans="1:6" x14ac:dyDescent="0.4">
      <c r="A1542" s="28">
        <f t="shared" si="47"/>
        <v>1826</v>
      </c>
      <c r="B1542" s="28">
        <f t="shared" si="46"/>
        <v>0.10834236186348863</v>
      </c>
      <c r="C1542" s="28">
        <f>A1542+$E$6</f>
        <v>1848</v>
      </c>
      <c r="D1542" s="28">
        <f>CEILING(C1542/$H$3,1)*CEILING($H$2/$H$3,1)/CEILING($H$2/$H$3,1)</f>
        <v>8</v>
      </c>
      <c r="E1542" s="28">
        <f>CEILING(C1542/$H$3,1)*CEILING($H$2/$H$3,1)/CEILING(C1542/$H$3,1)</f>
        <v>1</v>
      </c>
      <c r="F1542" s="28">
        <f>$B$5/D1542/B1542*E1542</f>
        <v>1.5575625000000002</v>
      </c>
    </row>
    <row r="1543" spans="1:6" x14ac:dyDescent="0.4">
      <c r="A1543" s="28">
        <f t="shared" si="47"/>
        <v>1827</v>
      </c>
      <c r="B1543" s="28">
        <f t="shared" si="46"/>
        <v>0.10828370330265295</v>
      </c>
      <c r="C1543" s="28">
        <f>A1543+$E$6</f>
        <v>1849</v>
      </c>
      <c r="D1543" s="28">
        <f>CEILING(C1543/$H$3,1)*CEILING($H$2/$H$3,1)/CEILING($H$2/$H$3,1)</f>
        <v>8</v>
      </c>
      <c r="E1543" s="28">
        <f>CEILING(C1543/$H$3,1)*CEILING($H$2/$H$3,1)/CEILING(C1543/$H$3,1)</f>
        <v>1</v>
      </c>
      <c r="F1543" s="28">
        <f>$B$5/D1543/B1543*E1543</f>
        <v>1.55840625</v>
      </c>
    </row>
    <row r="1544" spans="1:6" x14ac:dyDescent="0.4">
      <c r="A1544" s="28">
        <f t="shared" si="47"/>
        <v>1828</v>
      </c>
      <c r="B1544" s="28">
        <f t="shared" si="46"/>
        <v>0.10822510822510822</v>
      </c>
      <c r="C1544" s="28">
        <f>A1544+$E$6</f>
        <v>1850</v>
      </c>
      <c r="D1544" s="28">
        <f>CEILING(C1544/$H$3,1)*CEILING($H$2/$H$3,1)/CEILING($H$2/$H$3,1)</f>
        <v>8</v>
      </c>
      <c r="E1544" s="28">
        <f>CEILING(C1544/$H$3,1)*CEILING($H$2/$H$3,1)/CEILING(C1544/$H$3,1)</f>
        <v>1</v>
      </c>
      <c r="F1544" s="28">
        <f>$B$5/D1544/B1544*E1544</f>
        <v>1.55925</v>
      </c>
    </row>
    <row r="1545" spans="1:6" x14ac:dyDescent="0.4">
      <c r="A1545" s="28">
        <f t="shared" si="47"/>
        <v>1829</v>
      </c>
      <c r="B1545" s="28">
        <f t="shared" si="46"/>
        <v>0.10816657652785289</v>
      </c>
      <c r="C1545" s="28">
        <f>A1545+$E$6</f>
        <v>1851</v>
      </c>
      <c r="D1545" s="28">
        <f>CEILING(C1545/$H$3,1)*CEILING($H$2/$H$3,1)/CEILING($H$2/$H$3,1)</f>
        <v>8</v>
      </c>
      <c r="E1545" s="28">
        <f>CEILING(C1545/$H$3,1)*CEILING($H$2/$H$3,1)/CEILING(C1545/$H$3,1)</f>
        <v>1</v>
      </c>
      <c r="F1545" s="28">
        <f>$B$5/D1545/B1545*E1545</f>
        <v>1.5600937500000003</v>
      </c>
    </row>
    <row r="1546" spans="1:6" x14ac:dyDescent="0.4">
      <c r="A1546" s="28">
        <f t="shared" si="47"/>
        <v>1830</v>
      </c>
      <c r="B1546" s="28">
        <f t="shared" si="46"/>
        <v>0.10810810810810811</v>
      </c>
      <c r="C1546" s="28">
        <f>A1546+$E$6</f>
        <v>1852</v>
      </c>
      <c r="D1546" s="28">
        <f>CEILING(C1546/$H$3,1)*CEILING($H$2/$H$3,1)/CEILING($H$2/$H$3,1)</f>
        <v>8</v>
      </c>
      <c r="E1546" s="28">
        <f>CEILING(C1546/$H$3,1)*CEILING($H$2/$H$3,1)/CEILING(C1546/$H$3,1)</f>
        <v>1</v>
      </c>
      <c r="F1546" s="28">
        <f>$B$5/D1546/B1546*E1546</f>
        <v>1.5609375000000001</v>
      </c>
    </row>
    <row r="1547" spans="1:6" x14ac:dyDescent="0.4">
      <c r="A1547" s="28">
        <f t="shared" si="47"/>
        <v>1831</v>
      </c>
      <c r="B1547" s="28">
        <f t="shared" ref="B1547" si="48">$B$4/8/(A1547+$B$2)</f>
        <v>0.10804970286331712</v>
      </c>
      <c r="C1547" s="28">
        <f>A1547+$E$6</f>
        <v>1853</v>
      </c>
      <c r="D1547" s="28">
        <f>CEILING(C1547/$H$3,1)*CEILING($H$2/$H$3,1)/CEILING($H$2/$H$3,1)</f>
        <v>8</v>
      </c>
      <c r="E1547" s="28">
        <f>CEILING(C1547/$H$3,1)*CEILING($H$2/$H$3,1)/CEILING(C1547/$H$3,1)</f>
        <v>1</v>
      </c>
      <c r="F1547" s="28">
        <f>$B$5/D1547/B1547*E1547</f>
        <v>1.5617812500000001</v>
      </c>
    </row>
  </sheetData>
  <phoneticPr fontId="1" type="noConversion"/>
  <dataValidations disablePrompts="1" count="2">
    <dataValidation type="textLength" showInputMessage="1" showErrorMessage="1" sqref="E2:E5 H3 B2:B5 H2" xr:uid="{47EA4FDC-DC62-430C-AE67-B439C396D9BA}">
      <formula1>0</formula1>
      <formula2>64</formula2>
    </dataValidation>
    <dataValidation type="textLength" operator="lessThan" allowBlank="1" showInputMessage="1" showErrorMessage="1" sqref="A9:F10" xr:uid="{26416E99-59F7-4DB4-8CD5-F6583DA37FFB}">
      <formula1>32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>
    <tabColor rgb="FFFFC000"/>
  </sheetPr>
  <dimension ref="A2:F11"/>
  <sheetViews>
    <sheetView workbookViewId="0">
      <pane xSplit="2" ySplit="4" topLeftCell="C5" activePane="bottomRight" state="frozen"/>
      <selection pane="topRight" activeCell="C1" sqref="C1"/>
      <selection pane="bottomLeft" activeCell="A7" sqref="A7"/>
      <selection pane="bottomRight" activeCell="D17" sqref="D17"/>
    </sheetView>
  </sheetViews>
  <sheetFormatPr defaultRowHeight="13.9" x14ac:dyDescent="0.4"/>
  <cols>
    <col min="1" max="1" width="14.3984375" customWidth="1"/>
    <col min="2" max="3" width="17.19921875" customWidth="1"/>
    <col min="4" max="4" width="82.06640625" customWidth="1"/>
    <col min="5" max="5" width="15.265625" customWidth="1"/>
    <col min="6" max="6" width="17.19921875" customWidth="1"/>
  </cols>
  <sheetData>
    <row r="2" spans="1:6" x14ac:dyDescent="0.4">
      <c r="A2" t="s">
        <v>56</v>
      </c>
    </row>
    <row r="4" spans="1:6" x14ac:dyDescent="0.4">
      <c r="A4" s="39" t="s">
        <v>161</v>
      </c>
      <c r="B4" s="39" t="s">
        <v>99</v>
      </c>
      <c r="C4" s="39" t="s">
        <v>169</v>
      </c>
      <c r="D4" s="39" t="s">
        <v>14</v>
      </c>
      <c r="E4" s="39" t="s">
        <v>162</v>
      </c>
      <c r="F4" s="39" t="s">
        <v>163</v>
      </c>
    </row>
    <row r="5" spans="1:6" ht="102" x14ac:dyDescent="0.4">
      <c r="A5" s="19"/>
      <c r="B5" s="42" t="s">
        <v>168</v>
      </c>
      <c r="C5" s="19"/>
      <c r="D5" s="41" t="s">
        <v>197</v>
      </c>
      <c r="E5" s="2" t="s">
        <v>165</v>
      </c>
      <c r="F5" s="2" t="s">
        <v>166</v>
      </c>
    </row>
    <row r="6" spans="1:6" x14ac:dyDescent="0.4">
      <c r="A6" s="78"/>
      <c r="B6" s="78" t="s">
        <v>170</v>
      </c>
      <c r="C6" s="19"/>
      <c r="D6" s="41" t="s">
        <v>171</v>
      </c>
      <c r="E6" s="2"/>
      <c r="F6" s="2"/>
    </row>
    <row r="7" spans="1:6" x14ac:dyDescent="0.4">
      <c r="A7" s="79"/>
      <c r="B7" s="79"/>
      <c r="C7" s="19" t="s">
        <v>173</v>
      </c>
      <c r="D7" s="41" t="s">
        <v>175</v>
      </c>
      <c r="E7" s="2" t="s">
        <v>164</v>
      </c>
      <c r="F7" s="2" t="s">
        <v>172</v>
      </c>
    </row>
    <row r="8" spans="1:6" ht="38.25" x14ac:dyDescent="0.4">
      <c r="A8" s="79"/>
      <c r="B8" s="79"/>
      <c r="C8" s="19" t="s">
        <v>177</v>
      </c>
      <c r="D8" s="41" t="s">
        <v>176</v>
      </c>
      <c r="E8" s="2"/>
      <c r="F8" s="2"/>
    </row>
    <row r="9" spans="1:6" ht="51" x14ac:dyDescent="0.4">
      <c r="A9" s="79"/>
      <c r="B9" s="79"/>
      <c r="C9" s="19" t="s">
        <v>174</v>
      </c>
      <c r="D9" s="41" t="s">
        <v>178</v>
      </c>
      <c r="E9" s="2"/>
      <c r="F9" s="2"/>
    </row>
    <row r="10" spans="1:6" ht="38.25" x14ac:dyDescent="0.4">
      <c r="A10" s="80"/>
      <c r="B10" s="80"/>
      <c r="C10" s="19" t="s">
        <v>179</v>
      </c>
      <c r="D10" s="41" t="s">
        <v>180</v>
      </c>
      <c r="E10" s="2"/>
      <c r="F10" s="2"/>
    </row>
    <row r="11" spans="1:6" ht="51" x14ac:dyDescent="0.4">
      <c r="A11" s="19"/>
      <c r="B11" s="42" t="s">
        <v>181</v>
      </c>
      <c r="C11" s="19"/>
      <c r="D11" s="41" t="s">
        <v>167</v>
      </c>
      <c r="E11" s="2" t="s">
        <v>165</v>
      </c>
      <c r="F11" s="2" t="s">
        <v>166</v>
      </c>
    </row>
  </sheetData>
  <mergeCells count="2">
    <mergeCell ref="B6:B10"/>
    <mergeCell ref="A6:A10"/>
  </mergeCells>
  <phoneticPr fontId="1" type="noConversion"/>
  <dataValidations count="2">
    <dataValidation type="textLength" showInputMessage="1" showErrorMessage="1" sqref="E5:F11" xr:uid="{EEC43557-C1BC-4965-8216-62A7EBCED3EA}">
      <formula1>0</formula1>
      <formula2>64</formula2>
    </dataValidation>
    <dataValidation showInputMessage="1" showErrorMessage="1" sqref="D5:D11" xr:uid="{61E0D737-4AAF-486D-9153-4A944ABFA2C8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48</v>
      </c>
    </row>
    <row r="3" spans="1:2" x14ac:dyDescent="0.4">
      <c r="B3" t="s">
        <v>45</v>
      </c>
    </row>
    <row r="4" spans="1:2" x14ac:dyDescent="0.4">
      <c r="B4" s="8" t="s">
        <v>46</v>
      </c>
    </row>
    <row r="5" spans="1:2" x14ac:dyDescent="0.4">
      <c r="B5" t="s">
        <v>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32</vt:i4>
      </vt:variant>
    </vt:vector>
  </HeadingPairs>
  <TitlesOfParts>
    <vt:vector size="42" baseType="lpstr">
      <vt:lpstr>DataSummary</vt:lpstr>
      <vt:lpstr>Script</vt:lpstr>
      <vt:lpstr>Fileds</vt:lpstr>
      <vt:lpstr>Multicast</vt:lpstr>
      <vt:lpstr>Process</vt:lpstr>
      <vt:lpstr>Backpress</vt:lpstr>
      <vt:lpstr>Latency</vt:lpstr>
      <vt:lpstr>Performance</vt:lpstr>
      <vt:lpstr>DFx</vt:lpstr>
      <vt:lpstr>ScriptHelp</vt:lpstr>
      <vt:lpstr>ARB_IN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CPY_NUM_RNG</vt:lpstr>
      <vt:lpstr>DATA_DEPTH</vt:lpstr>
      <vt:lpstr>DATA_INST</vt:lpstr>
      <vt:lpstr>DestSheet</vt:lpstr>
      <vt:lpstr>END_TREE</vt:lpstr>
      <vt:lpstr>PID_RNG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  <vt:lpstr>STAGE_RNG</vt:lpstr>
      <vt:lpstr>START_TREE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2020-01-08T23:09:25Z</dcterms:modified>
</cp:coreProperties>
</file>