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13332E1C-10BD-4048-8A77-C62FC14C214F}" xr6:coauthVersionLast="45" xr6:coauthVersionMax="45" xr10:uidLastSave="{00000000-0000-0000-0000-000000000000}"/>
  <bookViews>
    <workbookView xWindow="-98" yWindow="-98" windowWidth="20715" windowHeight="13276" activeTab="1" xr2:uid="{2CE4B1C9-8906-421A-B932-A2C3F5D0AC6B}"/>
  </bookViews>
  <sheets>
    <sheet name="DataSummary" sheetId="2" r:id="rId1"/>
    <sheet name="Script" sheetId="1" r:id="rId2"/>
    <sheet name="Rules" sheetId="4" r:id="rId3"/>
    <sheet name="ScriptHelp" sheetId="3" r:id="rId4"/>
  </sheets>
  <functionGroups builtInGroupCount="19"/>
  <definedNames>
    <definedName name="_xlnm._FilterDatabase" localSheetId="1" hidden="1">Script!$A$5:$G$6</definedName>
    <definedName name="ARB_IPTR">Script!$G$30</definedName>
    <definedName name="ARB_ONUM">Script!$H$30</definedName>
    <definedName name="ARB_REG">Script!$O$30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DestSheet">Script!$C$1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2" l="1"/>
  <c r="H7" i="2"/>
  <c r="E7" i="2"/>
  <c r="A7" i="2"/>
  <c r="I6" i="2"/>
  <c r="H6" i="2"/>
  <c r="A6" i="2"/>
  <c r="I5" i="2"/>
  <c r="H5" i="2"/>
  <c r="E5" i="2"/>
  <c r="A5" i="2"/>
  <c r="I4" i="2"/>
  <c r="H4" i="2"/>
  <c r="E4" i="2"/>
  <c r="A4" i="2"/>
  <c r="I3" i="2"/>
  <c r="H3" i="2"/>
  <c r="E3" i="2"/>
  <c r="A3" i="2"/>
  <c r="O31" i="1" l="1"/>
  <c r="F15" i="2" l="1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G26" i="2" l="1"/>
  <c r="G22" i="2"/>
  <c r="G18" i="2"/>
  <c r="F14" i="2" l="1"/>
  <c r="G14" i="2" s="1"/>
  <c r="F11" i="2"/>
  <c r="G11" i="2" s="1"/>
  <c r="M31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G9" i="2" l="1"/>
  <c r="J13" i="2"/>
  <c r="J12" i="2"/>
  <c r="J14" i="2"/>
  <c r="J4" i="2"/>
  <c r="J3" i="2"/>
  <c r="L31" i="1"/>
  <c r="K31" i="1"/>
  <c r="J10" i="2" l="1"/>
  <c r="J11" i="2"/>
  <c r="J8" i="2"/>
  <c r="J6" i="2"/>
  <c r="J31" i="2" s="1"/>
  <c r="H31" i="2" s="1"/>
  <c r="J9" i="2"/>
  <c r="J7" i="2"/>
  <c r="J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P30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<sst xmlns="http://schemas.openxmlformats.org/spreadsheetml/2006/main" count="105" uniqueCount="68">
  <si>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</si>
  <si>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</si>
  <si>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</si>
  <si>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</si>
  <si>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</si>
  <si>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</si>
  <si>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</si>
  <si>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</si>
  <si>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</si>
  <si>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</si>
  <si>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</si>
  <si>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</si>
  <si>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</si>
  <si>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</si>
  <si>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</si>
  <si>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</si>
  <si>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</si>
  <si>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</si>
  <si>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</si>
  <si>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</si>
  <si>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</si>
  <si>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</si>
  <si>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</si>
  <si>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</si>
  <si>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</si>
  <si>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</si>
  <si>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</si>
  <si>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</si>
  <si>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</si>
  <si>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</si>
  <si>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</si>
  <si>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</si>
  <si>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</si>
  <si>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</si>
  <si>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</si>
  <si>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</si>
  <si>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</si>
  <si>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</si>
  <si>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</si>
  <si>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</si>
  <si>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</si>
  <si>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</si>
  <si>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</si>
  <si>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</si>
  <si>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</si>
  <si>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REG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</si>
  <si>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</si>
  <si>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</si>
  <si>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</si>
  <si>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</si>
  <si>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</si>
  <si>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</si>
  <si>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</si>
  <si>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MEM:</t>
    <phoneticPr fontId="1" type="noConversion"/>
  </si>
  <si>
    <t>REG: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</si>
  <si>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</si>
  <si>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</si>
  <si>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</si>
  <si>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</si>
  <si>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</si>
  <si>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</si>
  <si>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</si>
  <si>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</si>
  <si>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2R2W</t>
    <phoneticPr fontId="1" type="noConversion"/>
  </si>
  <si>
    <t>d</t>
    <phoneticPr fontId="1" type="noConversion"/>
  </si>
  <si>
    <t>er</t>
    <phoneticPr fontId="1" type="noConversion"/>
  </si>
  <si>
    <t>Weight</t>
    <phoneticPr fontId="1" type="noConversion"/>
  </si>
  <si>
    <t>1R1W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</si>
</sst>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indexed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/>
  <dimension ref="A1:J31"/>
  <sheetViews>
    <sheetView workbookViewId="0">
      <selection activeCell="E6" sqref="E6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17" t="s">
        <v>4</v>
      </c>
      <c r="B1" s="17" t="s">
        <v>14</v>
      </c>
      <c r="C1" s="17" t="s">
        <v>5</v>
      </c>
      <c r="D1" s="17" t="s">
        <v>15</v>
      </c>
      <c r="E1" s="19" t="s">
        <v>16</v>
      </c>
      <c r="F1" s="20"/>
      <c r="G1" s="21"/>
      <c r="H1" s="17" t="s">
        <v>19</v>
      </c>
      <c r="I1" s="17" t="s">
        <v>20</v>
      </c>
      <c r="J1" s="17" t="s">
        <v>21</v>
      </c>
    </row>
    <row r="2" spans="1:10" x14ac:dyDescent="0.4">
      <c r="A2" s="18"/>
      <c r="B2" s="18"/>
      <c r="C2" s="18"/>
      <c r="D2" s="18"/>
      <c r="E2" s="1" t="s">
        <v>17</v>
      </c>
      <c r="F2" s="1" t="s">
        <v>18</v>
      </c>
      <c r="G2" s="1" t="s">
        <v>9</v>
      </c>
      <c r="H2" s="18"/>
      <c r="I2" s="18"/>
      <c r="J2" s="18"/>
    </row>
    <row r="3" spans="1:10" x14ac:dyDescent="0.4">
      <c r="A3" s="16" t="str">
        <f>CONCATENATE(Script!B21, "_smfifo")</f>
        <v>d_smfifo</v>
      </c>
      <c r="B3" s="6"/>
      <c r="C3" s="16" t="s">
        <v>42</v>
      </c>
      <c r="D3" s="6" t="s">
        <v>44</v>
      </c>
      <c r="E3" s="16">
        <f>Script!F21</f>
        <v>25</v>
      </c>
      <c r="F3" s="5">
        <f>IF(C3="REG",0,IF(E3&lt;=0,0,IF(E3=1,3,IF(E3&lt;5,4,IF(E3&lt;12,5,IF(E3&lt;27,6,IF(E3&lt;58,7,IF(E3&lt;121,8,IF(E3&lt;248,9,IF(E3&lt;503,10,IF(E3&lt;1014,11,IF(E3&lt;2037,12,IF(E3&lt;4084,13,"OF")))))))))))))</f>
        <v>6</v>
      </c>
      <c r="G3" s="5">
        <f>E3+F3</f>
        <v>31</v>
      </c>
      <c r="H3" s="16">
        <f>Script!E21</f>
        <v>2048</v>
      </c>
      <c r="I3" s="16">
        <f>Script!D21</f>
        <v>2</v>
      </c>
      <c r="J3" s="5">
        <f>E3*H3*I3</f>
        <v>102400</v>
      </c>
    </row>
    <row r="4" spans="1:10" x14ac:dyDescent="0.4">
      <c r="A4" s="16" t="str">
        <f>CONCATENATE(Script!B21, "_qlen")</f>
        <v>d_qlen</v>
      </c>
      <c r="B4" s="6"/>
      <c r="C4" s="6" t="s">
        <v>45</v>
      </c>
      <c r="D4" s="6" t="s">
        <v>63</v>
      </c>
      <c r="E4" s="16">
        <f>CEILING(LOG(Script!E21,2),1)</f>
        <v>11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0</v>
      </c>
      <c r="G4" s="5">
        <f t="shared" ref="G4:G14" si="1">E4+F4</f>
        <v>11</v>
      </c>
      <c r="H4" s="16">
        <f>Script!G21</f>
        <v>8</v>
      </c>
      <c r="I4" s="16">
        <f>Script!D21</f>
        <v>2</v>
      </c>
      <c r="J4" s="5">
        <f t="shared" ref="J4:J6" si="2">E4*H4*I4</f>
        <v>176</v>
      </c>
    </row>
    <row r="5" spans="1:10" x14ac:dyDescent="0.4">
      <c r="A5" s="16" t="str">
        <f>CONCATENATE(Script!B21, "_cache")</f>
        <v>d_cache</v>
      </c>
      <c r="B5" s="6"/>
      <c r="C5" s="6" t="s">
        <v>45</v>
      </c>
      <c r="D5" s="6" t="s">
        <v>44</v>
      </c>
      <c r="E5" s="16">
        <f>Script!F21</f>
        <v>25</v>
      </c>
      <c r="F5" s="5">
        <f t="shared" si="0"/>
        <v>0</v>
      </c>
      <c r="G5" s="5">
        <f t="shared" si="1"/>
        <v>25</v>
      </c>
      <c r="H5" s="16">
        <f>Script!G21*Script!H21</f>
        <v>32</v>
      </c>
      <c r="I5" s="16">
        <f>Script!D21</f>
        <v>2</v>
      </c>
      <c r="J5" s="5">
        <f t="shared" si="2"/>
        <v>1600</v>
      </c>
    </row>
    <row r="6" spans="1:10" x14ac:dyDescent="0.4">
      <c r="A6" s="16" t="str">
        <f>CONCATENATE(Script!B31, "_reg")</f>
        <v>er_reg</v>
      </c>
      <c r="B6" s="6"/>
      <c r="C6" s="6" t="s">
        <v>45</v>
      </c>
      <c r="D6" s="6" t="s">
        <v>44</v>
      </c>
      <c r="E6" s="16">
        <v>1</v>
      </c>
      <c r="F6" s="5">
        <f t="shared" si="0"/>
        <v>0</v>
      </c>
      <c r="G6" s="5">
        <f t="shared" si="1"/>
        <v>1</v>
      </c>
      <c r="H6" s="16">
        <f>Script!O31</f>
        <v>414</v>
      </c>
      <c r="I6" s="16">
        <f>Script!D31</f>
        <v>6</v>
      </c>
      <c r="J6" s="5">
        <f t="shared" si="2"/>
        <v>2484</v>
      </c>
    </row>
    <row r="7" spans="1:10" x14ac:dyDescent="0.4">
      <c r="A7" s="16" t="str">
        <f>CONCATENATE(Script!B31, "_ptr")</f>
        <v>er_ptr</v>
      </c>
      <c r="B7" s="6"/>
      <c r="C7" s="6" t="s">
        <v>42</v>
      </c>
      <c r="D7" s="6" t="s">
        <v>67</v>
      </c>
      <c r="E7" s="16">
        <f>CEILING(LOG(Script!H31,2),1)</f>
        <v>3</v>
      </c>
      <c r="F7" s="5">
        <f t="shared" si="0"/>
        <v>4</v>
      </c>
      <c r="G7" s="5">
        <f t="shared" si="1"/>
        <v>7</v>
      </c>
      <c r="H7" s="16">
        <f>Script!G31</f>
        <v>1024</v>
      </c>
      <c r="I7" s="16">
        <f>Script!D31</f>
        <v>6</v>
      </c>
      <c r="J7" s="5">
        <f t="shared" ref="J7:J14" si="3">E7*H7*I7</f>
        <v>18432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6">
        <v>1</v>
      </c>
      <c r="J11" s="5">
        <f t="shared" si="3"/>
        <v>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  <row r="30" spans="1:10" ht="5.25" customHeight="1" x14ac:dyDescent="0.4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x14ac:dyDescent="0.4">
      <c r="G31" s="11" t="s">
        <v>53</v>
      </c>
      <c r="H31" s="12">
        <f>SUM(J3:J29)-J31</f>
        <v>120832</v>
      </c>
      <c r="I31" s="11" t="s">
        <v>54</v>
      </c>
      <c r="J31" s="13">
        <f>SUMIF(C3:C29,"REG",J3:J29)</f>
        <v>4260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/>
  <dimension ref="A1:P36"/>
  <sheetViews>
    <sheetView tabSelected="1" workbookViewId="0">
      <pane xSplit="1" ySplit="3" topLeftCell="B13" activePane="bottomRight" state="frozen"/>
      <selection pane="topRight" activeCell="B1" sqref="B1"/>
      <selection pane="bottomLeft" activeCell="A4" sqref="A4"/>
      <selection pane="bottomRight" activeCell="C40" sqref="C40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51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55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56</v>
      </c>
      <c r="H10" s="1" t="s">
        <v>57</v>
      </c>
      <c r="I10" s="1" t="s">
        <v>58</v>
      </c>
      <c r="J10" s="15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4" t="s">
        <v>59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62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6" ht="17.649999999999999" x14ac:dyDescent="0.4">
      <c r="A19" s="4" t="s">
        <v>33</v>
      </c>
    </row>
    <row r="20" spans="1:16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46</v>
      </c>
      <c r="I20" s="1"/>
      <c r="J20" s="1"/>
      <c r="K20" s="1"/>
      <c r="L20" s="1"/>
      <c r="M20" s="1"/>
    </row>
    <row r="21" spans="1:16" x14ac:dyDescent="0.4">
      <c r="B21" s="2" t="s">
        <v>64</v>
      </c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6" ht="17.649999999999999" x14ac:dyDescent="0.4">
      <c r="A24" s="4" t="s">
        <v>34</v>
      </c>
    </row>
    <row r="25" spans="1:16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52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6" x14ac:dyDescent="0.4">
      <c r="B26" s="2"/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6" ht="17.649999999999999" x14ac:dyDescent="0.4">
      <c r="A29" s="4" t="s">
        <v>36</v>
      </c>
    </row>
    <row r="30" spans="1:16" x14ac:dyDescent="0.4">
      <c r="B30" s="1" t="s">
        <v>4</v>
      </c>
      <c r="C30" s="1" t="s">
        <v>28</v>
      </c>
      <c r="D30" s="1" t="s">
        <v>32</v>
      </c>
      <c r="E30" s="1" t="s">
        <v>5</v>
      </c>
      <c r="F30" s="1" t="s">
        <v>1</v>
      </c>
      <c r="G30" s="1" t="s">
        <v>27</v>
      </c>
      <c r="H30" s="1" t="s">
        <v>2</v>
      </c>
      <c r="I30" s="1" t="s">
        <v>0</v>
      </c>
      <c r="J30" s="1" t="s">
        <v>3</v>
      </c>
      <c r="K30" s="1" t="s">
        <v>6</v>
      </c>
      <c r="L30" s="1" t="s">
        <v>7</v>
      </c>
      <c r="M30" s="1" t="s">
        <v>8</v>
      </c>
      <c r="N30" s="1" t="s">
        <v>10</v>
      </c>
      <c r="O30" s="1" t="s">
        <v>9</v>
      </c>
      <c r="P30" s="1" t="s">
        <v>66</v>
      </c>
    </row>
    <row r="31" spans="1:16" x14ac:dyDescent="0.4">
      <c r="B31" s="2" t="s">
        <v>65</v>
      </c>
      <c r="C31" s="2">
        <v>6</v>
      </c>
      <c r="D31" s="2">
        <v>6</v>
      </c>
      <c r="E31" s="2" t="s">
        <v>61</v>
      </c>
      <c r="F31" s="2">
        <v>8</v>
      </c>
      <c r="G31" s="2">
        <v>1024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108</v>
      </c>
      <c r="N31" s="2">
        <v>1</v>
      </c>
      <c r="O31" s="3">
        <f>(K31+L31+M31+IF(P31&gt;0,CEILING(LOG(P31,2),1),0)*F31*H31)*N31</f>
        <v>414</v>
      </c>
      <c r="P31" s="2">
        <v>0</v>
      </c>
    </row>
    <row r="34" spans="1:13" ht="17.649999999999999" x14ac:dyDescent="0.4">
      <c r="A34" s="4" t="s">
        <v>37</v>
      </c>
    </row>
    <row r="35" spans="1:13" x14ac:dyDescent="0.4">
      <c r="B35" s="1" t="s">
        <v>4</v>
      </c>
      <c r="C35" s="1" t="s">
        <v>22</v>
      </c>
      <c r="D35" s="1" t="s">
        <v>32</v>
      </c>
      <c r="E35" s="1" t="s">
        <v>29</v>
      </c>
      <c r="F35" s="1" t="s">
        <v>30</v>
      </c>
      <c r="G35" s="1" t="s">
        <v>31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9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F31:J31 N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  <dataValidation type="whole" showInputMessage="1" showErrorMessage="1" sqref="P31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/>
  <dimension ref="A2"/>
  <sheetViews>
    <sheetView workbookViewId="0">
      <selection activeCell="A14" sqref="A14"/>
    </sheetView>
  </sheetViews>
  <sheetFormatPr defaultRowHeight="13.9" x14ac:dyDescent="0.4"/>
  <cols>
    <col min="1" max="1" width="68.1328125" customWidth="1"/>
  </cols>
  <sheetData>
    <row r="2" spans="1:1" x14ac:dyDescent="0.4">
      <c r="A2" t="s">
        <v>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50</v>
      </c>
    </row>
    <row r="3" spans="1:2" x14ac:dyDescent="0.4">
      <c r="B3" t="s">
        <v>47</v>
      </c>
    </row>
    <row r="4" spans="1:2" x14ac:dyDescent="0.4">
      <c r="B4" s="8" t="s">
        <v>48</v>
      </c>
    </row>
    <row r="5" spans="1:2" x14ac:dyDescent="0.4">
      <c r="B5" t="s">
        <v>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34</vt:i4>
      </vt:variant>
    </vt:vector>
  </HeadingPairs>
  <TitlesOfParts>
    <vt:vector size="38" baseType="lpstr">
      <vt:lpstr>DataSummary</vt:lpstr>
      <vt:lpstr>Script</vt:lpstr>
      <vt:lpstr>Rules</vt:lpstr>
      <vt:lpstr>ScriptHelp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DestSheet</vt:lpstr>
      <vt:lpstr>FLAG_BITS</vt:lpstr>
      <vt:lpstr>FLAG_SIZE</vt:lpstr>
      <vt:lpstr>INST</vt:lpstr>
      <vt:lpstr>NAME</vt:lpstr>
      <vt:lpstr>OFFSET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2019-11-05T23:18:32Z</dcterms:modified>
</cp:coreProperties>
</file>